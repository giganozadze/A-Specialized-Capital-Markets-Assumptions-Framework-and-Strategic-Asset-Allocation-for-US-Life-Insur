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gigan\OneDrive\Desktop\NYU\Fall 2025\Capstone\CMA framework\Excel files\"/>
    </mc:Choice>
  </mc:AlternateContent>
  <xr:revisionPtr revIDLastSave="0" documentId="13_ncr:1_{0D2C3EB1-9AC0-41C2-93DF-D66C7F2D1D44}" xr6:coauthVersionLast="47" xr6:coauthVersionMax="47" xr10:uidLastSave="{00000000-0000-0000-0000-000000000000}"/>
  <bookViews>
    <workbookView xWindow="-110" yWindow="-110" windowWidth="19420" windowHeight="11500" tabRatio="866" activeTab="5" xr2:uid="{00000000-000D-0000-FFFF-FFFF00000000}"/>
  </bookViews>
  <sheets>
    <sheet name="Timeseries" sheetId="1" r:id="rId1"/>
    <sheet name="PerStock" sheetId="2" r:id="rId2"/>
    <sheet name="Summary" sheetId="3" r:id="rId3"/>
    <sheet name="JPM Corr" sheetId="5" r:id="rId4"/>
    <sheet name="JPM Cov matrix" sheetId="6" r:id="rId5"/>
    <sheet name="Levels" sheetId="4" r:id="rId6"/>
    <sheet name="Returns" sheetId="8" r:id="rId7"/>
    <sheet name="Asset Universe" sheetId="9" r:id="rId8"/>
    <sheet name="Hist Corr matrix" sheetId="7" r:id="rId9"/>
    <sheet name="Hist Cov matrix" sheetId="10" r:id="rId10"/>
    <sheet name="Hist Cov matrix (stdev)" sheetId="11" r:id="rId11"/>
  </sheets>
  <externalReferences>
    <externalReference r:id="rId12"/>
    <externalReference r:id="rId13"/>
    <externalReference r:id="rId1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8" l="1"/>
  <c r="S2" i="8"/>
  <c r="R3" i="8"/>
  <c r="S3" i="8"/>
  <c r="R4" i="8"/>
  <c r="S4" i="8"/>
  <c r="R5" i="8"/>
  <c r="S5" i="8"/>
  <c r="R6" i="8"/>
  <c r="S6" i="8"/>
  <c r="R7" i="8"/>
  <c r="S7" i="8"/>
  <c r="R8" i="8"/>
  <c r="S8" i="8"/>
  <c r="R9" i="8"/>
  <c r="S9" i="8"/>
  <c r="R10" i="8"/>
  <c r="S10" i="8"/>
  <c r="R11" i="8"/>
  <c r="S11" i="8"/>
  <c r="R12" i="8"/>
  <c r="S12" i="8"/>
  <c r="R13" i="8"/>
  <c r="S13" i="8"/>
  <c r="R14" i="8"/>
  <c r="S14" i="8"/>
  <c r="R15" i="8"/>
  <c r="S15" i="8"/>
  <c r="R16" i="8"/>
  <c r="S16" i="8"/>
  <c r="R17" i="8"/>
  <c r="S17" i="8"/>
  <c r="R18" i="8"/>
  <c r="S18" i="8"/>
  <c r="R19" i="8"/>
  <c r="S19" i="8"/>
  <c r="R20" i="8"/>
  <c r="S20" i="8"/>
  <c r="R21" i="8"/>
  <c r="S21" i="8"/>
  <c r="R22" i="8"/>
  <c r="S22" i="8"/>
  <c r="R23" i="8"/>
  <c r="S23" i="8"/>
  <c r="R24" i="8"/>
  <c r="S24" i="8"/>
  <c r="R25" i="8"/>
  <c r="S25" i="8"/>
  <c r="R26" i="8"/>
  <c r="S26" i="8"/>
  <c r="R27" i="8"/>
  <c r="S27" i="8"/>
  <c r="R28" i="8"/>
  <c r="S28" i="8"/>
  <c r="R29" i="8"/>
  <c r="S29" i="8"/>
  <c r="R30" i="8"/>
  <c r="S30" i="8"/>
  <c r="R31" i="8"/>
  <c r="S31" i="8"/>
  <c r="R32" i="8"/>
  <c r="S32" i="8"/>
  <c r="R33" i="8"/>
  <c r="S33" i="8"/>
  <c r="R34" i="8"/>
  <c r="S34" i="8"/>
  <c r="R35" i="8"/>
  <c r="S35" i="8"/>
  <c r="R36" i="8"/>
  <c r="S36" i="8"/>
  <c r="R37" i="8"/>
  <c r="S37" i="8"/>
  <c r="R38" i="8"/>
  <c r="S38" i="8"/>
  <c r="R39" i="8"/>
  <c r="S39" i="8"/>
  <c r="R40" i="8"/>
  <c r="S40" i="8"/>
  <c r="R41" i="8"/>
  <c r="S41" i="8"/>
  <c r="R42" i="8"/>
  <c r="S42" i="8"/>
  <c r="R43" i="8"/>
  <c r="S43" i="8"/>
  <c r="R44" i="8"/>
  <c r="S44" i="8"/>
  <c r="R45" i="8"/>
  <c r="S45" i="8"/>
  <c r="R46" i="8"/>
  <c r="S46" i="8"/>
  <c r="R47" i="8"/>
  <c r="S47" i="8"/>
  <c r="R48" i="8"/>
  <c r="S48" i="8"/>
  <c r="R49" i="8"/>
  <c r="S49" i="8"/>
  <c r="R50" i="8"/>
  <c r="S50" i="8"/>
  <c r="R51" i="8"/>
  <c r="S51" i="8"/>
  <c r="R52" i="8"/>
  <c r="S52" i="8"/>
  <c r="R53" i="8"/>
  <c r="S53" i="8"/>
  <c r="R54" i="8"/>
  <c r="S54" i="8"/>
  <c r="R55" i="8"/>
  <c r="S55" i="8"/>
  <c r="R56" i="8"/>
  <c r="S56" i="8"/>
  <c r="R57" i="8"/>
  <c r="S57" i="8"/>
  <c r="R58" i="8"/>
  <c r="S58" i="8"/>
  <c r="R59" i="8"/>
  <c r="S59" i="8"/>
  <c r="R60" i="8"/>
  <c r="S60" i="8"/>
  <c r="R61" i="8"/>
  <c r="S61" i="8"/>
  <c r="R62" i="8"/>
  <c r="S62" i="8"/>
  <c r="R63" i="8"/>
  <c r="S63" i="8"/>
  <c r="R64" i="8"/>
  <c r="S64" i="8"/>
  <c r="R65" i="8"/>
  <c r="S65" i="8"/>
  <c r="R66" i="8"/>
  <c r="S66" i="8"/>
  <c r="R67" i="8"/>
  <c r="S67" i="8"/>
  <c r="R68" i="8"/>
  <c r="S68" i="8"/>
  <c r="R69" i="8"/>
  <c r="S69" i="8"/>
  <c r="R70" i="8"/>
  <c r="S70" i="8"/>
  <c r="R71" i="8"/>
  <c r="S71" i="8"/>
  <c r="R72" i="8"/>
  <c r="S72" i="8"/>
  <c r="R73" i="8"/>
  <c r="S73" i="8"/>
  <c r="R74" i="8"/>
  <c r="S74" i="8"/>
  <c r="R75" i="8"/>
  <c r="S75" i="8"/>
  <c r="R76" i="8"/>
  <c r="S76" i="8"/>
  <c r="R77" i="8"/>
  <c r="S77" i="8"/>
  <c r="R78" i="8"/>
  <c r="S78" i="8"/>
  <c r="R79" i="8"/>
  <c r="S79" i="8"/>
  <c r="R80" i="8"/>
  <c r="S80" i="8"/>
  <c r="R81" i="8"/>
  <c r="S81" i="8"/>
  <c r="R82" i="8"/>
  <c r="S82" i="8"/>
  <c r="R83" i="8"/>
  <c r="S83" i="8"/>
  <c r="R84" i="8"/>
  <c r="S84" i="8"/>
  <c r="R85" i="8"/>
  <c r="S85" i="8"/>
  <c r="R86" i="8"/>
  <c r="S86" i="8"/>
  <c r="R87" i="8"/>
  <c r="S87" i="8"/>
  <c r="R88" i="8"/>
  <c r="S88" i="8"/>
  <c r="R89" i="8"/>
  <c r="S89" i="8"/>
  <c r="R90" i="8"/>
  <c r="S90" i="8"/>
  <c r="R91" i="8"/>
  <c r="S91" i="8"/>
  <c r="R92" i="8"/>
  <c r="S92" i="8"/>
  <c r="R93" i="8"/>
  <c r="S93" i="8"/>
  <c r="R94" i="8"/>
  <c r="S94" i="8"/>
  <c r="R95" i="8"/>
  <c r="S95" i="8"/>
  <c r="R96" i="8"/>
  <c r="S96" i="8"/>
  <c r="R97" i="8"/>
  <c r="S97" i="8"/>
  <c r="R98" i="8"/>
  <c r="S98" i="8"/>
  <c r="R99" i="8"/>
  <c r="S99" i="8"/>
  <c r="R100" i="8"/>
  <c r="S100" i="8"/>
  <c r="R101" i="8"/>
  <c r="S101" i="8"/>
  <c r="R102" i="8"/>
  <c r="S102" i="8"/>
  <c r="R103" i="8"/>
  <c r="S103" i="8"/>
  <c r="R104" i="8"/>
  <c r="S104" i="8"/>
  <c r="R105" i="8"/>
  <c r="S105" i="8"/>
  <c r="R106" i="8"/>
  <c r="S106" i="8"/>
  <c r="R107" i="8"/>
  <c r="S107" i="8"/>
  <c r="R108" i="8"/>
  <c r="S108" i="8"/>
  <c r="R109" i="8"/>
  <c r="S109" i="8"/>
  <c r="R110" i="8"/>
  <c r="S110" i="8"/>
  <c r="R111" i="8"/>
  <c r="S111" i="8"/>
  <c r="R112" i="8"/>
  <c r="S112" i="8"/>
  <c r="R113" i="8"/>
  <c r="S113" i="8"/>
  <c r="R114" i="8"/>
  <c r="S114" i="8"/>
  <c r="R115" i="8"/>
  <c r="S115" i="8"/>
  <c r="R116" i="8"/>
  <c r="S116" i="8"/>
  <c r="R117" i="8"/>
  <c r="S117" i="8"/>
  <c r="R118" i="8"/>
  <c r="S118" i="8"/>
  <c r="R119" i="8"/>
  <c r="S119" i="8"/>
  <c r="R120" i="8"/>
  <c r="S120" i="8"/>
  <c r="R121" i="8"/>
  <c r="S121" i="8"/>
  <c r="R122" i="8"/>
  <c r="S122" i="8"/>
  <c r="R123" i="8"/>
  <c r="S123" i="8"/>
  <c r="R124" i="8"/>
  <c r="S124" i="8"/>
  <c r="R125" i="8"/>
  <c r="S125" i="8"/>
  <c r="R126" i="8"/>
  <c r="S126" i="8"/>
  <c r="R127" i="8"/>
  <c r="S127" i="8"/>
  <c r="R128" i="8"/>
  <c r="S128" i="8"/>
  <c r="R129" i="8"/>
  <c r="S129" i="8"/>
  <c r="R130" i="8"/>
  <c r="S130" i="8"/>
  <c r="R131" i="8"/>
  <c r="S131" i="8"/>
  <c r="R132" i="8"/>
  <c r="S132" i="8"/>
  <c r="R133" i="8"/>
  <c r="S133" i="8"/>
  <c r="R134" i="8"/>
  <c r="S134" i="8"/>
  <c r="R135" i="8"/>
  <c r="S135" i="8"/>
  <c r="R136" i="8"/>
  <c r="S136" i="8"/>
  <c r="R137" i="8"/>
  <c r="S137" i="8"/>
  <c r="R138" i="8"/>
  <c r="S138" i="8"/>
  <c r="R139" i="8"/>
  <c r="S139" i="8"/>
  <c r="R140" i="8"/>
  <c r="S140" i="8"/>
  <c r="R141" i="8"/>
  <c r="S141" i="8"/>
  <c r="R142" i="8"/>
  <c r="S142" i="8"/>
  <c r="R143" i="8"/>
  <c r="S143" i="8"/>
  <c r="R144" i="8"/>
  <c r="S144" i="8"/>
  <c r="R145" i="8"/>
  <c r="S145" i="8"/>
  <c r="R146" i="8"/>
  <c r="S146" i="8"/>
  <c r="R147" i="8"/>
  <c r="S147" i="8"/>
  <c r="R148" i="8"/>
  <c r="S148" i="8"/>
  <c r="R149" i="8"/>
  <c r="S149" i="8"/>
  <c r="R150" i="8"/>
  <c r="S150" i="8"/>
  <c r="R151" i="8"/>
  <c r="S151" i="8"/>
  <c r="R152" i="8"/>
  <c r="S152" i="8"/>
  <c r="R153" i="8"/>
  <c r="S153" i="8"/>
  <c r="R154" i="8"/>
  <c r="S154" i="8"/>
  <c r="R155" i="8"/>
  <c r="S155" i="8"/>
  <c r="R156" i="8"/>
  <c r="S156" i="8"/>
  <c r="R157" i="8"/>
  <c r="S157" i="8"/>
  <c r="R158" i="8"/>
  <c r="S158" i="8"/>
  <c r="R159" i="8"/>
  <c r="S159" i="8"/>
  <c r="R160" i="8"/>
  <c r="S160" i="8"/>
  <c r="R161" i="8"/>
  <c r="S161" i="8"/>
  <c r="R162" i="8"/>
  <c r="S162" i="8"/>
  <c r="R163" i="8"/>
  <c r="S163" i="8"/>
  <c r="R164" i="8"/>
  <c r="S164" i="8"/>
  <c r="R165" i="8"/>
  <c r="S165" i="8"/>
  <c r="R166" i="8"/>
  <c r="S166" i="8"/>
  <c r="R167" i="8"/>
  <c r="S167" i="8"/>
  <c r="R168" i="8"/>
  <c r="S168" i="8"/>
  <c r="R169" i="8"/>
  <c r="S169" i="8"/>
  <c r="R170" i="8"/>
  <c r="S170" i="8"/>
  <c r="R171" i="8"/>
  <c r="S171" i="8"/>
  <c r="R172" i="8"/>
  <c r="S172" i="8"/>
  <c r="R173" i="8"/>
  <c r="S173" i="8"/>
  <c r="R174" i="8"/>
  <c r="S174" i="8"/>
  <c r="R175" i="8"/>
  <c r="S175" i="8"/>
  <c r="R176" i="8"/>
  <c r="S176" i="8"/>
  <c r="R177" i="8"/>
  <c r="S177" i="8"/>
  <c r="R178" i="8"/>
  <c r="S178" i="8"/>
  <c r="R179" i="8"/>
  <c r="S179" i="8"/>
  <c r="R180" i="8"/>
  <c r="S180" i="8"/>
  <c r="R181" i="8"/>
  <c r="S181" i="8"/>
  <c r="R182" i="8"/>
  <c r="S182" i="8"/>
  <c r="R183" i="8"/>
  <c r="S183" i="8"/>
  <c r="R184" i="8"/>
  <c r="S184" i="8"/>
  <c r="R185" i="8"/>
  <c r="S185" i="8"/>
  <c r="R186" i="8"/>
  <c r="S186" i="8"/>
  <c r="R187" i="8"/>
  <c r="S187" i="8"/>
  <c r="R188" i="8"/>
  <c r="S188" i="8"/>
  <c r="R189" i="8"/>
  <c r="S189" i="8"/>
  <c r="R190" i="8"/>
  <c r="S190" i="8"/>
  <c r="R191" i="8"/>
  <c r="S191" i="8"/>
  <c r="R192" i="8"/>
  <c r="S192" i="8"/>
  <c r="R193" i="8"/>
  <c r="S193" i="8"/>
  <c r="R194" i="8"/>
  <c r="S194" i="8"/>
  <c r="R195" i="8"/>
  <c r="S195" i="8"/>
  <c r="R196" i="8"/>
  <c r="S196" i="8"/>
  <c r="R197" i="8"/>
  <c r="S197" i="8"/>
  <c r="R198" i="8"/>
  <c r="S198" i="8"/>
  <c r="R199" i="8"/>
  <c r="S199" i="8"/>
  <c r="R200" i="8"/>
  <c r="S200" i="8"/>
  <c r="R201" i="8"/>
  <c r="S201" i="8"/>
  <c r="R202" i="8"/>
  <c r="S202" i="8"/>
  <c r="R203" i="8"/>
  <c r="S203" i="8"/>
  <c r="R204" i="8"/>
  <c r="S204" i="8"/>
  <c r="R205" i="8"/>
  <c r="S205" i="8"/>
  <c r="R206" i="8"/>
  <c r="S206" i="8"/>
  <c r="R207" i="8"/>
  <c r="S207" i="8"/>
  <c r="R208" i="8"/>
  <c r="S208" i="8"/>
  <c r="R209" i="8"/>
  <c r="S209" i="8"/>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R10" i="7" a="1"/>
  <c r="U16" i="7" a="1"/>
  <c r="L10" i="7" a="1"/>
  <c r="S10" i="7" a="1"/>
  <c r="W15" i="7" a="1"/>
  <c r="F6" i="7" a="1"/>
  <c r="C7" i="7" a="1"/>
  <c r="R21" i="7" a="1"/>
  <c r="L20" i="7" a="1"/>
  <c r="F20" i="7" a="1"/>
  <c r="R16" i="7" a="1"/>
  <c r="M14" i="7" a="1"/>
  <c r="Q7" i="7" a="1"/>
  <c r="N18" i="7" a="1"/>
  <c r="H14" i="7" a="1"/>
  <c r="F13" i="7" a="1"/>
  <c r="S22" i="7" a="1"/>
  <c r="C6" i="7" a="1"/>
  <c r="E9" i="7" a="1"/>
  <c r="R4" i="7" a="1"/>
  <c r="U17" i="7" a="1"/>
  <c r="M8" i="7" a="1"/>
  <c r="D12" i="7" a="1"/>
  <c r="M5" i="7" a="1"/>
  <c r="P6" i="7" a="1"/>
  <c r="L15" i="7" a="1"/>
  <c r="D8" i="7" a="1"/>
  <c r="E8" i="7" a="1"/>
  <c r="E18" i="7" a="1"/>
  <c r="Q19" i="7" a="1"/>
  <c r="C10" i="7" a="1"/>
  <c r="G16" i="7" a="1"/>
  <c r="D7" i="7" a="1"/>
  <c r="T9" i="7" a="1"/>
  <c r="W13" i="7" a="1"/>
  <c r="H10" i="7" a="1"/>
  <c r="T11" i="7" a="1"/>
  <c r="J15" i="7" a="1"/>
  <c r="J16" i="7" a="1"/>
  <c r="C18" i="7" a="1"/>
  <c r="W22" i="7" a="1"/>
  <c r="I21" i="7" a="1"/>
  <c r="V13" i="7" a="1"/>
  <c r="F10" i="7" a="1"/>
  <c r="H3" i="7" a="1"/>
  <c r="H23" i="7" a="1"/>
  <c r="E15" i="7" a="1"/>
  <c r="P10" i="7" a="1"/>
  <c r="J4" i="7" a="1"/>
  <c r="N19" i="7" a="1"/>
  <c r="D10" i="7" a="1"/>
  <c r="D4" i="7" a="1"/>
  <c r="O15" i="7" a="1"/>
  <c r="W20" i="7" a="1"/>
  <c r="F16" i="7" a="1"/>
  <c r="T18" i="7" a="1"/>
  <c r="U20" i="7" a="1"/>
  <c r="G14" i="7" a="1"/>
  <c r="N6" i="7" a="1"/>
  <c r="M9" i="7" a="1"/>
  <c r="H12" i="7" a="1"/>
  <c r="D6" i="7" a="1"/>
  <c r="U5" i="7" a="1"/>
  <c r="F23" i="7" a="1"/>
  <c r="U19" i="7" a="1"/>
  <c r="G11" i="7" a="1"/>
  <c r="I22" i="7" a="1"/>
  <c r="O3" i="7" a="1"/>
  <c r="V9" i="7" a="1"/>
  <c r="I8" i="7" a="1"/>
  <c r="U22" i="7" a="1"/>
  <c r="R13" i="7" a="1"/>
  <c r="I17" i="7" a="1"/>
  <c r="H19" i="7" a="1"/>
  <c r="E20" i="7" a="1"/>
  <c r="U3" i="7" a="1"/>
  <c r="U11" i="7" a="1"/>
  <c r="C4" i="7" a="1"/>
  <c r="O6" i="7" a="1"/>
  <c r="E21" i="7" a="1"/>
  <c r="I13" i="7" a="1"/>
  <c r="K7" i="7" a="1"/>
  <c r="K3" i="7" a="1"/>
  <c r="G10" i="7" a="1"/>
  <c r="R3" i="7" a="1"/>
  <c r="V17" i="7" a="1"/>
  <c r="M18" i="7" a="1"/>
  <c r="O5" i="7" a="1"/>
  <c r="H9" i="7" a="1"/>
  <c r="C14" i="7" a="1"/>
  <c r="R15" i="7" a="1"/>
  <c r="F11" i="7" a="1"/>
  <c r="R6" i="7" a="1"/>
  <c r="R7" i="7" a="1"/>
  <c r="D16" i="7" a="1"/>
  <c r="M21" i="7" a="1"/>
  <c r="Q14" i="7" a="1"/>
  <c r="C21" i="7" a="1"/>
  <c r="D15" i="7" a="1"/>
  <c r="J22" i="7" a="1"/>
  <c r="T8" i="7" a="1"/>
  <c r="L5" i="7" a="1"/>
  <c r="L6" i="7" a="1"/>
  <c r="R19" i="7" a="1"/>
  <c r="O8" i="7" a="1"/>
  <c r="E5" i="7" a="1"/>
  <c r="I23" i="7" a="1"/>
  <c r="L11" i="7" a="1"/>
  <c r="D18" i="7" a="1"/>
  <c r="T3" i="7" a="1"/>
  <c r="P9" i="7" a="1"/>
  <c r="D20" i="7" a="1"/>
  <c r="H22" i="7" a="1"/>
  <c r="K8" i="7" a="1"/>
  <c r="K18" i="7" a="1"/>
  <c r="G23" i="7" a="1"/>
  <c r="V14" i="7" a="1"/>
  <c r="T14" i="7" a="1"/>
  <c r="D19" i="7" a="1"/>
  <c r="C8" i="7" a="1"/>
  <c r="M23" i="7" a="1"/>
  <c r="R5" i="7" a="1"/>
  <c r="K10" i="7" a="1"/>
  <c r="E22" i="7" a="1"/>
  <c r="T23" i="7" a="1"/>
  <c r="V23" i="7" a="1"/>
  <c r="S15" i="7" a="1"/>
  <c r="K6" i="7" a="1"/>
  <c r="J18" i="7" a="1"/>
  <c r="T10" i="7" a="1"/>
  <c r="K11" i="7" a="1"/>
  <c r="Q6" i="7" a="1"/>
  <c r="G22" i="7" a="1"/>
  <c r="F4" i="7" a="1"/>
  <c r="L17" i="7" a="1"/>
  <c r="D13" i="7" a="1"/>
  <c r="K9" i="7" a="1"/>
  <c r="W12" i="7" a="1"/>
  <c r="I5" i="7" a="1"/>
  <c r="W8" i="7" a="1"/>
  <c r="O4" i="7" a="1"/>
  <c r="N14" i="7" a="1"/>
  <c r="W10" i="7" a="1"/>
  <c r="J20" i="7" a="1"/>
  <c r="C22" i="7" a="1"/>
  <c r="F15" i="7" a="1"/>
  <c r="W23" i="7" a="1"/>
  <c r="K15" i="7" a="1"/>
  <c r="N9" i="7" a="1"/>
  <c r="E12" i="7" a="1"/>
  <c r="S5" i="7" a="1"/>
  <c r="N16" i="7" a="1"/>
  <c r="K20" i="7" a="1"/>
  <c r="H21" i="7" a="1"/>
  <c r="R14" i="7" a="1"/>
  <c r="U6" i="7" a="1"/>
  <c r="H16" i="7" a="1"/>
  <c r="C3" i="7" a="1"/>
  <c r="T6" i="7" a="1"/>
  <c r="N3" i="7" a="1"/>
  <c r="V10" i="7" a="1"/>
  <c r="M4" i="7" a="1"/>
  <c r="G9" i="7" a="1"/>
  <c r="L23" i="7" a="1"/>
  <c r="K17" i="7" a="1"/>
  <c r="V20" i="7" a="1"/>
  <c r="E6" i="7" a="1"/>
  <c r="O12" i="7" a="1"/>
  <c r="W5" i="7" a="1"/>
  <c r="L7" i="7" a="1"/>
  <c r="U13" i="7" a="1"/>
  <c r="Q22" i="7" a="1"/>
  <c r="O22" i="7" a="1"/>
  <c r="L4" i="7" a="1"/>
  <c r="H18" i="7" a="1"/>
  <c r="K14" i="7" a="1"/>
  <c r="M20" i="7" a="1"/>
  <c r="F9" i="7" a="1"/>
  <c r="N5" i="7" a="1"/>
  <c r="J3" i="7" a="1"/>
  <c r="S11" i="7" a="1"/>
  <c r="Q18" i="7" a="1"/>
  <c r="N10" i="7" a="1"/>
  <c r="W17" i="7" a="1"/>
  <c r="F5" i="7" a="1"/>
  <c r="I19" i="7" a="1"/>
  <c r="U10" i="7" a="1"/>
  <c r="S16" i="7" a="1"/>
  <c r="E17" i="7" a="1"/>
  <c r="G18" i="7" a="1"/>
  <c r="D11" i="7" a="1"/>
  <c r="Q23" i="7" a="1"/>
  <c r="Q8" i="7" a="1"/>
  <c r="P14" i="7" a="1"/>
  <c r="J11" i="7" a="1"/>
  <c r="Q3" i="7" a="1"/>
  <c r="H17" i="7" a="1"/>
  <c r="U12" i="7" a="1"/>
  <c r="Q5" i="7" a="1"/>
  <c r="C23" i="7" a="1"/>
  <c r="D21" i="7" a="1"/>
  <c r="R22" i="7" a="1"/>
  <c r="R12" i="7" a="1"/>
  <c r="H4" i="7" a="1"/>
  <c r="P3" i="7" a="1"/>
  <c r="S6" i="7" a="1"/>
  <c r="L19" i="7" a="1"/>
  <c r="H11" i="7" a="1"/>
  <c r="V11" i="7" a="1"/>
  <c r="Q16" i="7" a="1"/>
  <c r="J7" i="7" a="1"/>
  <c r="N13" i="7" a="1"/>
  <c r="W11" i="7" a="1"/>
  <c r="D22" i="7" a="1"/>
  <c r="C19" i="7" a="1"/>
  <c r="N8" i="7" a="1"/>
  <c r="T7" i="7" a="1"/>
  <c r="W9" i="7" a="1"/>
  <c r="V4" i="7" a="1"/>
  <c r="S7" i="7" a="1"/>
  <c r="Q17" i="7" a="1"/>
  <c r="D3" i="7" a="1"/>
  <c r="V21" i="7" a="1"/>
  <c r="I12" i="7" a="1"/>
  <c r="D14" i="7" a="1"/>
  <c r="N12" i="7" a="1"/>
  <c r="V16" i="7" a="1"/>
  <c r="O21" i="7" a="1"/>
  <c r="H15" i="7" a="1"/>
  <c r="H7" i="7" a="1"/>
  <c r="G6" i="7" a="1"/>
  <c r="P15" i="7" a="1"/>
  <c r="P18" i="7" a="1"/>
  <c r="V12" i="7" a="1"/>
  <c r="P7" i="7" a="1"/>
  <c r="J21" i="7" a="1"/>
  <c r="V22" i="7" a="1"/>
  <c r="V7" i="7" a="1"/>
  <c r="Q11" i="7" a="1"/>
  <c r="R18" i="7" a="1"/>
  <c r="S3" i="7" a="1"/>
  <c r="J10" i="7" a="1"/>
  <c r="R23" i="7" a="1"/>
  <c r="U8" i="7" a="1"/>
  <c r="E14" i="7" a="1"/>
  <c r="F17" i="7" a="1"/>
  <c r="N20" i="7" a="1"/>
  <c r="K19" i="7" a="1"/>
  <c r="J13" i="7" a="1"/>
  <c r="K12" i="7" a="1"/>
  <c r="T13" i="7" a="1"/>
  <c r="O14" i="7" a="1"/>
  <c r="N23" i="7" a="1"/>
  <c r="R9" i="7" a="1"/>
  <c r="O20" i="7" a="1"/>
  <c r="N4" i="7" a="1"/>
  <c r="V6" i="7" a="1"/>
  <c r="R20" i="7" a="1"/>
  <c r="W14" i="7" a="1"/>
  <c r="T22" i="7" a="1"/>
  <c r="Q4" i="7" a="1"/>
  <c r="S12" i="7" a="1"/>
  <c r="K5" i="7" a="1"/>
  <c r="W3" i="7" a="1"/>
  <c r="H6" i="7" a="1"/>
  <c r="G8" i="7" a="1"/>
  <c r="P22" i="7" a="1"/>
  <c r="O10" i="7" a="1"/>
  <c r="L3" i="7" a="1"/>
  <c r="F21" i="7" a="1"/>
  <c r="F22" i="7" a="1"/>
  <c r="Q12" i="7" a="1"/>
  <c r="D5" i="7" a="1"/>
  <c r="I16" i="7" a="1"/>
  <c r="S18" i="7" a="1"/>
  <c r="H20" i="7" a="1"/>
  <c r="G21" i="7" a="1"/>
  <c r="L13" i="7" a="1"/>
  <c r="E13" i="7" a="1"/>
  <c r="I18" i="7" a="1"/>
  <c r="L21" i="7" a="1"/>
  <c r="S8" i="7" a="1"/>
  <c r="P23" i="7" a="1"/>
  <c r="M15" i="7" a="1"/>
  <c r="C15" i="7" a="1"/>
  <c r="Q9" i="7" a="1"/>
  <c r="P17" i="7" a="1"/>
  <c r="P12" i="7" a="1"/>
  <c r="I20" i="7" a="1"/>
  <c r="O11" i="7" a="1"/>
  <c r="J8" i="7" a="1"/>
  <c r="V8" i="7" a="1"/>
  <c r="S9" i="7" a="1"/>
  <c r="U21" i="7" a="1"/>
  <c r="M11" i="7" a="1"/>
  <c r="O23" i="7" a="1"/>
  <c r="S17" i="7" a="1"/>
  <c r="M13" i="7" a="1"/>
  <c r="F8" i="7" a="1"/>
  <c r="J9" i="7" a="1"/>
  <c r="I4" i="7" a="1"/>
  <c r="C11" i="7" a="1"/>
  <c r="N21" i="7" a="1"/>
  <c r="I14" i="7" a="1"/>
  <c r="F19" i="7" a="1"/>
  <c r="P5" i="7" a="1"/>
  <c r="N17" i="7" a="1"/>
  <c r="V19" i="7" a="1"/>
  <c r="I10" i="7" a="1"/>
  <c r="M22" i="7" a="1"/>
  <c r="C5" i="7" a="1"/>
  <c r="V3" i="7" a="1"/>
  <c r="W4" i="7" a="1"/>
  <c r="V18" i="7" a="1"/>
  <c r="R17" i="7" a="1"/>
  <c r="W18" i="7" a="1"/>
  <c r="M12" i="7" a="1"/>
  <c r="U18" i="7" a="1"/>
  <c r="T16" i="7" a="1"/>
  <c r="O13" i="7" a="1"/>
  <c r="W6" i="7" a="1"/>
  <c r="K23" i="7" a="1"/>
  <c r="H13" i="7" a="1"/>
  <c r="I11" i="7" a="1"/>
  <c r="F18" i="7" a="1"/>
  <c r="P19" i="7" a="1"/>
  <c r="O16" i="7" a="1"/>
  <c r="W7" i="7" a="1"/>
  <c r="M6" i="7" a="1"/>
  <c r="S14" i="7" a="1"/>
  <c r="T4" i="7" a="1"/>
  <c r="L9" i="7" a="1"/>
  <c r="J19" i="7" a="1"/>
  <c r="C12" i="7" a="1"/>
  <c r="W21" i="7" a="1"/>
  <c r="J14" i="7" a="1"/>
  <c r="J5" i="7" a="1"/>
  <c r="N7" i="7" a="1"/>
  <c r="S13" i="7" a="1"/>
  <c r="G5" i="7" a="1"/>
  <c r="D9" i="7" a="1"/>
  <c r="F3" i="7" a="1"/>
  <c r="E19" i="7" a="1"/>
  <c r="M19" i="7" a="1"/>
  <c r="D23" i="7" a="1"/>
  <c r="G17" i="7" a="1"/>
  <c r="S21" i="7" a="1"/>
  <c r="D17" i="7" a="1"/>
  <c r="J12" i="7" a="1"/>
  <c r="P4" i="7" a="1"/>
  <c r="P8" i="7" a="1"/>
  <c r="F14" i="7" a="1"/>
  <c r="G3" i="7" a="1"/>
  <c r="L12" i="7" a="1"/>
  <c r="T20" i="7" a="1"/>
  <c r="V5" i="7" a="1"/>
  <c r="S19" i="7" a="1"/>
  <c r="L18" i="7" a="1"/>
  <c r="U4" i="7" a="1"/>
  <c r="G4" i="7" a="1"/>
  <c r="N15" i="7" a="1"/>
  <c r="O7" i="7" a="1"/>
  <c r="E3" i="7" a="1"/>
  <c r="C9" i="7" a="1"/>
  <c r="T21" i="7" a="1"/>
  <c r="E16" i="7" a="1"/>
  <c r="M7" i="7" a="1"/>
  <c r="G20" i="7" a="1"/>
  <c r="L22" i="7" a="1"/>
  <c r="K13" i="7" a="1"/>
  <c r="T15" i="7" a="1"/>
  <c r="J6" i="7" a="1"/>
  <c r="N22" i="7" a="1"/>
  <c r="C17" i="7" a="1"/>
  <c r="G19" i="7" a="1"/>
  <c r="F12" i="7" a="1"/>
  <c r="E23" i="7" a="1"/>
  <c r="C13" i="7" a="1"/>
  <c r="T12" i="7" a="1"/>
  <c r="Q20" i="7" a="1"/>
  <c r="U14" i="7" a="1"/>
  <c r="S20" i="7" a="1"/>
  <c r="C16" i="7" a="1"/>
  <c r="M16" i="7" a="1"/>
  <c r="Q21" i="7" a="1"/>
  <c r="O19" i="7" a="1"/>
  <c r="S4" i="7" a="1"/>
  <c r="U23" i="7" a="1"/>
  <c r="I3" i="7" a="1"/>
  <c r="W19" i="7" a="1"/>
  <c r="I15" i="7" a="1"/>
  <c r="P13" i="7" a="1"/>
  <c r="I7" i="7" a="1"/>
  <c r="L8" i="7" a="1"/>
  <c r="M17" i="7" a="1"/>
  <c r="O17" i="7" a="1"/>
  <c r="E11" i="7" a="1"/>
  <c r="U7" i="7" a="1"/>
  <c r="U15" i="7" a="1"/>
  <c r="Q10" i="7" a="1"/>
  <c r="L14" i="7" a="1"/>
  <c r="S23" i="7" a="1"/>
  <c r="I6" i="7" a="1"/>
  <c r="P21" i="7" a="1"/>
  <c r="U9" i="7" a="1"/>
  <c r="G12" i="7" a="1"/>
  <c r="G7" i="7" a="1"/>
  <c r="N11" i="7" a="1"/>
  <c r="E7" i="7" a="1"/>
  <c r="P11" i="7" a="1"/>
  <c r="P20" i="7" a="1"/>
  <c r="K16" i="7" a="1"/>
  <c r="J17" i="7" a="1"/>
  <c r="J23" i="7" a="1"/>
  <c r="K21" i="7" a="1"/>
  <c r="K22" i="7" a="1"/>
  <c r="O9" i="7" a="1"/>
  <c r="Q13" i="7" a="1"/>
  <c r="G13" i="7" a="1"/>
  <c r="O18" i="7" a="1"/>
  <c r="M10" i="7" a="1"/>
  <c r="T19" i="7" a="1"/>
  <c r="R11" i="7" a="1"/>
  <c r="Q15" i="7" a="1"/>
  <c r="F7" i="7" a="1"/>
  <c r="K4" i="7" a="1"/>
  <c r="V15" i="7" a="1"/>
  <c r="E10" i="7" a="1"/>
  <c r="G15" i="7" a="1"/>
  <c r="R8" i="7" a="1"/>
  <c r="T17" i="7" a="1"/>
  <c r="H5" i="7" a="1"/>
  <c r="E4" i="7" a="1"/>
  <c r="T5" i="7" a="1"/>
  <c r="H8" i="7" a="1"/>
  <c r="P16" i="7" a="1"/>
  <c r="M3" i="7" a="1"/>
  <c r="C20" i="7" a="1"/>
  <c r="L16" i="7" a="1"/>
  <c r="I9" i="7" a="1"/>
  <c r="W16" i="7" a="1"/>
  <c r="E15" i="7" l="1"/>
  <c r="F22" i="7"/>
  <c r="N10" i="7"/>
  <c r="M18" i="7"/>
  <c r="L14" i="7"/>
  <c r="Q21" i="7"/>
  <c r="V17" i="7"/>
  <c r="V13" i="7"/>
  <c r="F21" i="7"/>
  <c r="I17" i="7"/>
  <c r="K13" i="7"/>
  <c r="P20" i="7"/>
  <c r="S16" i="7"/>
  <c r="R12" i="7"/>
  <c r="O23" i="7"/>
  <c r="D20" i="7"/>
  <c r="H16" i="7"/>
  <c r="H12" i="7"/>
  <c r="O19" i="7"/>
  <c r="D23" i="7"/>
  <c r="O15" i="7"/>
  <c r="O11" i="7"/>
  <c r="O22" i="7"/>
  <c r="E19" i="7"/>
  <c r="G4" i="7"/>
  <c r="E22" i="7"/>
  <c r="O20" i="7"/>
  <c r="U17" i="7"/>
  <c r="D15" i="7"/>
  <c r="N11" i="7"/>
  <c r="F4" i="7"/>
  <c r="L20" i="7"/>
  <c r="G17" i="7"/>
  <c r="J14" i="7"/>
  <c r="V10" i="7"/>
  <c r="D4" i="7"/>
  <c r="L21" i="7"/>
  <c r="U19" i="7"/>
  <c r="P17" i="7"/>
  <c r="L15" i="7"/>
  <c r="O12" i="7"/>
  <c r="N4" i="7"/>
  <c r="T22" i="7"/>
  <c r="O17" i="7"/>
  <c r="T3" i="7"/>
  <c r="S21" i="7"/>
  <c r="G19" i="7"/>
  <c r="D14" i="7"/>
  <c r="S3" i="7"/>
  <c r="P19" i="7"/>
  <c r="D11" i="7"/>
  <c r="U9" i="7"/>
  <c r="K9" i="7"/>
  <c r="R8" i="7"/>
  <c r="G8" i="7"/>
  <c r="Q7" i="7"/>
  <c r="D7" i="7"/>
  <c r="M6" i="7"/>
  <c r="U5" i="7"/>
  <c r="J5" i="7"/>
  <c r="T4" i="7"/>
  <c r="P3" i="7"/>
  <c r="W23" i="7"/>
  <c r="N22" i="7"/>
  <c r="N21" i="7"/>
  <c r="E21" i="7"/>
  <c r="N19" i="7"/>
  <c r="V18" i="7"/>
  <c r="L23" i="7"/>
  <c r="W19" i="7"/>
  <c r="K18" i="7"/>
  <c r="H17" i="7"/>
  <c r="R16" i="7"/>
  <c r="E16" i="7"/>
  <c r="N15" i="7"/>
  <c r="K14" i="7"/>
  <c r="T13" i="7"/>
  <c r="H13" i="7"/>
  <c r="Q12" i="7"/>
  <c r="G12" i="7"/>
  <c r="W10" i="7"/>
  <c r="J10" i="7"/>
  <c r="T9" i="7"/>
  <c r="I9" i="7"/>
  <c r="Q8" i="7"/>
  <c r="F8" i="7"/>
  <c r="M7" i="7"/>
  <c r="W6" i="7"/>
  <c r="L6" i="7"/>
  <c r="S5" i="7"/>
  <c r="I5" i="7"/>
  <c r="P4" i="7"/>
  <c r="O3" i="7"/>
  <c r="V23" i="7"/>
  <c r="V22" i="7"/>
  <c r="M22" i="7"/>
  <c r="M21" i="7"/>
  <c r="D21" i="7"/>
  <c r="U18" i="7"/>
  <c r="T23" i="7"/>
  <c r="K23" i="7"/>
  <c r="V19" i="7"/>
  <c r="L19" i="7"/>
  <c r="J18" i="7"/>
  <c r="Q17" i="7"/>
  <c r="P16" i="7"/>
  <c r="D16" i="7"/>
  <c r="M15" i="7"/>
  <c r="T14" i="7"/>
  <c r="S13" i="7"/>
  <c r="F13" i="7"/>
  <c r="P12" i="7"/>
  <c r="W11" i="7"/>
  <c r="M11" i="7"/>
  <c r="I10" i="7"/>
  <c r="S9" i="7"/>
  <c r="F9" i="7"/>
  <c r="O8" i="7"/>
  <c r="E8" i="7"/>
  <c r="L7" i="7"/>
  <c r="V6" i="7"/>
  <c r="I6" i="7"/>
  <c r="R5" i="7"/>
  <c r="H5" i="7"/>
  <c r="O4" i="7"/>
  <c r="L3" i="7"/>
  <c r="U22" i="7"/>
  <c r="L22" i="7"/>
  <c r="U21" i="7"/>
  <c r="W20" i="7"/>
  <c r="K20" i="7"/>
  <c r="T18" i="7"/>
  <c r="S23" i="7"/>
  <c r="J22" i="7"/>
  <c r="I19" i="7"/>
  <c r="I18" i="7"/>
  <c r="F17" i="7"/>
  <c r="M16" i="7"/>
  <c r="V15" i="7"/>
  <c r="S14" i="7"/>
  <c r="I14" i="7"/>
  <c r="P13" i="7"/>
  <c r="E13" i="7"/>
  <c r="V11" i="7"/>
  <c r="K11" i="7"/>
  <c r="S10" i="7"/>
  <c r="H10" i="7"/>
  <c r="R9" i="7"/>
  <c r="E9" i="7"/>
  <c r="N8" i="7"/>
  <c r="U7" i="7"/>
  <c r="K7" i="7"/>
  <c r="T6" i="7"/>
  <c r="H6" i="7"/>
  <c r="Q5" i="7"/>
  <c r="D5" i="7"/>
  <c r="W3" i="7"/>
  <c r="J3" i="7"/>
  <c r="I23" i="7"/>
  <c r="T21" i="7"/>
  <c r="K21" i="7"/>
  <c r="J20" i="7"/>
  <c r="R23" i="7"/>
  <c r="S20" i="7"/>
  <c r="H19" i="7"/>
  <c r="R18" i="7"/>
  <c r="F18" i="7"/>
  <c r="E17" i="7"/>
  <c r="L16" i="7"/>
  <c r="U15" i="7"/>
  <c r="H15" i="7"/>
  <c r="R14" i="7"/>
  <c r="G14" i="7"/>
  <c r="O13" i="7"/>
  <c r="D13" i="7"/>
  <c r="K12" i="7"/>
  <c r="U11" i="7"/>
  <c r="J11" i="7"/>
  <c r="Q10" i="7"/>
  <c r="G10" i="7"/>
  <c r="N9" i="7"/>
  <c r="D9" i="7"/>
  <c r="M8" i="7"/>
  <c r="T7" i="7"/>
  <c r="J7" i="7"/>
  <c r="Q6" i="7"/>
  <c r="F6" i="7"/>
  <c r="P5" i="7"/>
  <c r="W4" i="7"/>
  <c r="M4" i="7"/>
  <c r="I3" i="7"/>
  <c r="H23" i="7"/>
  <c r="H22" i="7"/>
  <c r="J21" i="7"/>
  <c r="I20" i="7"/>
  <c r="Q19" i="7"/>
  <c r="Q22" i="7"/>
  <c r="R20" i="7"/>
  <c r="Q18" i="7"/>
  <c r="D18" i="7"/>
  <c r="N17" i="7"/>
  <c r="U16" i="7"/>
  <c r="K16" i="7"/>
  <c r="T15" i="7"/>
  <c r="G15" i="7"/>
  <c r="Q14" i="7"/>
  <c r="M13" i="7"/>
  <c r="W12" i="7"/>
  <c r="J12" i="7"/>
  <c r="T11" i="7"/>
  <c r="G11" i="7"/>
  <c r="P10" i="7"/>
  <c r="F10" i="7"/>
  <c r="M9" i="7"/>
  <c r="V8" i="7"/>
  <c r="J8" i="7"/>
  <c r="S7" i="7"/>
  <c r="I7" i="7"/>
  <c r="P6" i="7"/>
  <c r="E6" i="7"/>
  <c r="L5" i="7"/>
  <c r="V4" i="7"/>
  <c r="K4" i="7"/>
  <c r="H3" i="7"/>
  <c r="P23" i="7"/>
  <c r="G23" i="7"/>
  <c r="G22" i="7"/>
  <c r="R21" i="7"/>
  <c r="G21" i="7"/>
  <c r="H20" i="7"/>
  <c r="E23" i="7"/>
  <c r="Q20" i="7"/>
  <c r="N18" i="7"/>
  <c r="W17" i="7"/>
  <c r="M17" i="7"/>
  <c r="T16" i="7"/>
  <c r="I16" i="7"/>
  <c r="Q15" i="7"/>
  <c r="F15" i="7"/>
  <c r="P14" i="7"/>
  <c r="W13" i="7"/>
  <c r="L13" i="7"/>
  <c r="S12" i="7"/>
  <c r="I12" i="7"/>
  <c r="R11" i="7"/>
  <c r="F11" i="7"/>
  <c r="O10" i="7"/>
  <c r="V9" i="7"/>
  <c r="L9" i="7"/>
  <c r="U8" i="7"/>
  <c r="H8" i="7"/>
  <c r="R7" i="7"/>
  <c r="E7" i="7"/>
  <c r="O6" i="7"/>
  <c r="D6" i="7"/>
  <c r="K5" i="7"/>
  <c r="U4" i="7"/>
  <c r="H4" i="7"/>
  <c r="Q3" i="7"/>
  <c r="G3" i="7"/>
  <c r="O16" i="7"/>
  <c r="V20" i="7"/>
  <c r="S19" i="7"/>
  <c r="D19" i="7"/>
  <c r="N23" i="7"/>
  <c r="S22" i="7"/>
  <c r="D22" i="7"/>
  <c r="I21" i="7"/>
  <c r="F20" i="7"/>
  <c r="K19" i="7"/>
  <c r="P18" i="7"/>
  <c r="H18" i="7"/>
  <c r="T17" i="7"/>
  <c r="L17" i="7"/>
  <c r="W16" i="7"/>
  <c r="G16" i="7"/>
  <c r="S15" i="7"/>
  <c r="K15" i="7"/>
  <c r="W14" i="7"/>
  <c r="N14" i="7"/>
  <c r="F14" i="7"/>
  <c r="R13" i="7"/>
  <c r="J13" i="7"/>
  <c r="V12" i="7"/>
  <c r="N12" i="7"/>
  <c r="E12" i="7"/>
  <c r="Q11" i="7"/>
  <c r="I11" i="7"/>
  <c r="U10" i="7"/>
  <c r="M10" i="7"/>
  <c r="E10" i="7"/>
  <c r="P9" i="7"/>
  <c r="H9" i="7"/>
  <c r="T8" i="7"/>
  <c r="L8" i="7"/>
  <c r="D8" i="7"/>
  <c r="P7" i="7"/>
  <c r="G7" i="7"/>
  <c r="S6" i="7"/>
  <c r="K6" i="7"/>
  <c r="W5" i="7"/>
  <c r="O5" i="7"/>
  <c r="G5" i="7"/>
  <c r="R4" i="7"/>
  <c r="J4" i="7"/>
  <c r="V3" i="7"/>
  <c r="N3" i="7"/>
  <c r="F3" i="7"/>
  <c r="U23" i="7"/>
  <c r="F23" i="7"/>
  <c r="K22" i="7"/>
  <c r="P21" i="7"/>
  <c r="M20" i="7"/>
  <c r="R19" i="7"/>
  <c r="W18" i="7"/>
  <c r="M23" i="7"/>
  <c r="R22" i="7"/>
  <c r="W21" i="7"/>
  <c r="T20" i="7"/>
  <c r="E20" i="7"/>
  <c r="J19" i="7"/>
  <c r="O18" i="7"/>
  <c r="G18" i="7"/>
  <c r="S17" i="7"/>
  <c r="J17" i="7"/>
  <c r="V16" i="7"/>
  <c r="N16" i="7"/>
  <c r="F16" i="7"/>
  <c r="R15" i="7"/>
  <c r="J15" i="7"/>
  <c r="U14" i="7"/>
  <c r="M14" i="7"/>
  <c r="E14" i="7"/>
  <c r="Q13" i="7"/>
  <c r="I13" i="7"/>
  <c r="U12" i="7"/>
  <c r="L12" i="7"/>
  <c r="D12" i="7"/>
  <c r="P11" i="7"/>
  <c r="H11" i="7"/>
  <c r="T10" i="7"/>
  <c r="L10" i="7"/>
  <c r="W9" i="7"/>
  <c r="O9" i="7"/>
  <c r="G9" i="7"/>
  <c r="S8" i="7"/>
  <c r="K8" i="7"/>
  <c r="W7" i="7"/>
  <c r="N7" i="7"/>
  <c r="F7" i="7"/>
  <c r="R6" i="7"/>
  <c r="J6" i="7"/>
  <c r="V5" i="7"/>
  <c r="N5" i="7"/>
  <c r="E5" i="7"/>
  <c r="Q4" i="7"/>
  <c r="I4" i="7"/>
  <c r="U3" i="7"/>
  <c r="M3" i="7"/>
  <c r="E3" i="7"/>
  <c r="Q23" i="7"/>
  <c r="J23" i="7"/>
  <c r="W22" i="7"/>
  <c r="P22" i="7"/>
  <c r="I22" i="7"/>
  <c r="V21" i="7"/>
  <c r="O21" i="7"/>
  <c r="H21" i="7"/>
  <c r="U20" i="7"/>
  <c r="N20" i="7"/>
  <c r="G20" i="7"/>
  <c r="T19" i="7"/>
  <c r="M19" i="7"/>
  <c r="F19" i="7"/>
  <c r="S18" i="7"/>
  <c r="L18" i="7"/>
  <c r="E18" i="7"/>
  <c r="R17" i="7"/>
  <c r="K17" i="7"/>
  <c r="D17" i="7"/>
  <c r="Q16" i="7"/>
  <c r="J16" i="7"/>
  <c r="W15" i="7"/>
  <c r="P15" i="7"/>
  <c r="I15" i="7"/>
  <c r="V14" i="7"/>
  <c r="O14" i="7"/>
  <c r="H14" i="7"/>
  <c r="U13" i="7"/>
  <c r="N13" i="7"/>
  <c r="G13" i="7"/>
  <c r="T12" i="7"/>
  <c r="M12" i="7"/>
  <c r="F12" i="7"/>
  <c r="S11" i="7"/>
  <c r="L11" i="7"/>
  <c r="E11" i="7"/>
  <c r="R10" i="7"/>
  <c r="K10" i="7"/>
  <c r="D10" i="7"/>
  <c r="Q9" i="7"/>
  <c r="J9" i="7"/>
  <c r="W8" i="7"/>
  <c r="P8" i="7"/>
  <c r="I8" i="7"/>
  <c r="V7" i="7"/>
  <c r="O7" i="7"/>
  <c r="H7" i="7"/>
  <c r="U6" i="7"/>
  <c r="N6" i="7"/>
  <c r="G6" i="7"/>
  <c r="T5" i="7"/>
  <c r="M5" i="7"/>
  <c r="F5" i="7"/>
  <c r="S4" i="7"/>
  <c r="L4" i="7"/>
  <c r="E4" i="7"/>
  <c r="R3" i="7"/>
  <c r="K3" i="7"/>
  <c r="D3" i="7"/>
  <c r="C17" i="7"/>
  <c r="C10" i="7"/>
  <c r="C23" i="7"/>
  <c r="C16" i="7"/>
  <c r="C9" i="7"/>
  <c r="C22" i="7"/>
  <c r="C15" i="7"/>
  <c r="C8" i="7"/>
  <c r="C21" i="7"/>
  <c r="C14" i="7"/>
  <c r="C7" i="7"/>
  <c r="C20" i="7"/>
  <c r="C13" i="7"/>
  <c r="C6" i="7"/>
  <c r="C19" i="7"/>
  <c r="C12" i="7"/>
  <c r="C5" i="7"/>
  <c r="C18" i="7"/>
  <c r="C11" i="7"/>
  <c r="C4" i="7"/>
  <c r="C3" i="7"/>
  <c r="L211" i="8" a="1"/>
  <c r="L211" i="8" s="1"/>
  <c r="L68" i="8" l="1"/>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2" i="9"/>
  <c r="L23" i="9"/>
  <c r="W23" i="11"/>
  <c r="V23" i="11"/>
  <c r="W22" i="11"/>
  <c r="V22" i="11"/>
  <c r="M23" i="9"/>
  <c r="M22" i="9"/>
  <c r="O22" i="9"/>
  <c r="Y2" i="4"/>
  <c r="W22" i="10"/>
  <c r="V22" i="10"/>
  <c r="V23" i="10"/>
  <c r="W23" i="10"/>
  <c r="O23" i="9"/>
  <c r="V3" i="8" l="1"/>
  <c r="V4" i="8"/>
  <c r="V5" i="8"/>
  <c r="V6"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V53" i="8"/>
  <c r="V54" i="8"/>
  <c r="V55" i="8"/>
  <c r="V56" i="8"/>
  <c r="V57" i="8"/>
  <c r="V58" i="8"/>
  <c r="V59" i="8"/>
  <c r="V60" i="8"/>
  <c r="V61" i="8"/>
  <c r="V62" i="8"/>
  <c r="V63" i="8"/>
  <c r="V64" i="8"/>
  <c r="V65" i="8"/>
  <c r="V66" i="8"/>
  <c r="V67" i="8"/>
  <c r="V68" i="8"/>
  <c r="V69" i="8"/>
  <c r="V70" i="8"/>
  <c r="V71" i="8"/>
  <c r="V72" i="8"/>
  <c r="V73" i="8"/>
  <c r="V74" i="8"/>
  <c r="V75" i="8"/>
  <c r="V76" i="8"/>
  <c r="V77" i="8"/>
  <c r="V78" i="8"/>
  <c r="V79" i="8"/>
  <c r="V80" i="8"/>
  <c r="V81" i="8"/>
  <c r="V82" i="8"/>
  <c r="V83" i="8"/>
  <c r="V84" i="8"/>
  <c r="V85" i="8"/>
  <c r="V86" i="8"/>
  <c r="V87" i="8"/>
  <c r="V88" i="8"/>
  <c r="V89" i="8"/>
  <c r="V90" i="8"/>
  <c r="V91" i="8"/>
  <c r="V92" i="8"/>
  <c r="V93" i="8"/>
  <c r="V94" i="8"/>
  <c r="V95" i="8"/>
  <c r="V96" i="8"/>
  <c r="V97" i="8"/>
  <c r="V98" i="8"/>
  <c r="V99" i="8"/>
  <c r="V100" i="8"/>
  <c r="V101" i="8"/>
  <c r="V102" i="8"/>
  <c r="V103" i="8"/>
  <c r="V104" i="8"/>
  <c r="V105" i="8"/>
  <c r="V106" i="8"/>
  <c r="V107" i="8"/>
  <c r="V108" i="8"/>
  <c r="V109" i="8"/>
  <c r="V110" i="8"/>
  <c r="V111" i="8"/>
  <c r="V112" i="8"/>
  <c r="V113" i="8"/>
  <c r="V114" i="8"/>
  <c r="V115" i="8"/>
  <c r="V116" i="8"/>
  <c r="V117" i="8"/>
  <c r="V118" i="8"/>
  <c r="V119" i="8"/>
  <c r="V120" i="8"/>
  <c r="V121" i="8"/>
  <c r="V122" i="8"/>
  <c r="V123" i="8"/>
  <c r="V124" i="8"/>
  <c r="V125" i="8"/>
  <c r="V126" i="8"/>
  <c r="V127" i="8"/>
  <c r="V128" i="8"/>
  <c r="V129" i="8"/>
  <c r="V130" i="8"/>
  <c r="V131" i="8"/>
  <c r="V132" i="8"/>
  <c r="V133" i="8"/>
  <c r="V134" i="8"/>
  <c r="V135" i="8"/>
  <c r="V136" i="8"/>
  <c r="V137" i="8"/>
  <c r="V138" i="8"/>
  <c r="V139" i="8"/>
  <c r="V140" i="8"/>
  <c r="V141" i="8"/>
  <c r="V142" i="8"/>
  <c r="V143" i="8"/>
  <c r="V144" i="8"/>
  <c r="V145" i="8"/>
  <c r="V146" i="8"/>
  <c r="V147" i="8"/>
  <c r="V148" i="8"/>
  <c r="V149" i="8"/>
  <c r="V150" i="8"/>
  <c r="V151" i="8"/>
  <c r="V152" i="8"/>
  <c r="V153" i="8"/>
  <c r="V154" i="8"/>
  <c r="V155" i="8"/>
  <c r="V156" i="8"/>
  <c r="V157" i="8"/>
  <c r="V158" i="8"/>
  <c r="V159" i="8"/>
  <c r="V160" i="8"/>
  <c r="V161" i="8"/>
  <c r="V162" i="8"/>
  <c r="V163" i="8"/>
  <c r="V164" i="8"/>
  <c r="V165" i="8"/>
  <c r="V166" i="8"/>
  <c r="V167" i="8"/>
  <c r="V168" i="8"/>
  <c r="V169" i="8"/>
  <c r="V170" i="8"/>
  <c r="V171" i="8"/>
  <c r="V172" i="8"/>
  <c r="V173" i="8"/>
  <c r="V174" i="8"/>
  <c r="V175" i="8"/>
  <c r="V176" i="8"/>
  <c r="V177" i="8"/>
  <c r="V178" i="8"/>
  <c r="V179" i="8"/>
  <c r="V180" i="8"/>
  <c r="V181" i="8"/>
  <c r="V182" i="8"/>
  <c r="V183" i="8"/>
  <c r="V184" i="8"/>
  <c r="V185" i="8"/>
  <c r="V186" i="8"/>
  <c r="V187" i="8"/>
  <c r="V188" i="8"/>
  <c r="V189" i="8"/>
  <c r="V190" i="8"/>
  <c r="V191" i="8"/>
  <c r="V192" i="8"/>
  <c r="V193" i="8"/>
  <c r="V194" i="8"/>
  <c r="V195" i="8"/>
  <c r="V196" i="8"/>
  <c r="V197" i="8"/>
  <c r="V198" i="8"/>
  <c r="V199" i="8"/>
  <c r="V200" i="8"/>
  <c r="V201" i="8"/>
  <c r="V202" i="8"/>
  <c r="V203" i="8"/>
  <c r="V204" i="8"/>
  <c r="V205" i="8"/>
  <c r="V206" i="8"/>
  <c r="V207" i="8"/>
  <c r="V208" i="8"/>
  <c r="V209" i="8"/>
  <c r="V2" i="8"/>
  <c r="O21" i="9"/>
  <c r="N21" i="9"/>
  <c r="M21" i="9"/>
  <c r="K21" i="9"/>
  <c r="I21" i="9"/>
  <c r="G21" i="9"/>
  <c r="F21" i="9"/>
  <c r="O20" i="9"/>
  <c r="N20" i="9"/>
  <c r="M20" i="9"/>
  <c r="K20" i="9"/>
  <c r="I20" i="9"/>
  <c r="G20" i="9"/>
  <c r="F20" i="9"/>
  <c r="O19" i="9"/>
  <c r="N19" i="9"/>
  <c r="M19" i="9"/>
  <c r="K19" i="9"/>
  <c r="I19" i="9"/>
  <c r="F19" i="9"/>
  <c r="G19" i="9" s="1"/>
  <c r="O18" i="9"/>
  <c r="N18" i="9"/>
  <c r="M18" i="9"/>
  <c r="K18" i="9"/>
  <c r="I18" i="9"/>
  <c r="F18" i="9"/>
  <c r="G18" i="9" s="1"/>
  <c r="O17" i="9"/>
  <c r="N17" i="9"/>
  <c r="M17" i="9"/>
  <c r="K17" i="9"/>
  <c r="I17" i="9"/>
  <c r="F17" i="9"/>
  <c r="G17" i="9" s="1"/>
  <c r="O16" i="9"/>
  <c r="N16" i="9"/>
  <c r="M16" i="9"/>
  <c r="K16" i="9"/>
  <c r="I16" i="9"/>
  <c r="F16" i="9"/>
  <c r="G16" i="9" s="1"/>
  <c r="O15" i="9"/>
  <c r="N15" i="9"/>
  <c r="M15" i="9"/>
  <c r="K15" i="9"/>
  <c r="I15" i="9"/>
  <c r="F15" i="9"/>
  <c r="O14" i="9"/>
  <c r="N14" i="9"/>
  <c r="M14" i="9"/>
  <c r="K14" i="9"/>
  <c r="I14" i="9"/>
  <c r="F14" i="9"/>
  <c r="O13" i="9"/>
  <c r="N13" i="9"/>
  <c r="M13" i="9"/>
  <c r="K13" i="9"/>
  <c r="I13" i="9"/>
  <c r="F13" i="9"/>
  <c r="G13" i="9" s="1"/>
  <c r="O12" i="9"/>
  <c r="N12" i="9"/>
  <c r="M12" i="9"/>
  <c r="K12" i="9"/>
  <c r="I12" i="9"/>
  <c r="F12" i="9"/>
  <c r="G12" i="9" s="1"/>
  <c r="O11" i="9"/>
  <c r="N11" i="9"/>
  <c r="M11" i="9"/>
  <c r="K11" i="9"/>
  <c r="I11" i="9"/>
  <c r="F11" i="9"/>
  <c r="G11" i="9" s="1"/>
  <c r="O10" i="9"/>
  <c r="N10" i="9"/>
  <c r="M10" i="9"/>
  <c r="K10" i="9"/>
  <c r="I10" i="9"/>
  <c r="F10" i="9"/>
  <c r="G10" i="9" s="1"/>
  <c r="O9" i="9"/>
  <c r="N9" i="9"/>
  <c r="M9" i="9"/>
  <c r="K9" i="9"/>
  <c r="I9" i="9"/>
  <c r="F9" i="9"/>
  <c r="G9" i="9" s="1"/>
  <c r="O8" i="9"/>
  <c r="N8" i="9"/>
  <c r="M8" i="9"/>
  <c r="K8" i="9"/>
  <c r="I8" i="9"/>
  <c r="F8" i="9"/>
  <c r="G8" i="9" s="1"/>
  <c r="O7" i="9"/>
  <c r="N7" i="9"/>
  <c r="M7" i="9"/>
  <c r="K7" i="9"/>
  <c r="I7" i="9"/>
  <c r="F7" i="9"/>
  <c r="G7" i="9" s="1"/>
  <c r="O6" i="9"/>
  <c r="N6" i="9"/>
  <c r="M6" i="9"/>
  <c r="K6" i="9"/>
  <c r="I6" i="9"/>
  <c r="F6" i="9"/>
  <c r="G6" i="9" s="1"/>
  <c r="O5" i="9"/>
  <c r="N5" i="9"/>
  <c r="M5" i="9"/>
  <c r="K5" i="9"/>
  <c r="I5" i="9"/>
  <c r="F5" i="9"/>
  <c r="O4" i="9"/>
  <c r="N4" i="9"/>
  <c r="M4" i="9"/>
  <c r="K4" i="9"/>
  <c r="I4" i="9"/>
  <c r="F4" i="9"/>
  <c r="O3" i="9"/>
  <c r="N3" i="9"/>
  <c r="M3" i="9"/>
  <c r="K3" i="9"/>
  <c r="I3" i="9"/>
  <c r="F3" i="9"/>
  <c r="O3" i="11" l="1"/>
  <c r="M3" i="11"/>
  <c r="L3" i="11"/>
  <c r="N3" i="11"/>
  <c r="K3" i="11"/>
  <c r="C22" i="11"/>
  <c r="W3" i="11"/>
  <c r="D3" i="11"/>
  <c r="V3" i="11"/>
  <c r="C3" i="11"/>
  <c r="U3" i="11"/>
  <c r="T3" i="11"/>
  <c r="S3" i="11"/>
  <c r="R3" i="11"/>
  <c r="C23" i="11"/>
  <c r="Q3" i="11"/>
  <c r="P3" i="11"/>
  <c r="J3" i="11"/>
  <c r="I3" i="11"/>
  <c r="H3" i="11"/>
  <c r="G3" i="11"/>
  <c r="F3" i="11"/>
  <c r="E3" i="11"/>
  <c r="O17" i="11"/>
  <c r="M17" i="11"/>
  <c r="K17" i="11"/>
  <c r="Q22" i="11"/>
  <c r="N17" i="11"/>
  <c r="L17" i="11"/>
  <c r="J17" i="11"/>
  <c r="R17" i="11"/>
  <c r="Q17" i="11"/>
  <c r="P17" i="11"/>
  <c r="I17" i="11"/>
  <c r="H17" i="11"/>
  <c r="G17" i="11"/>
  <c r="F17" i="11"/>
  <c r="E17" i="11"/>
  <c r="D17" i="11"/>
  <c r="W17" i="11"/>
  <c r="C17" i="11"/>
  <c r="V17" i="11"/>
  <c r="U17" i="11"/>
  <c r="Q23" i="11"/>
  <c r="T17" i="11"/>
  <c r="S17" i="11"/>
  <c r="O23" i="11"/>
  <c r="O15" i="11"/>
  <c r="L15" i="11"/>
  <c r="J15" i="11"/>
  <c r="N15" i="11"/>
  <c r="M15" i="11"/>
  <c r="K15" i="11"/>
  <c r="H15" i="11"/>
  <c r="G15" i="11"/>
  <c r="F15" i="11"/>
  <c r="E15" i="11"/>
  <c r="D15" i="11"/>
  <c r="W15" i="11"/>
  <c r="C15" i="11"/>
  <c r="V15" i="11"/>
  <c r="U15" i="11"/>
  <c r="T15" i="11"/>
  <c r="S15" i="11"/>
  <c r="O22" i="11"/>
  <c r="R15" i="11"/>
  <c r="Q15" i="11"/>
  <c r="P15" i="11"/>
  <c r="I15" i="11"/>
  <c r="V6" i="11"/>
  <c r="H6" i="11"/>
  <c r="F22" i="11"/>
  <c r="F6" i="11"/>
  <c r="S6" i="11"/>
  <c r="R6" i="11"/>
  <c r="Q6" i="11"/>
  <c r="U6" i="11"/>
  <c r="G6" i="11"/>
  <c r="T6" i="11"/>
  <c r="E6" i="11"/>
  <c r="D6" i="11"/>
  <c r="C6" i="11"/>
  <c r="F23" i="11"/>
  <c r="W6" i="11"/>
  <c r="P6" i="11"/>
  <c r="O6" i="11"/>
  <c r="N6" i="11"/>
  <c r="M6" i="11"/>
  <c r="L6" i="11"/>
  <c r="K6" i="11"/>
  <c r="J6" i="11"/>
  <c r="I6" i="11"/>
  <c r="V20" i="11"/>
  <c r="H20" i="11"/>
  <c r="T22" i="11"/>
  <c r="T20" i="11"/>
  <c r="F20" i="11"/>
  <c r="S20" i="11"/>
  <c r="D20" i="11"/>
  <c r="C20" i="11"/>
  <c r="U20" i="11"/>
  <c r="G20" i="11"/>
  <c r="E20" i="11"/>
  <c r="R20" i="11"/>
  <c r="Q20" i="11"/>
  <c r="W20" i="11"/>
  <c r="P20" i="11"/>
  <c r="O20" i="11"/>
  <c r="N20" i="11"/>
  <c r="M20" i="11"/>
  <c r="T23" i="11"/>
  <c r="L20" i="11"/>
  <c r="K20" i="11"/>
  <c r="J20" i="11"/>
  <c r="I20" i="11"/>
  <c r="V4" i="11"/>
  <c r="H4" i="11"/>
  <c r="T4" i="11"/>
  <c r="D22" i="11"/>
  <c r="D4" i="11"/>
  <c r="U4" i="11"/>
  <c r="G4" i="11"/>
  <c r="F4" i="11"/>
  <c r="S4" i="11"/>
  <c r="E4" i="11"/>
  <c r="R4" i="11"/>
  <c r="W4" i="11"/>
  <c r="Q4" i="11"/>
  <c r="D23" i="11"/>
  <c r="P4" i="11"/>
  <c r="O4" i="11"/>
  <c r="N4" i="11"/>
  <c r="M4" i="11"/>
  <c r="L4" i="11"/>
  <c r="K4" i="11"/>
  <c r="J4" i="11"/>
  <c r="I4" i="11"/>
  <c r="C4" i="11"/>
  <c r="O7" i="11"/>
  <c r="M7" i="11"/>
  <c r="G22" i="11"/>
  <c r="N7" i="11"/>
  <c r="L7" i="11"/>
  <c r="K7" i="11"/>
  <c r="G7" i="11"/>
  <c r="F7" i="11"/>
  <c r="G23" i="11"/>
  <c r="E7" i="11"/>
  <c r="W7" i="11"/>
  <c r="D7" i="11"/>
  <c r="V7" i="11"/>
  <c r="C7" i="11"/>
  <c r="U7" i="11"/>
  <c r="T7" i="11"/>
  <c r="S7" i="11"/>
  <c r="R7" i="11"/>
  <c r="Q7" i="11"/>
  <c r="P7" i="11"/>
  <c r="J7" i="11"/>
  <c r="I7" i="11"/>
  <c r="H7" i="11"/>
  <c r="V10" i="11"/>
  <c r="H10" i="11"/>
  <c r="F10" i="11"/>
  <c r="S10" i="11"/>
  <c r="R10" i="11"/>
  <c r="Q10" i="11"/>
  <c r="U10" i="11"/>
  <c r="G10" i="11"/>
  <c r="T10" i="11"/>
  <c r="E10" i="11"/>
  <c r="D10" i="11"/>
  <c r="J23" i="11"/>
  <c r="C10" i="11"/>
  <c r="O10" i="11"/>
  <c r="J22" i="11"/>
  <c r="N10" i="11"/>
  <c r="M10" i="11"/>
  <c r="L10" i="11"/>
  <c r="K10" i="11"/>
  <c r="J10" i="11"/>
  <c r="I10" i="11"/>
  <c r="W10" i="11"/>
  <c r="P10" i="11"/>
  <c r="H22" i="11"/>
  <c r="V8" i="11"/>
  <c r="H8" i="11"/>
  <c r="T8" i="11"/>
  <c r="S8" i="11"/>
  <c r="D8" i="11"/>
  <c r="C8" i="11"/>
  <c r="U8" i="11"/>
  <c r="G8" i="11"/>
  <c r="F8" i="11"/>
  <c r="E8" i="11"/>
  <c r="R8" i="11"/>
  <c r="Q8" i="11"/>
  <c r="K8" i="11"/>
  <c r="H23" i="11"/>
  <c r="J8" i="11"/>
  <c r="I8" i="11"/>
  <c r="W8" i="11"/>
  <c r="P8" i="11"/>
  <c r="O8" i="11"/>
  <c r="N8" i="11"/>
  <c r="M8" i="11"/>
  <c r="L8" i="11"/>
  <c r="O13" i="11"/>
  <c r="M23" i="11"/>
  <c r="M13" i="11"/>
  <c r="K13" i="11"/>
  <c r="N13" i="11"/>
  <c r="L13" i="11"/>
  <c r="J13" i="11"/>
  <c r="D13" i="11"/>
  <c r="W13" i="11"/>
  <c r="C13" i="11"/>
  <c r="V13" i="11"/>
  <c r="U13" i="11"/>
  <c r="T13" i="11"/>
  <c r="S13" i="11"/>
  <c r="R13" i="11"/>
  <c r="Q13" i="11"/>
  <c r="P13" i="11"/>
  <c r="I13" i="11"/>
  <c r="H13" i="11"/>
  <c r="G13" i="11"/>
  <c r="M22" i="11"/>
  <c r="F13" i="11"/>
  <c r="E13" i="11"/>
  <c r="O11" i="11"/>
  <c r="M11" i="11"/>
  <c r="K23" i="11"/>
  <c r="N11" i="11"/>
  <c r="L11" i="11"/>
  <c r="K11" i="11"/>
  <c r="J11" i="11"/>
  <c r="K22" i="11"/>
  <c r="T11" i="11"/>
  <c r="S11" i="11"/>
  <c r="R11" i="11"/>
  <c r="Q11" i="11"/>
  <c r="P11" i="11"/>
  <c r="I11" i="11"/>
  <c r="H11" i="11"/>
  <c r="G11" i="11"/>
  <c r="F11" i="11"/>
  <c r="E11" i="11"/>
  <c r="D11" i="11"/>
  <c r="W11" i="11"/>
  <c r="C11" i="11"/>
  <c r="V11" i="11"/>
  <c r="U11" i="11"/>
  <c r="V18" i="11"/>
  <c r="H18" i="11"/>
  <c r="T18" i="11"/>
  <c r="F18" i="11"/>
  <c r="E18" i="11"/>
  <c r="R18" i="11"/>
  <c r="C18" i="11"/>
  <c r="U18" i="11"/>
  <c r="G18" i="11"/>
  <c r="S18" i="11"/>
  <c r="R22" i="11"/>
  <c r="D18" i="11"/>
  <c r="Q18" i="11"/>
  <c r="W18" i="11"/>
  <c r="P18" i="11"/>
  <c r="O18" i="11"/>
  <c r="N18" i="11"/>
  <c r="M18" i="11"/>
  <c r="L18" i="11"/>
  <c r="K18" i="11"/>
  <c r="J18" i="11"/>
  <c r="I18" i="11"/>
  <c r="R23" i="11"/>
  <c r="O9" i="11"/>
  <c r="L9" i="11"/>
  <c r="K9" i="11"/>
  <c r="J9" i="11"/>
  <c r="N9" i="11"/>
  <c r="M9" i="11"/>
  <c r="I23" i="11"/>
  <c r="P9" i="11"/>
  <c r="I9" i="11"/>
  <c r="I22" i="11"/>
  <c r="H9" i="11"/>
  <c r="G9" i="11"/>
  <c r="F9" i="11"/>
  <c r="E9" i="11"/>
  <c r="D9" i="11"/>
  <c r="W9" i="11"/>
  <c r="C9" i="11"/>
  <c r="V9" i="11"/>
  <c r="U9" i="11"/>
  <c r="T9" i="11"/>
  <c r="S9" i="11"/>
  <c r="R9" i="11"/>
  <c r="Q9" i="11"/>
  <c r="V16" i="11"/>
  <c r="H16" i="11"/>
  <c r="F16" i="11"/>
  <c r="S16" i="11"/>
  <c r="D16" i="11"/>
  <c r="Q16" i="11"/>
  <c r="U16" i="11"/>
  <c r="G16" i="11"/>
  <c r="T16" i="11"/>
  <c r="E16" i="11"/>
  <c r="R16" i="11"/>
  <c r="C16" i="11"/>
  <c r="M16" i="11"/>
  <c r="L16" i="11"/>
  <c r="K16" i="11"/>
  <c r="J16" i="11"/>
  <c r="I16" i="11"/>
  <c r="P22" i="11"/>
  <c r="W16" i="11"/>
  <c r="P16" i="11"/>
  <c r="O16" i="11"/>
  <c r="P23" i="11"/>
  <c r="N16" i="11"/>
  <c r="V14" i="11"/>
  <c r="H14" i="11"/>
  <c r="F14" i="11"/>
  <c r="E14" i="11"/>
  <c r="R14" i="11"/>
  <c r="C14" i="11"/>
  <c r="N23" i="11"/>
  <c r="U14" i="11"/>
  <c r="G14" i="11"/>
  <c r="T14" i="11"/>
  <c r="S14" i="11"/>
  <c r="D14" i="11"/>
  <c r="Q14" i="11"/>
  <c r="I14" i="11"/>
  <c r="W14" i="11"/>
  <c r="P14" i="11"/>
  <c r="O14" i="11"/>
  <c r="N14" i="11"/>
  <c r="M14" i="11"/>
  <c r="N22" i="11"/>
  <c r="L14" i="11"/>
  <c r="K14" i="11"/>
  <c r="J14" i="11"/>
  <c r="O5" i="11"/>
  <c r="L5" i="11"/>
  <c r="K5" i="11"/>
  <c r="N5" i="11"/>
  <c r="M5" i="11"/>
  <c r="E22" i="11"/>
  <c r="E5" i="11"/>
  <c r="W5" i="11"/>
  <c r="D5" i="11"/>
  <c r="V5" i="11"/>
  <c r="C5" i="11"/>
  <c r="U5" i="11"/>
  <c r="E23" i="11"/>
  <c r="T5" i="11"/>
  <c r="S5" i="11"/>
  <c r="R5" i="11"/>
  <c r="Q5" i="11"/>
  <c r="P5" i="11"/>
  <c r="J5" i="11"/>
  <c r="I5" i="11"/>
  <c r="H5" i="11"/>
  <c r="G5" i="11"/>
  <c r="F5" i="11"/>
  <c r="V12" i="11"/>
  <c r="H12" i="11"/>
  <c r="F12" i="11"/>
  <c r="L23" i="11"/>
  <c r="S12" i="11"/>
  <c r="D12" i="11"/>
  <c r="C12" i="11"/>
  <c r="U12" i="11"/>
  <c r="G12" i="11"/>
  <c r="T12" i="11"/>
  <c r="E12" i="11"/>
  <c r="R12" i="11"/>
  <c r="Q12" i="11"/>
  <c r="W12" i="11"/>
  <c r="P12" i="11"/>
  <c r="O12" i="11"/>
  <c r="N12" i="11"/>
  <c r="M12" i="11"/>
  <c r="L12" i="11"/>
  <c r="K12" i="11"/>
  <c r="J12" i="11"/>
  <c r="I12" i="11"/>
  <c r="L22" i="11"/>
  <c r="O19" i="11"/>
  <c r="S22" i="11"/>
  <c r="L19" i="11"/>
  <c r="N19" i="11"/>
  <c r="M19" i="11"/>
  <c r="K19" i="11"/>
  <c r="J19" i="11"/>
  <c r="V19" i="11"/>
  <c r="U19" i="11"/>
  <c r="T19" i="11"/>
  <c r="S19" i="11"/>
  <c r="R19" i="11"/>
  <c r="Q19" i="11"/>
  <c r="P19" i="11"/>
  <c r="I19" i="11"/>
  <c r="H19" i="11"/>
  <c r="G19" i="11"/>
  <c r="S23" i="11"/>
  <c r="F19" i="11"/>
  <c r="E19" i="11"/>
  <c r="D19" i="11"/>
  <c r="W19" i="11"/>
  <c r="C19" i="11"/>
  <c r="O21" i="11"/>
  <c r="M21" i="11"/>
  <c r="L21" i="11"/>
  <c r="K21" i="11"/>
  <c r="J21" i="11"/>
  <c r="U22" i="11"/>
  <c r="N21" i="11"/>
  <c r="F21" i="11"/>
  <c r="E21" i="11"/>
  <c r="D21" i="11"/>
  <c r="W21" i="11"/>
  <c r="C21" i="11"/>
  <c r="V21" i="11"/>
  <c r="U21" i="11"/>
  <c r="T21" i="11"/>
  <c r="S21" i="11"/>
  <c r="U23" i="11"/>
  <c r="R21" i="11"/>
  <c r="Q21" i="11"/>
  <c r="P21" i="11"/>
  <c r="I21" i="11"/>
  <c r="H21" i="11"/>
  <c r="G21" i="11"/>
  <c r="P7" i="10"/>
  <c r="E7" i="10"/>
  <c r="Q7" i="10"/>
  <c r="W7" i="10"/>
  <c r="F7" i="10"/>
  <c r="C7" i="10"/>
  <c r="U7" i="10"/>
  <c r="L7" i="10"/>
  <c r="G7" i="10"/>
  <c r="J7" i="10"/>
  <c r="S7" i="10"/>
  <c r="T7" i="10"/>
  <c r="V7" i="10"/>
  <c r="H7" i="10"/>
  <c r="I7" i="10"/>
  <c r="M7" i="10"/>
  <c r="N7" i="10"/>
  <c r="O7" i="10"/>
  <c r="G23" i="10"/>
  <c r="G22" i="10"/>
  <c r="D7" i="10"/>
  <c r="K7" i="10"/>
  <c r="R7" i="10"/>
  <c r="O5" i="10"/>
  <c r="F5" i="10"/>
  <c r="P5" i="10"/>
  <c r="G5" i="10"/>
  <c r="Q5" i="10"/>
  <c r="U5" i="10"/>
  <c r="S5" i="10"/>
  <c r="V5" i="10"/>
  <c r="W5" i="10"/>
  <c r="E22" i="10"/>
  <c r="N5" i="10"/>
  <c r="K5" i="10"/>
  <c r="J5" i="10"/>
  <c r="C5" i="10"/>
  <c r="T5" i="10"/>
  <c r="E23" i="10"/>
  <c r="D5" i="10"/>
  <c r="E5" i="10"/>
  <c r="R5" i="10"/>
  <c r="L5" i="10"/>
  <c r="M5" i="10"/>
  <c r="H5" i="10"/>
  <c r="I5" i="10"/>
  <c r="V12" i="10"/>
  <c r="J12" i="10"/>
  <c r="K12" i="10"/>
  <c r="L12" i="10"/>
  <c r="M12" i="10"/>
  <c r="O12" i="10"/>
  <c r="L22" i="10"/>
  <c r="P12" i="10"/>
  <c r="S12" i="10"/>
  <c r="D12" i="10"/>
  <c r="T12" i="10"/>
  <c r="E12" i="10"/>
  <c r="U12" i="10"/>
  <c r="F12" i="10"/>
  <c r="C12" i="10"/>
  <c r="L23" i="10"/>
  <c r="W12" i="10"/>
  <c r="R12" i="10"/>
  <c r="Q12" i="10"/>
  <c r="G12" i="10"/>
  <c r="N12" i="10"/>
  <c r="H12" i="10"/>
  <c r="I12" i="10"/>
  <c r="O19" i="10"/>
  <c r="T19" i="10"/>
  <c r="V19" i="10"/>
  <c r="P19" i="10"/>
  <c r="S19" i="10"/>
  <c r="W19" i="10"/>
  <c r="U19" i="10"/>
  <c r="R19" i="10"/>
  <c r="Q19" i="10"/>
  <c r="S22" i="10"/>
  <c r="N19" i="10"/>
  <c r="G19" i="10"/>
  <c r="K19" i="10"/>
  <c r="F19" i="10"/>
  <c r="L19" i="10"/>
  <c r="E19" i="10"/>
  <c r="S23" i="10"/>
  <c r="D19" i="10"/>
  <c r="C19" i="10"/>
  <c r="H19" i="10"/>
  <c r="J19" i="10"/>
  <c r="M19" i="10"/>
  <c r="I19" i="10"/>
  <c r="T21" i="10"/>
  <c r="P21" i="10"/>
  <c r="Q21" i="10"/>
  <c r="D21" i="10"/>
  <c r="R21" i="10"/>
  <c r="W21" i="10"/>
  <c r="G21" i="10"/>
  <c r="H21" i="10"/>
  <c r="J21" i="10"/>
  <c r="K21" i="10"/>
  <c r="L21" i="10"/>
  <c r="M21" i="10"/>
  <c r="I21" i="10"/>
  <c r="N21" i="10"/>
  <c r="O21" i="10"/>
  <c r="S21" i="10"/>
  <c r="V21" i="10"/>
  <c r="U21" i="10"/>
  <c r="U23" i="10"/>
  <c r="U22" i="10"/>
  <c r="C21" i="10"/>
  <c r="E21" i="10"/>
  <c r="F21" i="10"/>
  <c r="T3" i="10"/>
  <c r="I3" i="10"/>
  <c r="S3" i="10"/>
  <c r="J3" i="10"/>
  <c r="C23" i="10"/>
  <c r="N3" i="10"/>
  <c r="R3" i="10"/>
  <c r="P3" i="10"/>
  <c r="F3" i="10"/>
  <c r="Q3" i="10"/>
  <c r="G3" i="10"/>
  <c r="C3" i="10"/>
  <c r="U3" i="10"/>
  <c r="H3" i="10"/>
  <c r="V3" i="10"/>
  <c r="K3" i="10"/>
  <c r="W3" i="10"/>
  <c r="L3" i="10"/>
  <c r="M3" i="10"/>
  <c r="C22" i="10"/>
  <c r="O3" i="10"/>
  <c r="E3" i="10"/>
  <c r="K10" i="10"/>
  <c r="J23" i="10"/>
  <c r="D10" i="10"/>
  <c r="N10" i="10"/>
  <c r="O10" i="10"/>
  <c r="G10" i="10"/>
  <c r="P10" i="10"/>
  <c r="H10" i="10"/>
  <c r="Q10" i="10"/>
  <c r="I10" i="10"/>
  <c r="C10" i="10"/>
  <c r="T10" i="10"/>
  <c r="S10" i="10"/>
  <c r="M10" i="10"/>
  <c r="J22" i="10"/>
  <c r="V10" i="10"/>
  <c r="W10" i="10"/>
  <c r="E10" i="10"/>
  <c r="F10" i="10"/>
  <c r="R10" i="10"/>
  <c r="U10" i="10"/>
  <c r="L10" i="10"/>
  <c r="J10" i="10"/>
  <c r="W17" i="10"/>
  <c r="K17" i="10"/>
  <c r="L17" i="10"/>
  <c r="M17" i="10"/>
  <c r="N17" i="10"/>
  <c r="S17" i="10"/>
  <c r="Q17" i="10"/>
  <c r="C17" i="10"/>
  <c r="R17" i="10"/>
  <c r="D17" i="10"/>
  <c r="Q23" i="10"/>
  <c r="Q22" i="10"/>
  <c r="F17" i="10"/>
  <c r="U17" i="10"/>
  <c r="G17" i="10"/>
  <c r="H17" i="10"/>
  <c r="I17" i="10"/>
  <c r="J17" i="10"/>
  <c r="O17" i="10"/>
  <c r="P17" i="10"/>
  <c r="E17" i="10"/>
  <c r="T17" i="10"/>
  <c r="V17" i="10"/>
  <c r="L14" i="10"/>
  <c r="N14" i="10"/>
  <c r="N22" i="10"/>
  <c r="R14" i="10"/>
  <c r="P14" i="10"/>
  <c r="M14" i="10"/>
  <c r="Q14" i="10"/>
  <c r="W14" i="10"/>
  <c r="D14" i="10"/>
  <c r="N23" i="10"/>
  <c r="T14" i="10"/>
  <c r="E14" i="10"/>
  <c r="J14" i="10"/>
  <c r="K14" i="10"/>
  <c r="U14" i="10"/>
  <c r="V14" i="10"/>
  <c r="C14" i="10"/>
  <c r="F14" i="10"/>
  <c r="G14" i="10"/>
  <c r="H14" i="10"/>
  <c r="O14" i="10"/>
  <c r="S14" i="10"/>
  <c r="I14" i="10"/>
  <c r="L15" i="10"/>
  <c r="N15" i="10"/>
  <c r="O15" i="10"/>
  <c r="O22" i="10"/>
  <c r="M15" i="10"/>
  <c r="Q15" i="10"/>
  <c r="D15" i="10"/>
  <c r="T15" i="10"/>
  <c r="E15" i="10"/>
  <c r="F15" i="10"/>
  <c r="U15" i="10"/>
  <c r="V15" i="10"/>
  <c r="W15" i="10"/>
  <c r="O23" i="10"/>
  <c r="G15" i="10"/>
  <c r="H15" i="10"/>
  <c r="J15" i="10"/>
  <c r="K15" i="10"/>
  <c r="R15" i="10"/>
  <c r="S15" i="10"/>
  <c r="P15" i="10"/>
  <c r="I15" i="10"/>
  <c r="C15" i="10"/>
  <c r="M20" i="10"/>
  <c r="V20" i="10"/>
  <c r="L20" i="10"/>
  <c r="W20" i="10"/>
  <c r="K20" i="10"/>
  <c r="D20" i="10"/>
  <c r="G20" i="10"/>
  <c r="H20" i="10"/>
  <c r="E20" i="10"/>
  <c r="F20" i="10"/>
  <c r="T22" i="10"/>
  <c r="T23" i="10"/>
  <c r="P20" i="10"/>
  <c r="N20" i="10"/>
  <c r="J20" i="10"/>
  <c r="S20" i="10"/>
  <c r="T20" i="10"/>
  <c r="U20" i="10"/>
  <c r="I20" i="10"/>
  <c r="O20" i="10"/>
  <c r="C20" i="10"/>
  <c r="Q20" i="10"/>
  <c r="R20" i="10"/>
  <c r="W4" i="10"/>
  <c r="M4" i="10"/>
  <c r="J4" i="10"/>
  <c r="D22" i="10"/>
  <c r="H4" i="10"/>
  <c r="K4" i="10"/>
  <c r="E4" i="10"/>
  <c r="F4" i="10"/>
  <c r="I4" i="10"/>
  <c r="V4" i="10"/>
  <c r="U4" i="10"/>
  <c r="O4" i="10"/>
  <c r="S4" i="10"/>
  <c r="T4" i="10"/>
  <c r="D4" i="10"/>
  <c r="G4" i="10"/>
  <c r="L4" i="10"/>
  <c r="P4" i="10"/>
  <c r="Q4" i="10"/>
  <c r="N4" i="10"/>
  <c r="R4" i="10"/>
  <c r="D23" i="10"/>
  <c r="C4" i="10"/>
  <c r="R11" i="10"/>
  <c r="N11" i="10"/>
  <c r="G11" i="10"/>
  <c r="H11" i="10"/>
  <c r="I11" i="10"/>
  <c r="U11" i="10"/>
  <c r="V11" i="10"/>
  <c r="M11" i="10"/>
  <c r="W11" i="10"/>
  <c r="S11" i="10"/>
  <c r="J11" i="10"/>
  <c r="K11" i="10"/>
  <c r="L11" i="10"/>
  <c r="Q11" i="10"/>
  <c r="C11" i="10"/>
  <c r="K23" i="10"/>
  <c r="D11" i="10"/>
  <c r="P11" i="10"/>
  <c r="O11" i="10"/>
  <c r="F11" i="10"/>
  <c r="K22" i="10"/>
  <c r="T11" i="10"/>
  <c r="E11" i="10"/>
  <c r="L18" i="10"/>
  <c r="M18" i="10"/>
  <c r="N18" i="10"/>
  <c r="S18" i="10"/>
  <c r="Q18" i="10"/>
  <c r="R22" i="10"/>
  <c r="C18" i="10"/>
  <c r="D18" i="10"/>
  <c r="R18" i="10"/>
  <c r="W18" i="10"/>
  <c r="E18" i="10"/>
  <c r="F18" i="10"/>
  <c r="R23" i="10"/>
  <c r="G18" i="10"/>
  <c r="H18" i="10"/>
  <c r="I18" i="10"/>
  <c r="U18" i="10"/>
  <c r="V18" i="10"/>
  <c r="J18" i="10"/>
  <c r="K18" i="10"/>
  <c r="T18" i="10"/>
  <c r="O18" i="10"/>
  <c r="P18" i="10"/>
  <c r="O9" i="10"/>
  <c r="V9" i="10"/>
  <c r="P9" i="10"/>
  <c r="W9" i="10"/>
  <c r="I23" i="10"/>
  <c r="D9" i="10"/>
  <c r="E9" i="10"/>
  <c r="F9" i="10"/>
  <c r="G9" i="10"/>
  <c r="H9" i="10"/>
  <c r="I9" i="10"/>
  <c r="C9" i="10"/>
  <c r="Q9" i="10"/>
  <c r="S9" i="10"/>
  <c r="R9" i="10"/>
  <c r="T9" i="10"/>
  <c r="U9" i="10"/>
  <c r="J9" i="10"/>
  <c r="I22" i="10"/>
  <c r="M9" i="10"/>
  <c r="N9" i="10"/>
  <c r="K9" i="10"/>
  <c r="L9" i="10"/>
  <c r="N16" i="10"/>
  <c r="O16" i="10"/>
  <c r="P16" i="10"/>
  <c r="U16" i="10"/>
  <c r="V16" i="10"/>
  <c r="D16" i="10"/>
  <c r="S16" i="10"/>
  <c r="W16" i="10"/>
  <c r="E16" i="10"/>
  <c r="T16" i="10"/>
  <c r="F16" i="10"/>
  <c r="I16" i="10"/>
  <c r="J16" i="10"/>
  <c r="P22" i="10"/>
  <c r="K16" i="10"/>
  <c r="L16" i="10"/>
  <c r="Q16" i="10"/>
  <c r="M16" i="10"/>
  <c r="H16" i="10"/>
  <c r="R16" i="10"/>
  <c r="P23" i="10"/>
  <c r="C16" i="10"/>
  <c r="G16" i="10"/>
  <c r="S8" i="10"/>
  <c r="H23" i="10"/>
  <c r="C8" i="10"/>
  <c r="T8" i="10"/>
  <c r="U8" i="10"/>
  <c r="L8" i="10"/>
  <c r="M8" i="10"/>
  <c r="N8" i="10"/>
  <c r="D8" i="10"/>
  <c r="O8" i="10"/>
  <c r="E8" i="10"/>
  <c r="R8" i="10"/>
  <c r="W8" i="10"/>
  <c r="H22" i="10"/>
  <c r="F8" i="10"/>
  <c r="J8" i="10"/>
  <c r="G8" i="10"/>
  <c r="H8" i="10"/>
  <c r="I8" i="10"/>
  <c r="Q8" i="10"/>
  <c r="K8" i="10"/>
  <c r="P8" i="10"/>
  <c r="V8" i="10"/>
  <c r="J6" i="10"/>
  <c r="M6" i="10"/>
  <c r="O6" i="10"/>
  <c r="Q6" i="10"/>
  <c r="R6" i="10"/>
  <c r="U6" i="10"/>
  <c r="K6" i="10"/>
  <c r="S6" i="10"/>
  <c r="T6" i="10"/>
  <c r="D6" i="10"/>
  <c r="L6" i="10"/>
  <c r="G6" i="10"/>
  <c r="E6" i="10"/>
  <c r="F6" i="10"/>
  <c r="H6" i="10"/>
  <c r="I6" i="10"/>
  <c r="C6" i="10"/>
  <c r="V6" i="10"/>
  <c r="W6" i="10"/>
  <c r="F23" i="10"/>
  <c r="P6" i="10"/>
  <c r="N6" i="10"/>
  <c r="F22" i="10"/>
  <c r="R13" i="10"/>
  <c r="M22" i="10"/>
  <c r="O13" i="10"/>
  <c r="V13" i="10"/>
  <c r="Q13" i="10"/>
  <c r="U13" i="10"/>
  <c r="W13" i="10"/>
  <c r="P13" i="10"/>
  <c r="M13" i="10"/>
  <c r="J13" i="10"/>
  <c r="H13" i="10"/>
  <c r="M23" i="10"/>
  <c r="T13" i="10"/>
  <c r="I13" i="10"/>
  <c r="S13" i="10"/>
  <c r="L13" i="10"/>
  <c r="K13" i="10"/>
  <c r="G13" i="10"/>
  <c r="F13" i="10"/>
  <c r="D13" i="10"/>
  <c r="E13" i="10"/>
  <c r="C13" i="10"/>
  <c r="N13" i="10"/>
  <c r="U17" i="8"/>
  <c r="U21" i="8"/>
  <c r="U23" i="8"/>
  <c r="U24" i="8"/>
  <c r="U33" i="8"/>
  <c r="U37" i="8"/>
  <c r="U39" i="8"/>
  <c r="U40" i="8"/>
  <c r="U45" i="8"/>
  <c r="U47" i="8"/>
  <c r="U61" i="8"/>
  <c r="U64" i="8"/>
  <c r="U66" i="8"/>
  <c r="U67" i="8"/>
  <c r="U69" i="8"/>
  <c r="U75" i="8"/>
  <c r="U78" i="8"/>
  <c r="U79" i="8"/>
  <c r="U89" i="8"/>
  <c r="U93" i="8"/>
  <c r="U94" i="8"/>
  <c r="U104" i="8"/>
  <c r="U105" i="8"/>
  <c r="U106" i="8"/>
  <c r="U107" i="8"/>
  <c r="U108" i="8"/>
  <c r="U109" i="8"/>
  <c r="U122" i="8"/>
  <c r="U129" i="8"/>
  <c r="U131" i="8"/>
  <c r="U132" i="8"/>
  <c r="U134" i="8"/>
  <c r="U137" i="8"/>
  <c r="U145" i="8"/>
  <c r="U148" i="8"/>
  <c r="U150" i="8"/>
  <c r="U159" i="8"/>
  <c r="U160" i="8"/>
  <c r="U161" i="8"/>
  <c r="U162" i="8"/>
  <c r="U173" i="8"/>
  <c r="U174" i="8"/>
  <c r="U175" i="8"/>
  <c r="U178" i="8"/>
  <c r="U180" i="8"/>
  <c r="U182" i="8"/>
  <c r="U187" i="8"/>
  <c r="U204" i="8"/>
  <c r="U205" i="8"/>
  <c r="U206" i="8"/>
  <c r="U207" i="8"/>
  <c r="F3" i="8"/>
  <c r="J3" i="8"/>
  <c r="K3" i="8"/>
  <c r="N3" i="8"/>
  <c r="O3" i="8"/>
  <c r="Q3" i="8"/>
  <c r="M4" i="8"/>
  <c r="N4" i="8"/>
  <c r="O4" i="8"/>
  <c r="T4" i="8"/>
  <c r="D5" i="8"/>
  <c r="E5" i="8"/>
  <c r="F5" i="8"/>
  <c r="G5" i="8"/>
  <c r="I5" i="8"/>
  <c r="J5" i="8"/>
  <c r="K5" i="8"/>
  <c r="M5" i="8"/>
  <c r="O5" i="8"/>
  <c r="P5" i="8"/>
  <c r="T5" i="8"/>
  <c r="C6" i="8"/>
  <c r="E6" i="8"/>
  <c r="G6" i="8"/>
  <c r="O7" i="8"/>
  <c r="Q7" i="8"/>
  <c r="T7" i="8"/>
  <c r="C8" i="8"/>
  <c r="D8" i="8"/>
  <c r="F8" i="8"/>
  <c r="G8" i="8"/>
  <c r="H8" i="8"/>
  <c r="O8" i="8"/>
  <c r="Q8" i="8"/>
  <c r="C9" i="8"/>
  <c r="D9" i="8"/>
  <c r="E9" i="8"/>
  <c r="G9" i="8"/>
  <c r="H9" i="8"/>
  <c r="I9" i="8"/>
  <c r="P9" i="8"/>
  <c r="D10" i="8"/>
  <c r="E10" i="8"/>
  <c r="F10" i="8"/>
  <c r="G10" i="8"/>
  <c r="I10" i="8"/>
  <c r="K10" i="8"/>
  <c r="Q10" i="8"/>
  <c r="T10" i="8"/>
  <c r="N11" i="8"/>
  <c r="Q11" i="8"/>
  <c r="T11" i="8"/>
  <c r="N13" i="8"/>
  <c r="E14" i="8"/>
  <c r="F14" i="8"/>
  <c r="D17" i="8"/>
  <c r="E17" i="8"/>
  <c r="F17" i="8"/>
  <c r="D18" i="8"/>
  <c r="E18" i="8"/>
  <c r="G18" i="8"/>
  <c r="H18" i="8"/>
  <c r="I18" i="8"/>
  <c r="N18" i="8"/>
  <c r="O18" i="8"/>
  <c r="P18" i="8"/>
  <c r="D19" i="8"/>
  <c r="E19" i="8"/>
  <c r="F19" i="8"/>
  <c r="G19" i="8"/>
  <c r="J19" i="8"/>
  <c r="M19" i="8"/>
  <c r="N19" i="8"/>
  <c r="O19" i="8"/>
  <c r="P19" i="8"/>
  <c r="Q19" i="8"/>
  <c r="T19" i="8"/>
  <c r="M20" i="8"/>
  <c r="H21" i="8"/>
  <c r="I21" i="8"/>
  <c r="J21" i="8"/>
  <c r="D22" i="8"/>
  <c r="H22" i="8"/>
  <c r="K22" i="8"/>
  <c r="M22" i="8"/>
  <c r="N22" i="8"/>
  <c r="O22" i="8"/>
  <c r="P22" i="8"/>
  <c r="T22" i="8"/>
  <c r="E23" i="8"/>
  <c r="K23" i="8"/>
  <c r="M23" i="8"/>
  <c r="N23" i="8"/>
  <c r="O23" i="8"/>
  <c r="P23" i="8"/>
  <c r="C24" i="8"/>
  <c r="E24" i="8"/>
  <c r="J24" i="8"/>
  <c r="K24" i="8"/>
  <c r="T24" i="8"/>
  <c r="C25" i="8"/>
  <c r="D25" i="8"/>
  <c r="E25" i="8"/>
  <c r="F25" i="8"/>
  <c r="G25" i="8"/>
  <c r="J25" i="8"/>
  <c r="O25" i="8"/>
  <c r="T25" i="8"/>
  <c r="C26" i="8"/>
  <c r="N26" i="8"/>
  <c r="P28" i="8"/>
  <c r="Q28" i="8"/>
  <c r="H31" i="8"/>
  <c r="I31" i="8"/>
  <c r="K31" i="8"/>
  <c r="Q31" i="8"/>
  <c r="C32" i="8"/>
  <c r="E32" i="8"/>
  <c r="Q32" i="8"/>
  <c r="C33" i="8"/>
  <c r="D33" i="8"/>
  <c r="E33" i="8"/>
  <c r="F33" i="8"/>
  <c r="I33" i="8"/>
  <c r="J33" i="8"/>
  <c r="K33" i="8"/>
  <c r="M33" i="8"/>
  <c r="N33" i="8"/>
  <c r="O33" i="8"/>
  <c r="Q33" i="8"/>
  <c r="T33" i="8"/>
  <c r="C34" i="8"/>
  <c r="F34" i="8"/>
  <c r="H34" i="8"/>
  <c r="I34" i="8"/>
  <c r="J34" i="8"/>
  <c r="M35" i="8"/>
  <c r="P35" i="8"/>
  <c r="C36" i="8"/>
  <c r="D36" i="8"/>
  <c r="E36" i="8"/>
  <c r="F36" i="8"/>
  <c r="G36" i="8"/>
  <c r="H36" i="8"/>
  <c r="I36" i="8"/>
  <c r="P36" i="8"/>
  <c r="Q36" i="8"/>
  <c r="C37" i="8"/>
  <c r="D37" i="8"/>
  <c r="H37" i="8"/>
  <c r="J37" i="8"/>
  <c r="M37" i="8"/>
  <c r="N37" i="8"/>
  <c r="O37" i="8"/>
  <c r="E38" i="8"/>
  <c r="F38" i="8"/>
  <c r="I38" i="8"/>
  <c r="K38" i="8"/>
  <c r="N38" i="8"/>
  <c r="O38" i="8"/>
  <c r="Q38" i="8"/>
  <c r="G39" i="8"/>
  <c r="I39" i="8"/>
  <c r="O39" i="8"/>
  <c r="G40" i="8"/>
  <c r="I40" i="8"/>
  <c r="K40" i="8"/>
  <c r="H42" i="8"/>
  <c r="C43" i="8"/>
  <c r="J45" i="8"/>
  <c r="C46" i="8"/>
  <c r="D46" i="8"/>
  <c r="E46" i="8"/>
  <c r="F46" i="8"/>
  <c r="P46" i="8"/>
  <c r="Q46" i="8"/>
  <c r="T46" i="8"/>
  <c r="C47" i="8"/>
  <c r="D47" i="8"/>
  <c r="E47" i="8"/>
  <c r="F47" i="8"/>
  <c r="I47" i="8"/>
  <c r="K47" i="8"/>
  <c r="M47" i="8"/>
  <c r="N47" i="8"/>
  <c r="O47" i="8"/>
  <c r="P47" i="8"/>
  <c r="Q47" i="8"/>
  <c r="T47" i="8"/>
  <c r="N48" i="8"/>
  <c r="O48" i="8"/>
  <c r="J49" i="8"/>
  <c r="K49" i="8"/>
  <c r="D50" i="8"/>
  <c r="G50" i="8"/>
  <c r="H50" i="8"/>
  <c r="I50" i="8"/>
  <c r="K50" i="8"/>
  <c r="O50" i="8"/>
  <c r="P50" i="8"/>
  <c r="Q50" i="8"/>
  <c r="T50" i="8"/>
  <c r="H51" i="8"/>
  <c r="I51" i="8"/>
  <c r="P51" i="8"/>
  <c r="C52" i="8"/>
  <c r="D52" i="8"/>
  <c r="E52" i="8"/>
  <c r="F52" i="8"/>
  <c r="G52" i="8"/>
  <c r="H52" i="8"/>
  <c r="J52" i="8"/>
  <c r="E53" i="8"/>
  <c r="F53" i="8"/>
  <c r="G53" i="8"/>
  <c r="H53" i="8"/>
  <c r="J53" i="8"/>
  <c r="K53" i="8"/>
  <c r="O53" i="8"/>
  <c r="T53" i="8"/>
  <c r="C54" i="8"/>
  <c r="O54" i="8"/>
  <c r="P54" i="8"/>
  <c r="T54" i="8"/>
  <c r="T56" i="8"/>
  <c r="C57" i="8"/>
  <c r="E59" i="8"/>
  <c r="H59" i="8"/>
  <c r="I59" i="8"/>
  <c r="J59" i="8"/>
  <c r="M59" i="8"/>
  <c r="O59" i="8"/>
  <c r="T59" i="8"/>
  <c r="C60" i="8"/>
  <c r="P60" i="8"/>
  <c r="T60" i="8"/>
  <c r="C61" i="8"/>
  <c r="D61" i="8"/>
  <c r="E61" i="8"/>
  <c r="F61" i="8"/>
  <c r="G61" i="8"/>
  <c r="J61" i="8"/>
  <c r="M61" i="8"/>
  <c r="N61" i="8"/>
  <c r="O61" i="8"/>
  <c r="P61" i="8"/>
  <c r="Q61" i="8"/>
  <c r="T61" i="8"/>
  <c r="C62" i="8"/>
  <c r="D62" i="8"/>
  <c r="G62" i="8"/>
  <c r="I62" i="8"/>
  <c r="J63" i="8"/>
  <c r="K63" i="8"/>
  <c r="M63" i="8"/>
  <c r="D64" i="8"/>
  <c r="E64" i="8"/>
  <c r="F64" i="8"/>
  <c r="G64" i="8"/>
  <c r="H64" i="8"/>
  <c r="I64" i="8"/>
  <c r="J64" i="8"/>
  <c r="M64" i="8"/>
  <c r="T64" i="8"/>
  <c r="F65" i="8"/>
  <c r="H65" i="8"/>
  <c r="K65" i="8"/>
  <c r="M65" i="8"/>
  <c r="Q65" i="8"/>
  <c r="T65" i="8"/>
  <c r="D66" i="8"/>
  <c r="E66" i="8"/>
  <c r="J66" i="8"/>
  <c r="M66" i="8"/>
  <c r="P66" i="8"/>
  <c r="D67" i="8"/>
  <c r="E67" i="8"/>
  <c r="F67" i="8"/>
  <c r="I67" i="8"/>
  <c r="O67" i="8"/>
  <c r="P67" i="8"/>
  <c r="Q67" i="8"/>
  <c r="T67" i="8"/>
  <c r="G69" i="8"/>
  <c r="T69" i="8"/>
  <c r="C70" i="8"/>
  <c r="P71" i="8"/>
  <c r="D73" i="8"/>
  <c r="H73" i="8"/>
  <c r="I73" i="8"/>
  <c r="P73" i="8"/>
  <c r="T73" i="8"/>
  <c r="D74" i="8"/>
  <c r="I74" i="8"/>
  <c r="J74" i="8"/>
  <c r="K74" i="8"/>
  <c r="C75" i="8"/>
  <c r="D75" i="8"/>
  <c r="E75" i="8"/>
  <c r="F75" i="8"/>
  <c r="G75" i="8"/>
  <c r="H75" i="8"/>
  <c r="J75" i="8"/>
  <c r="K75" i="8"/>
  <c r="M75" i="8"/>
  <c r="P75" i="8"/>
  <c r="Q75" i="8"/>
  <c r="T75" i="8"/>
  <c r="D76" i="8"/>
  <c r="F76" i="8"/>
  <c r="G76" i="8"/>
  <c r="J76" i="8"/>
  <c r="K76" i="8"/>
  <c r="O76" i="8"/>
  <c r="Q76" i="8"/>
  <c r="T77" i="8"/>
  <c r="C78" i="8"/>
  <c r="D78" i="8"/>
  <c r="E78" i="8"/>
  <c r="G78" i="8"/>
  <c r="H78" i="8"/>
  <c r="M78" i="8"/>
  <c r="O78" i="8"/>
  <c r="P78" i="8"/>
  <c r="T78" i="8"/>
  <c r="D79" i="8"/>
  <c r="E79" i="8"/>
  <c r="F79" i="8"/>
  <c r="J79" i="8"/>
  <c r="K79" i="8"/>
  <c r="N79" i="8"/>
  <c r="T79" i="8"/>
  <c r="D80" i="8"/>
  <c r="E80" i="8"/>
  <c r="H80" i="8"/>
  <c r="I80" i="8"/>
  <c r="J80" i="8"/>
  <c r="K80" i="8"/>
  <c r="M80" i="8"/>
  <c r="N80" i="8"/>
  <c r="H81" i="8"/>
  <c r="I81" i="8"/>
  <c r="J81" i="8"/>
  <c r="K81" i="8"/>
  <c r="N81" i="8"/>
  <c r="O81" i="8"/>
  <c r="P81" i="8"/>
  <c r="Q81" i="8"/>
  <c r="I83" i="8"/>
  <c r="J83" i="8"/>
  <c r="K83" i="8"/>
  <c r="Q85" i="8"/>
  <c r="D87" i="8"/>
  <c r="E87" i="8"/>
  <c r="G87" i="8"/>
  <c r="H87" i="8"/>
  <c r="T87" i="8"/>
  <c r="E88" i="8"/>
  <c r="J88" i="8"/>
  <c r="K88" i="8"/>
  <c r="N88" i="8"/>
  <c r="O88" i="8"/>
  <c r="C89" i="8"/>
  <c r="E89" i="8"/>
  <c r="G89" i="8"/>
  <c r="H89" i="8"/>
  <c r="J89" i="8"/>
  <c r="K89" i="8"/>
  <c r="M89" i="8"/>
  <c r="N89" i="8"/>
  <c r="O89" i="8"/>
  <c r="P89" i="8"/>
  <c r="Q89" i="8"/>
  <c r="T89" i="8"/>
  <c r="G90" i="8"/>
  <c r="I90" i="8"/>
  <c r="J90" i="8"/>
  <c r="K90" i="8"/>
  <c r="M90" i="8"/>
  <c r="N91" i="8"/>
  <c r="P91" i="8"/>
  <c r="Q91" i="8"/>
  <c r="C92" i="8"/>
  <c r="D92" i="8"/>
  <c r="E92" i="8"/>
  <c r="G92" i="8"/>
  <c r="H92" i="8"/>
  <c r="I92" i="8"/>
  <c r="M92" i="8"/>
  <c r="N92" i="8"/>
  <c r="O92" i="8"/>
  <c r="P92" i="8"/>
  <c r="T92" i="8"/>
  <c r="C93" i="8"/>
  <c r="D93" i="8"/>
  <c r="F93" i="8"/>
  <c r="I93" i="8"/>
  <c r="M93" i="8"/>
  <c r="N93" i="8"/>
  <c r="P93" i="8"/>
  <c r="Q93" i="8"/>
  <c r="D94" i="8"/>
  <c r="G94" i="8"/>
  <c r="H94" i="8"/>
  <c r="I94" i="8"/>
  <c r="J94" i="8"/>
  <c r="K94" i="8"/>
  <c r="P94" i="8"/>
  <c r="F95" i="8"/>
  <c r="G95" i="8"/>
  <c r="H95" i="8"/>
  <c r="I95" i="8"/>
  <c r="J95" i="8"/>
  <c r="N95" i="8"/>
  <c r="O95" i="8"/>
  <c r="M96" i="8"/>
  <c r="O96" i="8"/>
  <c r="P96" i="8"/>
  <c r="P98" i="8"/>
  <c r="Q98" i="8"/>
  <c r="E101" i="8"/>
  <c r="F101" i="8"/>
  <c r="G101" i="8"/>
  <c r="J101" i="8"/>
  <c r="K101" i="8"/>
  <c r="M101" i="8"/>
  <c r="O101" i="8"/>
  <c r="P101" i="8"/>
  <c r="G102" i="8"/>
  <c r="J102" i="8"/>
  <c r="N102" i="8"/>
  <c r="T102" i="8"/>
  <c r="C103" i="8"/>
  <c r="D103" i="8"/>
  <c r="E103" i="8"/>
  <c r="F103" i="8"/>
  <c r="G103" i="8"/>
  <c r="J103" i="8"/>
  <c r="K103" i="8"/>
  <c r="M103" i="8"/>
  <c r="O103" i="8"/>
  <c r="P103" i="8"/>
  <c r="Q103" i="8"/>
  <c r="T103" i="8"/>
  <c r="M104" i="8"/>
  <c r="N104" i="8"/>
  <c r="O104" i="8"/>
  <c r="P104" i="8"/>
  <c r="T104" i="8"/>
  <c r="D105" i="8"/>
  <c r="E105" i="8"/>
  <c r="F105" i="8"/>
  <c r="C106" i="8"/>
  <c r="D106" i="8"/>
  <c r="E106" i="8"/>
  <c r="F106" i="8"/>
  <c r="G106" i="8"/>
  <c r="I106" i="8"/>
  <c r="M106" i="8"/>
  <c r="N106" i="8"/>
  <c r="P106" i="8"/>
  <c r="T106" i="8"/>
  <c r="C107" i="8"/>
  <c r="D107" i="8"/>
  <c r="E107" i="8"/>
  <c r="H107" i="8"/>
  <c r="I107" i="8"/>
  <c r="J107" i="8"/>
  <c r="N107" i="8"/>
  <c r="T107" i="8"/>
  <c r="D108" i="8"/>
  <c r="F108" i="8"/>
  <c r="G108" i="8"/>
  <c r="H108" i="8"/>
  <c r="J108" i="8"/>
  <c r="K108" i="8"/>
  <c r="N108" i="8"/>
  <c r="P108" i="8"/>
  <c r="G109" i="8"/>
  <c r="H109" i="8"/>
  <c r="I109" i="8"/>
  <c r="J109" i="8"/>
  <c r="K109" i="8"/>
  <c r="P109" i="8"/>
  <c r="Q109" i="8"/>
  <c r="T109" i="8"/>
  <c r="G111" i="8"/>
  <c r="T111" i="8"/>
  <c r="J113" i="8"/>
  <c r="J115" i="8"/>
  <c r="K115" i="8"/>
  <c r="M115" i="8"/>
  <c r="O115" i="8"/>
  <c r="P115" i="8"/>
  <c r="C116" i="8"/>
  <c r="D116" i="8"/>
  <c r="E116" i="8"/>
  <c r="N116" i="8"/>
  <c r="O116" i="8"/>
  <c r="Q116" i="8"/>
  <c r="C117" i="8"/>
  <c r="D117" i="8"/>
  <c r="F117" i="8"/>
  <c r="G117" i="8"/>
  <c r="H117" i="8"/>
  <c r="J117" i="8"/>
  <c r="K117" i="8"/>
  <c r="N117" i="8"/>
  <c r="O117" i="8"/>
  <c r="P117" i="8"/>
  <c r="Q117" i="8"/>
  <c r="T117" i="8"/>
  <c r="D118" i="8"/>
  <c r="F118" i="8"/>
  <c r="G118" i="8"/>
  <c r="F119" i="8"/>
  <c r="H119" i="8"/>
  <c r="I119" i="8"/>
  <c r="K119" i="8"/>
  <c r="C120" i="8"/>
  <c r="E120" i="8"/>
  <c r="F120" i="8"/>
  <c r="G120" i="8"/>
  <c r="H120" i="8"/>
  <c r="J120" i="8"/>
  <c r="M120" i="8"/>
  <c r="N120" i="8"/>
  <c r="O120" i="8"/>
  <c r="Q120" i="8"/>
  <c r="T120" i="8"/>
  <c r="E121" i="8"/>
  <c r="F121" i="8"/>
  <c r="H121" i="8"/>
  <c r="J121" i="8"/>
  <c r="K121" i="8"/>
  <c r="M121" i="8"/>
  <c r="O121" i="8"/>
  <c r="Q121" i="8"/>
  <c r="G122" i="8"/>
  <c r="I122" i="8"/>
  <c r="J122" i="8"/>
  <c r="K122" i="8"/>
  <c r="N122" i="8"/>
  <c r="O122" i="8"/>
  <c r="P122" i="8"/>
  <c r="T122" i="8"/>
  <c r="C123" i="8"/>
  <c r="N123" i="8"/>
  <c r="O123" i="8"/>
  <c r="P123" i="8"/>
  <c r="Q123" i="8"/>
  <c r="T123" i="8"/>
  <c r="H124" i="8"/>
  <c r="K124" i="8"/>
  <c r="Q124" i="8"/>
  <c r="M126" i="8"/>
  <c r="C129" i="8"/>
  <c r="K129" i="8"/>
  <c r="N129" i="8"/>
  <c r="O129" i="8"/>
  <c r="P129" i="8"/>
  <c r="Q129" i="8"/>
  <c r="D130" i="8"/>
  <c r="E130" i="8"/>
  <c r="M130" i="8"/>
  <c r="N130" i="8"/>
  <c r="P130" i="8"/>
  <c r="T130" i="8"/>
  <c r="C131" i="8"/>
  <c r="D131" i="8"/>
  <c r="E131" i="8"/>
  <c r="F131" i="8"/>
  <c r="H131" i="8"/>
  <c r="I131" i="8"/>
  <c r="J131" i="8"/>
  <c r="M131" i="8"/>
  <c r="N131" i="8"/>
  <c r="O131" i="8"/>
  <c r="P131" i="8"/>
  <c r="Q131" i="8"/>
  <c r="T131" i="8"/>
  <c r="F132" i="8"/>
  <c r="H132" i="8"/>
  <c r="T132" i="8"/>
  <c r="F133" i="8"/>
  <c r="G133" i="8"/>
  <c r="H133" i="8"/>
  <c r="I133" i="8"/>
  <c r="O133" i="8"/>
  <c r="T133" i="8"/>
  <c r="D134" i="8"/>
  <c r="E134" i="8"/>
  <c r="F134" i="8"/>
  <c r="G134" i="8"/>
  <c r="H134" i="8"/>
  <c r="J134" i="8"/>
  <c r="K134" i="8"/>
  <c r="O134" i="8"/>
  <c r="P134" i="8"/>
  <c r="Q134" i="8"/>
  <c r="D135" i="8"/>
  <c r="E135" i="8"/>
  <c r="F135" i="8"/>
  <c r="H135" i="8"/>
  <c r="J135" i="8"/>
  <c r="M135" i="8"/>
  <c r="P135" i="8"/>
  <c r="Q135" i="8"/>
  <c r="C136" i="8"/>
  <c r="D136" i="8"/>
  <c r="G136" i="8"/>
  <c r="I136" i="8"/>
  <c r="J136" i="8"/>
  <c r="K136" i="8"/>
  <c r="M136" i="8"/>
  <c r="N136" i="8"/>
  <c r="F137" i="8"/>
  <c r="G137" i="8"/>
  <c r="H137" i="8"/>
  <c r="I137" i="8"/>
  <c r="J137" i="8"/>
  <c r="K137" i="8"/>
  <c r="M137" i="8"/>
  <c r="N137" i="8"/>
  <c r="P137" i="8"/>
  <c r="J139" i="8"/>
  <c r="K139" i="8"/>
  <c r="D141" i="8"/>
  <c r="C143" i="8"/>
  <c r="D143" i="8"/>
  <c r="F143" i="8"/>
  <c r="G143" i="8"/>
  <c r="H143" i="8"/>
  <c r="I143" i="8"/>
  <c r="K143" i="8"/>
  <c r="T143" i="8"/>
  <c r="C144" i="8"/>
  <c r="D144" i="8"/>
  <c r="E144" i="8"/>
  <c r="F144" i="8"/>
  <c r="G144" i="8"/>
  <c r="K144" i="8"/>
  <c r="C145" i="8"/>
  <c r="D145" i="8"/>
  <c r="E145" i="8"/>
  <c r="F145" i="8"/>
  <c r="G145" i="8"/>
  <c r="H145" i="8"/>
  <c r="I145" i="8"/>
  <c r="J145" i="8"/>
  <c r="M145" i="8"/>
  <c r="N145" i="8"/>
  <c r="O145" i="8"/>
  <c r="P145" i="8"/>
  <c r="Q145" i="8"/>
  <c r="T145" i="8"/>
  <c r="C146" i="8"/>
  <c r="E146" i="8"/>
  <c r="F146" i="8"/>
  <c r="H146" i="8"/>
  <c r="J146" i="8"/>
  <c r="K146" i="8"/>
  <c r="O146" i="8"/>
  <c r="J147" i="8"/>
  <c r="K147" i="8"/>
  <c r="N147" i="8"/>
  <c r="O147" i="8"/>
  <c r="P147" i="8"/>
  <c r="D148" i="8"/>
  <c r="E148" i="8"/>
  <c r="F148" i="8"/>
  <c r="G148" i="8"/>
  <c r="H148" i="8"/>
  <c r="I148" i="8"/>
  <c r="J148" i="8"/>
  <c r="N148" i="8"/>
  <c r="O148" i="8"/>
  <c r="P148" i="8"/>
  <c r="T148" i="8"/>
  <c r="D149" i="8"/>
  <c r="E149" i="8"/>
  <c r="F149" i="8"/>
  <c r="G149" i="8"/>
  <c r="H149" i="8"/>
  <c r="J149" i="8"/>
  <c r="M149" i="8"/>
  <c r="N149" i="8"/>
  <c r="Q149" i="8"/>
  <c r="T149" i="8"/>
  <c r="G150" i="8"/>
  <c r="H150" i="8"/>
  <c r="I150" i="8"/>
  <c r="M150" i="8"/>
  <c r="O150" i="8"/>
  <c r="P150" i="8"/>
  <c r="Q150" i="8"/>
  <c r="T150" i="8"/>
  <c r="C151" i="8"/>
  <c r="D151" i="8"/>
  <c r="M151" i="8"/>
  <c r="N151" i="8"/>
  <c r="P151" i="8"/>
  <c r="Q151" i="8"/>
  <c r="T151" i="8"/>
  <c r="C152" i="8"/>
  <c r="D152" i="8"/>
  <c r="E152" i="8"/>
  <c r="Q153" i="8"/>
  <c r="T153" i="8"/>
  <c r="K155" i="8"/>
  <c r="D157" i="8"/>
  <c r="F157" i="8"/>
  <c r="K157" i="8"/>
  <c r="M157" i="8"/>
  <c r="N157" i="8"/>
  <c r="O157" i="8"/>
  <c r="P157" i="8"/>
  <c r="I158" i="8"/>
  <c r="J158" i="8"/>
  <c r="K158" i="8"/>
  <c r="M158" i="8"/>
  <c r="N158" i="8"/>
  <c r="T158" i="8"/>
  <c r="C159" i="8"/>
  <c r="D159" i="8"/>
  <c r="E159" i="8"/>
  <c r="F159" i="8"/>
  <c r="G159" i="8"/>
  <c r="H159" i="8"/>
  <c r="I159" i="8"/>
  <c r="J159" i="8"/>
  <c r="M159" i="8"/>
  <c r="N159" i="8"/>
  <c r="O159" i="8"/>
  <c r="Q159" i="8"/>
  <c r="T159" i="8"/>
  <c r="I160" i="8"/>
  <c r="J160" i="8"/>
  <c r="K160" i="8"/>
  <c r="N160" i="8"/>
  <c r="O160" i="8"/>
  <c r="P160" i="8"/>
  <c r="Q160" i="8"/>
  <c r="P161" i="8"/>
  <c r="T161" i="8"/>
  <c r="D162" i="8"/>
  <c r="E162" i="8"/>
  <c r="F162" i="8"/>
  <c r="H162" i="8"/>
  <c r="J162" i="8"/>
  <c r="K162" i="8"/>
  <c r="N162" i="8"/>
  <c r="O162" i="8"/>
  <c r="P162" i="8"/>
  <c r="Q162" i="8"/>
  <c r="E163" i="8"/>
  <c r="F163" i="8"/>
  <c r="H163" i="8"/>
  <c r="M163" i="8"/>
  <c r="N163" i="8"/>
  <c r="O163" i="8"/>
  <c r="P163" i="8"/>
  <c r="Q163" i="8"/>
  <c r="D164" i="8"/>
  <c r="G164" i="8"/>
  <c r="H164" i="8"/>
  <c r="I164" i="8"/>
  <c r="J164" i="8"/>
  <c r="N164" i="8"/>
  <c r="O164" i="8"/>
  <c r="Q164" i="8"/>
  <c r="E165" i="8"/>
  <c r="F165" i="8"/>
  <c r="G165" i="8"/>
  <c r="H165" i="8"/>
  <c r="I165" i="8"/>
  <c r="J165" i="8"/>
  <c r="K165" i="8"/>
  <c r="G166" i="8"/>
  <c r="H166" i="8"/>
  <c r="I166" i="8"/>
  <c r="O167" i="8"/>
  <c r="G168" i="8"/>
  <c r="H168" i="8"/>
  <c r="N169" i="8"/>
  <c r="J171" i="8"/>
  <c r="M171" i="8"/>
  <c r="N171" i="8"/>
  <c r="O171" i="8"/>
  <c r="Q171" i="8"/>
  <c r="T171" i="8"/>
  <c r="C172" i="8"/>
  <c r="J172" i="8"/>
  <c r="K172" i="8"/>
  <c r="M172" i="8"/>
  <c r="T172" i="8"/>
  <c r="C173" i="8"/>
  <c r="D173" i="8"/>
  <c r="F173" i="8"/>
  <c r="G173" i="8"/>
  <c r="H173" i="8"/>
  <c r="I173" i="8"/>
  <c r="J173" i="8"/>
  <c r="M173" i="8"/>
  <c r="N173" i="8"/>
  <c r="O173" i="8"/>
  <c r="P173" i="8"/>
  <c r="Q173" i="8"/>
  <c r="I174" i="8"/>
  <c r="J174" i="8"/>
  <c r="K174" i="8"/>
  <c r="N174" i="8"/>
  <c r="O174" i="8"/>
  <c r="P174" i="8"/>
  <c r="M175" i="8"/>
  <c r="O175" i="8"/>
  <c r="P175" i="8"/>
  <c r="T175" i="8"/>
  <c r="C176" i="8"/>
  <c r="D176" i="8"/>
  <c r="E176" i="8"/>
  <c r="F176" i="8"/>
  <c r="G176" i="8"/>
  <c r="H176" i="8"/>
  <c r="I176" i="8"/>
  <c r="J176" i="8"/>
  <c r="N176" i="8"/>
  <c r="O176" i="8"/>
  <c r="P176" i="8"/>
  <c r="T176" i="8"/>
  <c r="C177" i="8"/>
  <c r="D177" i="8"/>
  <c r="G177" i="8"/>
  <c r="J177" i="8"/>
  <c r="K177" i="8"/>
  <c r="M177" i="8"/>
  <c r="N177" i="8"/>
  <c r="P177" i="8"/>
  <c r="Q177" i="8"/>
  <c r="T177" i="8"/>
  <c r="C178" i="8"/>
  <c r="D178" i="8"/>
  <c r="J178" i="8"/>
  <c r="N178" i="8"/>
  <c r="O178" i="8"/>
  <c r="P178" i="8"/>
  <c r="Q178" i="8"/>
  <c r="T178" i="8"/>
  <c r="D179" i="8"/>
  <c r="E179" i="8"/>
  <c r="F179" i="8"/>
  <c r="M179" i="8"/>
  <c r="N179" i="8"/>
  <c r="P179" i="8"/>
  <c r="Q179" i="8"/>
  <c r="T179" i="8"/>
  <c r="C180" i="8"/>
  <c r="E181" i="8"/>
  <c r="F181" i="8"/>
  <c r="O181" i="8"/>
  <c r="D185" i="8"/>
  <c r="F185" i="8"/>
  <c r="G185" i="8"/>
  <c r="M185" i="8"/>
  <c r="N185" i="8"/>
  <c r="Q185" i="8"/>
  <c r="C186" i="8"/>
  <c r="D186" i="8"/>
  <c r="E186" i="8"/>
  <c r="F186" i="8"/>
  <c r="K186" i="8"/>
  <c r="M186" i="8"/>
  <c r="N186" i="8"/>
  <c r="P186" i="8"/>
  <c r="Q186" i="8"/>
  <c r="T186" i="8"/>
  <c r="C187" i="8"/>
  <c r="D187" i="8"/>
  <c r="E187" i="8"/>
  <c r="F187" i="8"/>
  <c r="G187" i="8"/>
  <c r="H187" i="8"/>
  <c r="J187" i="8"/>
  <c r="M187" i="8"/>
  <c r="N187" i="8"/>
  <c r="O187" i="8"/>
  <c r="P187" i="8"/>
  <c r="Q187" i="8"/>
  <c r="T187" i="8"/>
  <c r="K188" i="8"/>
  <c r="M188" i="8"/>
  <c r="O188" i="8"/>
  <c r="P188" i="8"/>
  <c r="Q188" i="8"/>
  <c r="T188" i="8"/>
  <c r="I189" i="8"/>
  <c r="P189" i="8"/>
  <c r="T189" i="8"/>
  <c r="C190" i="8"/>
  <c r="D190" i="8"/>
  <c r="E190" i="8"/>
  <c r="F190" i="8"/>
  <c r="G190" i="8"/>
  <c r="H190" i="8"/>
  <c r="I190" i="8"/>
  <c r="K190" i="8"/>
  <c r="N190" i="8"/>
  <c r="O190" i="8"/>
  <c r="Q190" i="8"/>
  <c r="T190" i="8"/>
  <c r="E191" i="8"/>
  <c r="F191" i="8"/>
  <c r="G191" i="8"/>
  <c r="J191" i="8"/>
  <c r="K191" i="8"/>
  <c r="N191" i="8"/>
  <c r="O191" i="8"/>
  <c r="P191" i="8"/>
  <c r="Q191" i="8"/>
  <c r="F192" i="8"/>
  <c r="H192" i="8"/>
  <c r="I192" i="8"/>
  <c r="K192" i="8"/>
  <c r="M192" i="8"/>
  <c r="N192" i="8"/>
  <c r="O192" i="8"/>
  <c r="P192" i="8"/>
  <c r="Q192" i="8"/>
  <c r="H193" i="8"/>
  <c r="I193" i="8"/>
  <c r="J193" i="8"/>
  <c r="K193" i="8"/>
  <c r="M193" i="8"/>
  <c r="N193" i="8"/>
  <c r="P193" i="8"/>
  <c r="Q193" i="8"/>
  <c r="H195" i="8"/>
  <c r="I195" i="8"/>
  <c r="J195" i="8"/>
  <c r="N196" i="8"/>
  <c r="C199" i="8"/>
  <c r="F199" i="8"/>
  <c r="G199" i="8"/>
  <c r="H199" i="8"/>
  <c r="I199" i="8"/>
  <c r="J199" i="8"/>
  <c r="M199" i="8"/>
  <c r="N199" i="8"/>
  <c r="O199" i="8"/>
  <c r="D200" i="8"/>
  <c r="E200" i="8"/>
  <c r="F200" i="8"/>
  <c r="G200" i="8"/>
  <c r="H200" i="8"/>
  <c r="J200" i="8"/>
  <c r="K200" i="8"/>
  <c r="M200" i="8"/>
  <c r="N200" i="8"/>
  <c r="C201" i="8"/>
  <c r="D201" i="8"/>
  <c r="E201" i="8"/>
  <c r="F201" i="8"/>
  <c r="G201" i="8"/>
  <c r="H201" i="8"/>
  <c r="I201" i="8"/>
  <c r="J201" i="8"/>
  <c r="M201" i="8"/>
  <c r="O201" i="8"/>
  <c r="P201" i="8"/>
  <c r="Q201" i="8"/>
  <c r="T201" i="8"/>
  <c r="F202" i="8"/>
  <c r="H202" i="8"/>
  <c r="I202" i="8"/>
  <c r="J202" i="8"/>
  <c r="M202" i="8"/>
  <c r="T202" i="8"/>
  <c r="E203" i="8"/>
  <c r="C204" i="8"/>
  <c r="D204" i="8"/>
  <c r="F204" i="8"/>
  <c r="G204" i="8"/>
  <c r="H204" i="8"/>
  <c r="I204" i="8"/>
  <c r="J204" i="8"/>
  <c r="K204" i="8"/>
  <c r="N204" i="8"/>
  <c r="O204" i="8"/>
  <c r="P204" i="8"/>
  <c r="Q204" i="8"/>
  <c r="C205" i="8"/>
  <c r="D205" i="8"/>
  <c r="E205" i="8"/>
  <c r="F205" i="8"/>
  <c r="G205" i="8"/>
  <c r="H205" i="8"/>
  <c r="J205" i="8"/>
  <c r="K205" i="8"/>
  <c r="N205" i="8"/>
  <c r="O205" i="8"/>
  <c r="T205" i="8"/>
  <c r="C206" i="8"/>
  <c r="D206" i="8"/>
  <c r="F206" i="8"/>
  <c r="G206" i="8"/>
  <c r="H206" i="8"/>
  <c r="I206" i="8"/>
  <c r="J206" i="8"/>
  <c r="P206" i="8"/>
  <c r="Q206" i="8"/>
  <c r="T206" i="8"/>
  <c r="C207" i="8"/>
  <c r="D207" i="8"/>
  <c r="E207" i="8"/>
  <c r="F207" i="8"/>
  <c r="G207" i="8"/>
  <c r="H207" i="8"/>
  <c r="I207" i="8"/>
  <c r="Q207" i="8"/>
  <c r="T207" i="8"/>
  <c r="T208" i="8"/>
  <c r="C209" i="8"/>
  <c r="D209" i="8"/>
  <c r="B4" i="8"/>
  <c r="B5" i="8"/>
  <c r="B6" i="8"/>
  <c r="B7" i="8"/>
  <c r="B9" i="8"/>
  <c r="B14" i="8"/>
  <c r="B19" i="8"/>
  <c r="B22" i="8"/>
  <c r="B23" i="8"/>
  <c r="B25" i="8"/>
  <c r="B32" i="8"/>
  <c r="B33" i="8"/>
  <c r="B34" i="8"/>
  <c r="B35" i="8"/>
  <c r="B36" i="8"/>
  <c r="B37" i="8"/>
  <c r="B38" i="8"/>
  <c r="B47" i="8"/>
  <c r="B49" i="8"/>
  <c r="B50" i="8"/>
  <c r="B51" i="8"/>
  <c r="B52" i="8"/>
  <c r="B53" i="8"/>
  <c r="B54" i="8"/>
  <c r="B56" i="8"/>
  <c r="B57" i="8"/>
  <c r="B61" i="8"/>
  <c r="B64" i="8"/>
  <c r="B65" i="8"/>
  <c r="B66" i="8"/>
  <c r="B67" i="8"/>
  <c r="B74" i="8"/>
  <c r="B75" i="8"/>
  <c r="B76" i="8"/>
  <c r="B89" i="8"/>
  <c r="B90" i="8"/>
  <c r="B91" i="8"/>
  <c r="B92" i="8"/>
  <c r="B94" i="8"/>
  <c r="B95" i="8"/>
  <c r="B102" i="8"/>
  <c r="B103" i="8"/>
  <c r="B106" i="8"/>
  <c r="B107" i="8"/>
  <c r="B109" i="8"/>
  <c r="B117" i="8"/>
  <c r="B118" i="8"/>
  <c r="B119" i="8"/>
  <c r="B121" i="8"/>
  <c r="B122" i="8"/>
  <c r="B124" i="8"/>
  <c r="B125" i="8"/>
  <c r="B130" i="8"/>
  <c r="B131" i="8"/>
  <c r="B134" i="8"/>
  <c r="B135" i="8"/>
  <c r="B137" i="8"/>
  <c r="B144" i="8"/>
  <c r="B145" i="8"/>
  <c r="B148" i="8"/>
  <c r="B158" i="8"/>
  <c r="B159" i="8"/>
  <c r="B160" i="8"/>
  <c r="B161" i="8"/>
  <c r="B162" i="8"/>
  <c r="B163" i="8"/>
  <c r="B164" i="8"/>
  <c r="B172" i="8"/>
  <c r="B173" i="8"/>
  <c r="B176" i="8"/>
  <c r="B177" i="8"/>
  <c r="B178" i="8"/>
  <c r="B179" i="8"/>
  <c r="B187" i="8"/>
  <c r="B189" i="8"/>
  <c r="B190" i="8"/>
  <c r="B191" i="8"/>
  <c r="B192" i="8"/>
  <c r="B193" i="8"/>
  <c r="B200" i="8"/>
  <c r="B201" i="8"/>
  <c r="B204" i="8"/>
  <c r="B205" i="8"/>
  <c r="B206" i="8"/>
  <c r="B207" i="8"/>
  <c r="B208" i="8"/>
  <c r="B209" i="8"/>
  <c r="B2" i="8"/>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I61" i="8" s="1"/>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27" i="4"/>
  <c r="Y128" i="4"/>
  <c r="Y129" i="4"/>
  <c r="Y130" i="4"/>
  <c r="Y131" i="4"/>
  <c r="K131" i="8" s="1"/>
  <c r="Y132" i="4"/>
  <c r="Y133" i="4"/>
  <c r="Y134" i="4"/>
  <c r="Y135" i="4"/>
  <c r="Y136" i="4"/>
  <c r="Y137" i="4"/>
  <c r="Y138" i="4"/>
  <c r="Y139" i="4"/>
  <c r="Y140" i="4"/>
  <c r="Y141" i="4"/>
  <c r="Y142" i="4"/>
  <c r="Y143" i="4"/>
  <c r="Y144" i="4"/>
  <c r="Y145" i="4"/>
  <c r="K145" i="8" s="1"/>
  <c r="Y146" i="4"/>
  <c r="Y147" i="4"/>
  <c r="Y148" i="4"/>
  <c r="Y149" i="4"/>
  <c r="Y150" i="4"/>
  <c r="Y151" i="4"/>
  <c r="Y152" i="4"/>
  <c r="Y153" i="4"/>
  <c r="Y154" i="4"/>
  <c r="Y155" i="4"/>
  <c r="Y156" i="4"/>
  <c r="Y157" i="4"/>
  <c r="Y158" i="4"/>
  <c r="Y159" i="4"/>
  <c r="K159" i="8" s="1"/>
  <c r="Y160" i="4"/>
  <c r="Y161" i="4"/>
  <c r="Y162" i="4"/>
  <c r="Y163" i="4"/>
  <c r="Y164" i="4"/>
  <c r="Y165" i="4"/>
  <c r="Y166" i="4"/>
  <c r="Y167" i="4"/>
  <c r="Y168" i="4"/>
  <c r="Y169" i="4"/>
  <c r="Y170" i="4"/>
  <c r="Y171" i="4"/>
  <c r="Y172" i="4"/>
  <c r="Y173" i="4"/>
  <c r="K173" i="8" s="1"/>
  <c r="Y174" i="4"/>
  <c r="Y175" i="4"/>
  <c r="Y176" i="4"/>
  <c r="Y177" i="4"/>
  <c r="Y178" i="4"/>
  <c r="Y179" i="4"/>
  <c r="Y180" i="4"/>
  <c r="Y181" i="4"/>
  <c r="Y182" i="4"/>
  <c r="Y183" i="4"/>
  <c r="Y184" i="4"/>
  <c r="Y185" i="4"/>
  <c r="Y186" i="4"/>
  <c r="Y187" i="4"/>
  <c r="K187" i="8" s="1"/>
  <c r="Y188" i="4"/>
  <c r="Y189" i="4"/>
  <c r="Y190" i="4"/>
  <c r="Y191" i="4"/>
  <c r="Y192" i="4"/>
  <c r="Y193" i="4"/>
  <c r="Y194" i="4"/>
  <c r="Y195" i="4"/>
  <c r="Y196" i="4"/>
  <c r="Y197" i="4"/>
  <c r="Y198" i="4"/>
  <c r="Y199" i="4"/>
  <c r="Y200" i="4"/>
  <c r="Y201" i="4"/>
  <c r="Y202" i="4"/>
  <c r="Y203" i="4"/>
  <c r="Y204" i="4"/>
  <c r="Y205" i="4"/>
  <c r="Y206" i="4"/>
  <c r="Y207" i="4"/>
  <c r="Y208" i="4"/>
  <c r="Y209" i="4"/>
  <c r="Y210" i="4"/>
  <c r="F22" i="6"/>
  <c r="T20" i="6"/>
  <c r="S16" i="6"/>
  <c r="R16" i="6"/>
  <c r="T12" i="6"/>
  <c r="M9" i="6"/>
  <c r="T8" i="6"/>
  <c r="M7" i="6"/>
  <c r="M3" i="6"/>
  <c r="AS88" i="5"/>
  <c r="W23" i="6" s="1"/>
  <c r="AR88" i="5"/>
  <c r="V23" i="6" s="1"/>
  <c r="AQ88" i="5"/>
  <c r="U23" i="6" s="1"/>
  <c r="AP88" i="5"/>
  <c r="T23" i="6" s="1"/>
  <c r="AO88" i="5"/>
  <c r="S23" i="6" s="1"/>
  <c r="AN88" i="5"/>
  <c r="R23" i="6" s="1"/>
  <c r="AM88" i="5"/>
  <c r="Q23" i="6" s="1"/>
  <c r="AL88" i="5"/>
  <c r="P23" i="6" s="1"/>
  <c r="AK88" i="5"/>
  <c r="O23" i="6" s="1"/>
  <c r="AJ88" i="5"/>
  <c r="N23" i="6" s="1"/>
  <c r="AI88" i="5"/>
  <c r="M23" i="6" s="1"/>
  <c r="AH88" i="5"/>
  <c r="L23" i="6" s="1"/>
  <c r="AG88" i="5"/>
  <c r="K23" i="6" s="1"/>
  <c r="AF88" i="5"/>
  <c r="J23" i="6" s="1"/>
  <c r="AE88" i="5"/>
  <c r="I23" i="6" s="1"/>
  <c r="AD88" i="5"/>
  <c r="H23" i="6" s="1"/>
  <c r="AC88" i="5"/>
  <c r="G23" i="6" s="1"/>
  <c r="AB88" i="5"/>
  <c r="F23" i="6" s="1"/>
  <c r="AA88" i="5"/>
  <c r="E23" i="6" s="1"/>
  <c r="Z88" i="5"/>
  <c r="D23" i="6" s="1"/>
  <c r="Y88" i="5"/>
  <c r="C23" i="6" s="1"/>
  <c r="AS87" i="5"/>
  <c r="W22" i="6" s="1"/>
  <c r="AR87" i="5"/>
  <c r="V22" i="6" s="1"/>
  <c r="AQ87" i="5"/>
  <c r="U22" i="6" s="1"/>
  <c r="AP87" i="5"/>
  <c r="T22" i="6" s="1"/>
  <c r="AO87" i="5"/>
  <c r="S22" i="6" s="1"/>
  <c r="AN87" i="5"/>
  <c r="R22" i="6" s="1"/>
  <c r="AM87" i="5"/>
  <c r="Q22" i="6" s="1"/>
  <c r="AL87" i="5"/>
  <c r="P22" i="6" s="1"/>
  <c r="AK87" i="5"/>
  <c r="O22" i="6" s="1"/>
  <c r="AJ87" i="5"/>
  <c r="N22" i="6" s="1"/>
  <c r="AI87" i="5"/>
  <c r="M22" i="6" s="1"/>
  <c r="AH87" i="5"/>
  <c r="L22" i="6" s="1"/>
  <c r="AG87" i="5"/>
  <c r="K22" i="6" s="1"/>
  <c r="AF87" i="5"/>
  <c r="J22" i="6" s="1"/>
  <c r="AE87" i="5"/>
  <c r="I22" i="6" s="1"/>
  <c r="AD87" i="5"/>
  <c r="H22" i="6" s="1"/>
  <c r="AC87" i="5"/>
  <c r="G22" i="6" s="1"/>
  <c r="AB87" i="5"/>
  <c r="AA87" i="5"/>
  <c r="E22" i="6" s="1"/>
  <c r="Z87" i="5"/>
  <c r="D22" i="6" s="1"/>
  <c r="Y87" i="5"/>
  <c r="C22" i="6" s="1"/>
  <c r="AS86" i="5"/>
  <c r="W21" i="6" s="1"/>
  <c r="AR86" i="5"/>
  <c r="V21" i="6" s="1"/>
  <c r="AQ86" i="5"/>
  <c r="U21" i="6" s="1"/>
  <c r="AP86" i="5"/>
  <c r="T21" i="6" s="1"/>
  <c r="AO86" i="5"/>
  <c r="S21" i="6" s="1"/>
  <c r="AN86" i="5"/>
  <c r="R21" i="6" s="1"/>
  <c r="AM86" i="5"/>
  <c r="Q21" i="6" s="1"/>
  <c r="AL86" i="5"/>
  <c r="P21" i="6" s="1"/>
  <c r="AK86" i="5"/>
  <c r="O21" i="6" s="1"/>
  <c r="AJ86" i="5"/>
  <c r="N21" i="6" s="1"/>
  <c r="AI86" i="5"/>
  <c r="M21" i="6" s="1"/>
  <c r="AH86" i="5"/>
  <c r="L21" i="6" s="1"/>
  <c r="AG86" i="5"/>
  <c r="K21" i="6" s="1"/>
  <c r="AF86" i="5"/>
  <c r="J21" i="6" s="1"/>
  <c r="AE86" i="5"/>
  <c r="I21" i="6" s="1"/>
  <c r="AD86" i="5"/>
  <c r="H21" i="6" s="1"/>
  <c r="AC86" i="5"/>
  <c r="G21" i="6" s="1"/>
  <c r="AB86" i="5"/>
  <c r="F21" i="6" s="1"/>
  <c r="AA86" i="5"/>
  <c r="E21" i="6" s="1"/>
  <c r="Z86" i="5"/>
  <c r="D21" i="6" s="1"/>
  <c r="Y86" i="5"/>
  <c r="C21" i="6" s="1"/>
  <c r="AS85" i="5"/>
  <c r="W20" i="6" s="1"/>
  <c r="AR85" i="5"/>
  <c r="V20" i="6" s="1"/>
  <c r="AQ85" i="5"/>
  <c r="U20" i="6" s="1"/>
  <c r="AP85" i="5"/>
  <c r="AO85" i="5"/>
  <c r="S20" i="6" s="1"/>
  <c r="AN85" i="5"/>
  <c r="R20" i="6" s="1"/>
  <c r="AM85" i="5"/>
  <c r="Q20" i="6" s="1"/>
  <c r="AL85" i="5"/>
  <c r="P20" i="6" s="1"/>
  <c r="AK85" i="5"/>
  <c r="O20" i="6" s="1"/>
  <c r="AJ85" i="5"/>
  <c r="N20" i="6" s="1"/>
  <c r="AI85" i="5"/>
  <c r="M20" i="6" s="1"/>
  <c r="AH85" i="5"/>
  <c r="L20" i="6" s="1"/>
  <c r="AG85" i="5"/>
  <c r="K20" i="6" s="1"/>
  <c r="AF85" i="5"/>
  <c r="J20" i="6" s="1"/>
  <c r="AE85" i="5"/>
  <c r="I20" i="6" s="1"/>
  <c r="AD85" i="5"/>
  <c r="H20" i="6" s="1"/>
  <c r="AC85" i="5"/>
  <c r="G20" i="6" s="1"/>
  <c r="AB85" i="5"/>
  <c r="F20" i="6" s="1"/>
  <c r="AA85" i="5"/>
  <c r="E20" i="6" s="1"/>
  <c r="Z85" i="5"/>
  <c r="D20" i="6" s="1"/>
  <c r="Y85" i="5"/>
  <c r="C20" i="6" s="1"/>
  <c r="AS84" i="5"/>
  <c r="W19" i="6" s="1"/>
  <c r="AR84" i="5"/>
  <c r="V19" i="6" s="1"/>
  <c r="AQ84" i="5"/>
  <c r="U19" i="6" s="1"/>
  <c r="AP84" i="5"/>
  <c r="T19" i="6" s="1"/>
  <c r="AO84" i="5"/>
  <c r="S19" i="6" s="1"/>
  <c r="AN84" i="5"/>
  <c r="R19" i="6" s="1"/>
  <c r="AM84" i="5"/>
  <c r="Q19" i="6" s="1"/>
  <c r="AL84" i="5"/>
  <c r="P19" i="6" s="1"/>
  <c r="AK84" i="5"/>
  <c r="O19" i="6" s="1"/>
  <c r="AJ84" i="5"/>
  <c r="N19" i="6" s="1"/>
  <c r="AI84" i="5"/>
  <c r="M19" i="6" s="1"/>
  <c r="AH84" i="5"/>
  <c r="L19" i="6" s="1"/>
  <c r="AG84" i="5"/>
  <c r="K19" i="6" s="1"/>
  <c r="AF84" i="5"/>
  <c r="J19" i="6" s="1"/>
  <c r="AE84" i="5"/>
  <c r="I19" i="6" s="1"/>
  <c r="AD84" i="5"/>
  <c r="H19" i="6" s="1"/>
  <c r="AC84" i="5"/>
  <c r="G19" i="6" s="1"/>
  <c r="AB84" i="5"/>
  <c r="F19" i="6" s="1"/>
  <c r="AA84" i="5"/>
  <c r="E19" i="6" s="1"/>
  <c r="Z84" i="5"/>
  <c r="D19" i="6" s="1"/>
  <c r="Y84" i="5"/>
  <c r="C19" i="6" s="1"/>
  <c r="AS83" i="5"/>
  <c r="W18" i="6" s="1"/>
  <c r="AR83" i="5"/>
  <c r="V18" i="6" s="1"/>
  <c r="AQ83" i="5"/>
  <c r="U18" i="6" s="1"/>
  <c r="AP83" i="5"/>
  <c r="T18" i="6" s="1"/>
  <c r="AO83" i="5"/>
  <c r="S18" i="6" s="1"/>
  <c r="AN83" i="5"/>
  <c r="R18" i="6" s="1"/>
  <c r="AM83" i="5"/>
  <c r="Q18" i="6" s="1"/>
  <c r="AL83" i="5"/>
  <c r="P18" i="6" s="1"/>
  <c r="AK83" i="5"/>
  <c r="O18" i="6" s="1"/>
  <c r="AJ83" i="5"/>
  <c r="N18" i="6" s="1"/>
  <c r="AI83" i="5"/>
  <c r="M18" i="6" s="1"/>
  <c r="AH83" i="5"/>
  <c r="L18" i="6" s="1"/>
  <c r="AG83" i="5"/>
  <c r="K18" i="6" s="1"/>
  <c r="AF83" i="5"/>
  <c r="J18" i="6" s="1"/>
  <c r="AE83" i="5"/>
  <c r="I18" i="6" s="1"/>
  <c r="AD83" i="5"/>
  <c r="H18" i="6" s="1"/>
  <c r="AC83" i="5"/>
  <c r="G18" i="6" s="1"/>
  <c r="AB83" i="5"/>
  <c r="F18" i="6" s="1"/>
  <c r="AA83" i="5"/>
  <c r="E18" i="6" s="1"/>
  <c r="Z83" i="5"/>
  <c r="D18" i="6" s="1"/>
  <c r="Y83" i="5"/>
  <c r="C18" i="6" s="1"/>
  <c r="AS82" i="5"/>
  <c r="W17" i="6" s="1"/>
  <c r="AR82" i="5"/>
  <c r="V17" i="6" s="1"/>
  <c r="AQ82" i="5"/>
  <c r="U17" i="6" s="1"/>
  <c r="AP82" i="5"/>
  <c r="T17" i="6" s="1"/>
  <c r="AO82" i="5"/>
  <c r="S17" i="6" s="1"/>
  <c r="AN82" i="5"/>
  <c r="R17" i="6" s="1"/>
  <c r="AM82" i="5"/>
  <c r="Q17" i="6" s="1"/>
  <c r="AL82" i="5"/>
  <c r="P17" i="6" s="1"/>
  <c r="AK82" i="5"/>
  <c r="O17" i="6" s="1"/>
  <c r="AJ82" i="5"/>
  <c r="N17" i="6" s="1"/>
  <c r="AI82" i="5"/>
  <c r="M17" i="6" s="1"/>
  <c r="AH82" i="5"/>
  <c r="L17" i="6" s="1"/>
  <c r="AG82" i="5"/>
  <c r="K17" i="6" s="1"/>
  <c r="AF82" i="5"/>
  <c r="J17" i="6" s="1"/>
  <c r="AE82" i="5"/>
  <c r="I17" i="6" s="1"/>
  <c r="AD82" i="5"/>
  <c r="H17" i="6" s="1"/>
  <c r="AC82" i="5"/>
  <c r="G17" i="6" s="1"/>
  <c r="AB82" i="5"/>
  <c r="F17" i="6" s="1"/>
  <c r="AA82" i="5"/>
  <c r="E17" i="6" s="1"/>
  <c r="Z82" i="5"/>
  <c r="D17" i="6" s="1"/>
  <c r="Y82" i="5"/>
  <c r="C17" i="6" s="1"/>
  <c r="AS81" i="5"/>
  <c r="W16" i="6" s="1"/>
  <c r="AR81" i="5"/>
  <c r="V16" i="6" s="1"/>
  <c r="AQ81" i="5"/>
  <c r="U16" i="6" s="1"/>
  <c r="AP81" i="5"/>
  <c r="T16" i="6" s="1"/>
  <c r="AO81" i="5"/>
  <c r="AN81" i="5"/>
  <c r="AM81" i="5"/>
  <c r="Q16" i="6" s="1"/>
  <c r="AL81" i="5"/>
  <c r="P16" i="6" s="1"/>
  <c r="AK81" i="5"/>
  <c r="O16" i="6" s="1"/>
  <c r="AJ81" i="5"/>
  <c r="N16" i="6" s="1"/>
  <c r="AI81" i="5"/>
  <c r="M16" i="6" s="1"/>
  <c r="AH81" i="5"/>
  <c r="L16" i="6" s="1"/>
  <c r="AG81" i="5"/>
  <c r="K16" i="6" s="1"/>
  <c r="AF81" i="5"/>
  <c r="J16" i="6" s="1"/>
  <c r="AE81" i="5"/>
  <c r="I16" i="6" s="1"/>
  <c r="AD81" i="5"/>
  <c r="H16" i="6" s="1"/>
  <c r="AC81" i="5"/>
  <c r="G16" i="6" s="1"/>
  <c r="AB81" i="5"/>
  <c r="F16" i="6" s="1"/>
  <c r="AA81" i="5"/>
  <c r="E16" i="6" s="1"/>
  <c r="Z81" i="5"/>
  <c r="D16" i="6" s="1"/>
  <c r="Y81" i="5"/>
  <c r="C16" i="6" s="1"/>
  <c r="AS80" i="5"/>
  <c r="W15" i="6" s="1"/>
  <c r="AR80" i="5"/>
  <c r="V15" i="6" s="1"/>
  <c r="AQ80" i="5"/>
  <c r="U15" i="6" s="1"/>
  <c r="AP80" i="5"/>
  <c r="T15" i="6" s="1"/>
  <c r="AO80" i="5"/>
  <c r="S15" i="6" s="1"/>
  <c r="AN80" i="5"/>
  <c r="R15" i="6" s="1"/>
  <c r="AM80" i="5"/>
  <c r="Q15" i="6" s="1"/>
  <c r="AL80" i="5"/>
  <c r="P15" i="6" s="1"/>
  <c r="AK80" i="5"/>
  <c r="O15" i="6" s="1"/>
  <c r="AJ80" i="5"/>
  <c r="N15" i="6" s="1"/>
  <c r="AI80" i="5"/>
  <c r="M15" i="6" s="1"/>
  <c r="AH80" i="5"/>
  <c r="L15" i="6" s="1"/>
  <c r="AG80" i="5"/>
  <c r="K15" i="6" s="1"/>
  <c r="AF80" i="5"/>
  <c r="J15" i="6" s="1"/>
  <c r="AE80" i="5"/>
  <c r="I15" i="6" s="1"/>
  <c r="AD80" i="5"/>
  <c r="H15" i="6" s="1"/>
  <c r="AC80" i="5"/>
  <c r="G15" i="6" s="1"/>
  <c r="AB80" i="5"/>
  <c r="F15" i="6" s="1"/>
  <c r="AA80" i="5"/>
  <c r="E15" i="6" s="1"/>
  <c r="Z80" i="5"/>
  <c r="D15" i="6" s="1"/>
  <c r="Y80" i="5"/>
  <c r="C15" i="6" s="1"/>
  <c r="AS79" i="5"/>
  <c r="W14" i="6" s="1"/>
  <c r="AR79" i="5"/>
  <c r="V14" i="6" s="1"/>
  <c r="AQ79" i="5"/>
  <c r="U14" i="6" s="1"/>
  <c r="AP79" i="5"/>
  <c r="T14" i="6" s="1"/>
  <c r="AO79" i="5"/>
  <c r="S14" i="6" s="1"/>
  <c r="AN79" i="5"/>
  <c r="R14" i="6" s="1"/>
  <c r="AM79" i="5"/>
  <c r="Q14" i="6" s="1"/>
  <c r="AL79" i="5"/>
  <c r="P14" i="6" s="1"/>
  <c r="AK79" i="5"/>
  <c r="O14" i="6" s="1"/>
  <c r="AJ79" i="5"/>
  <c r="N14" i="6" s="1"/>
  <c r="AI79" i="5"/>
  <c r="M14" i="6" s="1"/>
  <c r="AH79" i="5"/>
  <c r="L14" i="6" s="1"/>
  <c r="AG79" i="5"/>
  <c r="K14" i="6" s="1"/>
  <c r="AF79" i="5"/>
  <c r="J14" i="6" s="1"/>
  <c r="AE79" i="5"/>
  <c r="I14" i="6" s="1"/>
  <c r="AD79" i="5"/>
  <c r="H14" i="6" s="1"/>
  <c r="AC79" i="5"/>
  <c r="G14" i="6" s="1"/>
  <c r="AB79" i="5"/>
  <c r="F14" i="6" s="1"/>
  <c r="AA79" i="5"/>
  <c r="E14" i="6" s="1"/>
  <c r="Z79" i="5"/>
  <c r="D14" i="6" s="1"/>
  <c r="Y79" i="5"/>
  <c r="C14" i="6" s="1"/>
  <c r="AS78" i="5"/>
  <c r="W13" i="6" s="1"/>
  <c r="AR78" i="5"/>
  <c r="V13" i="6" s="1"/>
  <c r="AQ78" i="5"/>
  <c r="U13" i="6" s="1"/>
  <c r="AP78" i="5"/>
  <c r="T13" i="6" s="1"/>
  <c r="AO78" i="5"/>
  <c r="S13" i="6" s="1"/>
  <c r="AN78" i="5"/>
  <c r="R13" i="6" s="1"/>
  <c r="AM78" i="5"/>
  <c r="Q13" i="6" s="1"/>
  <c r="AL78" i="5"/>
  <c r="P13" i="6" s="1"/>
  <c r="AK78" i="5"/>
  <c r="O13" i="6" s="1"/>
  <c r="AJ78" i="5"/>
  <c r="N13" i="6" s="1"/>
  <c r="AI78" i="5"/>
  <c r="M13" i="6" s="1"/>
  <c r="AH78" i="5"/>
  <c r="L13" i="6" s="1"/>
  <c r="AG78" i="5"/>
  <c r="K13" i="6" s="1"/>
  <c r="AF78" i="5"/>
  <c r="J13" i="6" s="1"/>
  <c r="AE78" i="5"/>
  <c r="I13" i="6" s="1"/>
  <c r="AD78" i="5"/>
  <c r="H13" i="6" s="1"/>
  <c r="AC78" i="5"/>
  <c r="G13" i="6" s="1"/>
  <c r="AB78" i="5"/>
  <c r="F13" i="6" s="1"/>
  <c r="AA78" i="5"/>
  <c r="E13" i="6" s="1"/>
  <c r="Z78" i="5"/>
  <c r="D13" i="6" s="1"/>
  <c r="Y78" i="5"/>
  <c r="C13" i="6" s="1"/>
  <c r="AS77" i="5"/>
  <c r="W12" i="6" s="1"/>
  <c r="AR77" i="5"/>
  <c r="V12" i="6" s="1"/>
  <c r="AQ77" i="5"/>
  <c r="U12" i="6" s="1"/>
  <c r="AP77" i="5"/>
  <c r="AO77" i="5"/>
  <c r="S12" i="6" s="1"/>
  <c r="AN77" i="5"/>
  <c r="R12" i="6" s="1"/>
  <c r="AM77" i="5"/>
  <c r="Q12" i="6" s="1"/>
  <c r="AL77" i="5"/>
  <c r="P12" i="6" s="1"/>
  <c r="AK77" i="5"/>
  <c r="O12" i="6" s="1"/>
  <c r="AJ77" i="5"/>
  <c r="N12" i="6" s="1"/>
  <c r="AI77" i="5"/>
  <c r="M12" i="6" s="1"/>
  <c r="AH77" i="5"/>
  <c r="L12" i="6" s="1"/>
  <c r="AG77" i="5"/>
  <c r="K12" i="6" s="1"/>
  <c r="AF77" i="5"/>
  <c r="J12" i="6" s="1"/>
  <c r="AE77" i="5"/>
  <c r="I12" i="6" s="1"/>
  <c r="AD77" i="5"/>
  <c r="H12" i="6" s="1"/>
  <c r="AC77" i="5"/>
  <c r="G12" i="6" s="1"/>
  <c r="AB77" i="5"/>
  <c r="F12" i="6" s="1"/>
  <c r="AA77" i="5"/>
  <c r="E12" i="6" s="1"/>
  <c r="Z77" i="5"/>
  <c r="D12" i="6" s="1"/>
  <c r="Y77" i="5"/>
  <c r="C12" i="6" s="1"/>
  <c r="AS76" i="5"/>
  <c r="W11" i="6" s="1"/>
  <c r="AR76" i="5"/>
  <c r="V11" i="6" s="1"/>
  <c r="AQ76" i="5"/>
  <c r="U11" i="6" s="1"/>
  <c r="AP76" i="5"/>
  <c r="T11" i="6" s="1"/>
  <c r="AO76" i="5"/>
  <c r="S11" i="6" s="1"/>
  <c r="AN76" i="5"/>
  <c r="R11" i="6" s="1"/>
  <c r="AM76" i="5"/>
  <c r="Q11" i="6" s="1"/>
  <c r="AL76" i="5"/>
  <c r="P11" i="6" s="1"/>
  <c r="AK76" i="5"/>
  <c r="O11" i="6" s="1"/>
  <c r="AJ76" i="5"/>
  <c r="N11" i="6" s="1"/>
  <c r="AI76" i="5"/>
  <c r="M11" i="6" s="1"/>
  <c r="AH76" i="5"/>
  <c r="L11" i="6" s="1"/>
  <c r="AG76" i="5"/>
  <c r="K11" i="6" s="1"/>
  <c r="AF76" i="5"/>
  <c r="J11" i="6" s="1"/>
  <c r="AE76" i="5"/>
  <c r="I11" i="6" s="1"/>
  <c r="AD76" i="5"/>
  <c r="H11" i="6" s="1"/>
  <c r="AC76" i="5"/>
  <c r="G11" i="6" s="1"/>
  <c r="AB76" i="5"/>
  <c r="F11" i="6" s="1"/>
  <c r="AA76" i="5"/>
  <c r="E11" i="6" s="1"/>
  <c r="Z76" i="5"/>
  <c r="D11" i="6" s="1"/>
  <c r="Y76" i="5"/>
  <c r="C11" i="6" s="1"/>
  <c r="AS75" i="5"/>
  <c r="W10" i="6" s="1"/>
  <c r="AR75" i="5"/>
  <c r="V10" i="6" s="1"/>
  <c r="AQ75" i="5"/>
  <c r="U10" i="6" s="1"/>
  <c r="AP75" i="5"/>
  <c r="T10" i="6" s="1"/>
  <c r="AO75" i="5"/>
  <c r="S10" i="6" s="1"/>
  <c r="AN75" i="5"/>
  <c r="R10" i="6" s="1"/>
  <c r="AM75" i="5"/>
  <c r="Q10" i="6" s="1"/>
  <c r="AL75" i="5"/>
  <c r="P10" i="6" s="1"/>
  <c r="AK75" i="5"/>
  <c r="O10" i="6" s="1"/>
  <c r="AJ75" i="5"/>
  <c r="N10" i="6" s="1"/>
  <c r="AI75" i="5"/>
  <c r="M10" i="6" s="1"/>
  <c r="AH75" i="5"/>
  <c r="L10" i="6" s="1"/>
  <c r="AG75" i="5"/>
  <c r="K10" i="6" s="1"/>
  <c r="AF75" i="5"/>
  <c r="J10" i="6" s="1"/>
  <c r="AE75" i="5"/>
  <c r="I10" i="6" s="1"/>
  <c r="AD75" i="5"/>
  <c r="H10" i="6" s="1"/>
  <c r="AC75" i="5"/>
  <c r="G10" i="6" s="1"/>
  <c r="AB75" i="5"/>
  <c r="F10" i="6" s="1"/>
  <c r="AA75" i="5"/>
  <c r="E10" i="6" s="1"/>
  <c r="Z75" i="5"/>
  <c r="D10" i="6" s="1"/>
  <c r="Y75" i="5"/>
  <c r="C10" i="6" s="1"/>
  <c r="AS74" i="5"/>
  <c r="W9" i="6" s="1"/>
  <c r="AR74" i="5"/>
  <c r="V9" i="6" s="1"/>
  <c r="AQ74" i="5"/>
  <c r="U9" i="6" s="1"/>
  <c r="AP74" i="5"/>
  <c r="T9" i="6" s="1"/>
  <c r="AO74" i="5"/>
  <c r="S9" i="6" s="1"/>
  <c r="AN74" i="5"/>
  <c r="R9" i="6" s="1"/>
  <c r="AM74" i="5"/>
  <c r="Q9" i="6" s="1"/>
  <c r="AL74" i="5"/>
  <c r="P9" i="6" s="1"/>
  <c r="AK74" i="5"/>
  <c r="O9" i="6" s="1"/>
  <c r="AJ74" i="5"/>
  <c r="N9" i="6" s="1"/>
  <c r="AI74" i="5"/>
  <c r="AH74" i="5"/>
  <c r="L9" i="6" s="1"/>
  <c r="AG74" i="5"/>
  <c r="K9" i="6" s="1"/>
  <c r="AF74" i="5"/>
  <c r="J9" i="6" s="1"/>
  <c r="AE74" i="5"/>
  <c r="I9" i="6" s="1"/>
  <c r="AD74" i="5"/>
  <c r="H9" i="6" s="1"/>
  <c r="AC74" i="5"/>
  <c r="G9" i="6" s="1"/>
  <c r="AB74" i="5"/>
  <c r="F9" i="6" s="1"/>
  <c r="AA74" i="5"/>
  <c r="E9" i="6" s="1"/>
  <c r="Z74" i="5"/>
  <c r="D9" i="6" s="1"/>
  <c r="Y74" i="5"/>
  <c r="C9" i="6" s="1"/>
  <c r="AS73" i="5"/>
  <c r="W8" i="6" s="1"/>
  <c r="AR73" i="5"/>
  <c r="V8" i="6" s="1"/>
  <c r="AQ73" i="5"/>
  <c r="U8" i="6" s="1"/>
  <c r="AP73" i="5"/>
  <c r="AO73" i="5"/>
  <c r="S8" i="6" s="1"/>
  <c r="AN73" i="5"/>
  <c r="R8" i="6" s="1"/>
  <c r="AM73" i="5"/>
  <c r="Q8" i="6" s="1"/>
  <c r="AL73" i="5"/>
  <c r="P8" i="6" s="1"/>
  <c r="AK73" i="5"/>
  <c r="O8" i="6" s="1"/>
  <c r="AJ73" i="5"/>
  <c r="N8" i="6" s="1"/>
  <c r="AI73" i="5"/>
  <c r="M8" i="6" s="1"/>
  <c r="AH73" i="5"/>
  <c r="L8" i="6" s="1"/>
  <c r="AG73" i="5"/>
  <c r="K8" i="6" s="1"/>
  <c r="AF73" i="5"/>
  <c r="J8" i="6" s="1"/>
  <c r="AE73" i="5"/>
  <c r="I8" i="6" s="1"/>
  <c r="AD73" i="5"/>
  <c r="H8" i="6" s="1"/>
  <c r="AC73" i="5"/>
  <c r="G8" i="6" s="1"/>
  <c r="AB73" i="5"/>
  <c r="F8" i="6" s="1"/>
  <c r="AA73" i="5"/>
  <c r="E8" i="6" s="1"/>
  <c r="Z73" i="5"/>
  <c r="D8" i="6" s="1"/>
  <c r="Y73" i="5"/>
  <c r="C8" i="6" s="1"/>
  <c r="AS72" i="5"/>
  <c r="W7" i="6" s="1"/>
  <c r="AR72" i="5"/>
  <c r="V7" i="6" s="1"/>
  <c r="AQ72" i="5"/>
  <c r="U7" i="6" s="1"/>
  <c r="AP72" i="5"/>
  <c r="T7" i="6" s="1"/>
  <c r="AO72" i="5"/>
  <c r="S7" i="6" s="1"/>
  <c r="AN72" i="5"/>
  <c r="R7" i="6" s="1"/>
  <c r="AM72" i="5"/>
  <c r="Q7" i="6" s="1"/>
  <c r="AL72" i="5"/>
  <c r="P7" i="6" s="1"/>
  <c r="AK72" i="5"/>
  <c r="O7" i="6" s="1"/>
  <c r="AJ72" i="5"/>
  <c r="N7" i="6" s="1"/>
  <c r="AI72" i="5"/>
  <c r="AH72" i="5"/>
  <c r="L7" i="6" s="1"/>
  <c r="AG72" i="5"/>
  <c r="K7" i="6" s="1"/>
  <c r="AF72" i="5"/>
  <c r="J7" i="6" s="1"/>
  <c r="AE72" i="5"/>
  <c r="I7" i="6" s="1"/>
  <c r="AD72" i="5"/>
  <c r="H7" i="6" s="1"/>
  <c r="AC72" i="5"/>
  <c r="G7" i="6" s="1"/>
  <c r="AB72" i="5"/>
  <c r="F7" i="6" s="1"/>
  <c r="AA72" i="5"/>
  <c r="E7" i="6" s="1"/>
  <c r="Z72" i="5"/>
  <c r="D7" i="6" s="1"/>
  <c r="Y72" i="5"/>
  <c r="C7" i="6" s="1"/>
  <c r="AS71" i="5"/>
  <c r="W6" i="6" s="1"/>
  <c r="AR71" i="5"/>
  <c r="V6" i="6" s="1"/>
  <c r="AQ71" i="5"/>
  <c r="U6" i="6" s="1"/>
  <c r="AP71" i="5"/>
  <c r="T6" i="6" s="1"/>
  <c r="AO71" i="5"/>
  <c r="S6" i="6" s="1"/>
  <c r="AN71" i="5"/>
  <c r="R6" i="6" s="1"/>
  <c r="AM71" i="5"/>
  <c r="Q6" i="6" s="1"/>
  <c r="AL71" i="5"/>
  <c r="P6" i="6" s="1"/>
  <c r="AK71" i="5"/>
  <c r="O6" i="6" s="1"/>
  <c r="AJ71" i="5"/>
  <c r="N6" i="6" s="1"/>
  <c r="AI71" i="5"/>
  <c r="M6" i="6" s="1"/>
  <c r="AH71" i="5"/>
  <c r="L6" i="6" s="1"/>
  <c r="AG71" i="5"/>
  <c r="K6" i="6" s="1"/>
  <c r="AF71" i="5"/>
  <c r="J6" i="6" s="1"/>
  <c r="AE71" i="5"/>
  <c r="I6" i="6" s="1"/>
  <c r="AD71" i="5"/>
  <c r="H6" i="6" s="1"/>
  <c r="AC71" i="5"/>
  <c r="G6" i="6" s="1"/>
  <c r="AB71" i="5"/>
  <c r="F6" i="6" s="1"/>
  <c r="AA71" i="5"/>
  <c r="E6" i="6" s="1"/>
  <c r="Z71" i="5"/>
  <c r="D6" i="6" s="1"/>
  <c r="Y71" i="5"/>
  <c r="C6" i="6" s="1"/>
  <c r="AS70" i="5"/>
  <c r="W5" i="6" s="1"/>
  <c r="AR70" i="5"/>
  <c r="V5" i="6" s="1"/>
  <c r="AQ70" i="5"/>
  <c r="U5" i="6" s="1"/>
  <c r="AP70" i="5"/>
  <c r="T5" i="6" s="1"/>
  <c r="AO70" i="5"/>
  <c r="S5" i="6" s="1"/>
  <c r="AN70" i="5"/>
  <c r="R5" i="6" s="1"/>
  <c r="AM70" i="5"/>
  <c r="Q5" i="6" s="1"/>
  <c r="AL70" i="5"/>
  <c r="P5" i="6" s="1"/>
  <c r="AK70" i="5"/>
  <c r="O5" i="6" s="1"/>
  <c r="AJ70" i="5"/>
  <c r="N5" i="6" s="1"/>
  <c r="AI70" i="5"/>
  <c r="M5" i="6" s="1"/>
  <c r="AH70" i="5"/>
  <c r="L5" i="6" s="1"/>
  <c r="AG70" i="5"/>
  <c r="K5" i="6" s="1"/>
  <c r="AF70" i="5"/>
  <c r="J5" i="6" s="1"/>
  <c r="AE70" i="5"/>
  <c r="I5" i="6" s="1"/>
  <c r="AD70" i="5"/>
  <c r="H5" i="6" s="1"/>
  <c r="AC70" i="5"/>
  <c r="G5" i="6" s="1"/>
  <c r="AB70" i="5"/>
  <c r="F5" i="6" s="1"/>
  <c r="AA70" i="5"/>
  <c r="E5" i="6" s="1"/>
  <c r="Z70" i="5"/>
  <c r="D5" i="6" s="1"/>
  <c r="Y70" i="5"/>
  <c r="C5" i="6" s="1"/>
  <c r="AS69" i="5"/>
  <c r="W4" i="6" s="1"/>
  <c r="AR69" i="5"/>
  <c r="V4" i="6" s="1"/>
  <c r="AQ69" i="5"/>
  <c r="U4" i="6" s="1"/>
  <c r="AP69" i="5"/>
  <c r="T4" i="6" s="1"/>
  <c r="AO69" i="5"/>
  <c r="S4" i="6" s="1"/>
  <c r="AN69" i="5"/>
  <c r="R4" i="6" s="1"/>
  <c r="AM69" i="5"/>
  <c r="Q4" i="6" s="1"/>
  <c r="AL69" i="5"/>
  <c r="P4" i="6" s="1"/>
  <c r="AK69" i="5"/>
  <c r="O4" i="6" s="1"/>
  <c r="AJ69" i="5"/>
  <c r="N4" i="6" s="1"/>
  <c r="AI69" i="5"/>
  <c r="M4" i="6" s="1"/>
  <c r="AH69" i="5"/>
  <c r="L4" i="6" s="1"/>
  <c r="AG69" i="5"/>
  <c r="K4" i="6" s="1"/>
  <c r="AF69" i="5"/>
  <c r="J4" i="6" s="1"/>
  <c r="AE69" i="5"/>
  <c r="I4" i="6" s="1"/>
  <c r="AD69" i="5"/>
  <c r="H4" i="6" s="1"/>
  <c r="AC69" i="5"/>
  <c r="G4" i="6" s="1"/>
  <c r="AB69" i="5"/>
  <c r="F4" i="6" s="1"/>
  <c r="AA69" i="5"/>
  <c r="E4" i="6" s="1"/>
  <c r="Z69" i="5"/>
  <c r="D4" i="6" s="1"/>
  <c r="Y69" i="5"/>
  <c r="C4" i="6" s="1"/>
  <c r="AS68" i="5"/>
  <c r="W3" i="6" s="1"/>
  <c r="AR68" i="5"/>
  <c r="V3" i="6" s="1"/>
  <c r="AQ68" i="5"/>
  <c r="U3" i="6" s="1"/>
  <c r="AP68" i="5"/>
  <c r="T3" i="6" s="1"/>
  <c r="AO68" i="5"/>
  <c r="S3" i="6" s="1"/>
  <c r="AN68" i="5"/>
  <c r="R3" i="6" s="1"/>
  <c r="AM68" i="5"/>
  <c r="Q3" i="6" s="1"/>
  <c r="AL68" i="5"/>
  <c r="P3" i="6" s="1"/>
  <c r="AK68" i="5"/>
  <c r="O3" i="6" s="1"/>
  <c r="AJ68" i="5"/>
  <c r="N3" i="6" s="1"/>
  <c r="AI68" i="5"/>
  <c r="AH68" i="5"/>
  <c r="L3" i="6" s="1"/>
  <c r="AG68" i="5"/>
  <c r="K3" i="6" s="1"/>
  <c r="AF68" i="5"/>
  <c r="J3" i="6" s="1"/>
  <c r="AE68" i="5"/>
  <c r="I3" i="6" s="1"/>
  <c r="AD68" i="5"/>
  <c r="H3" i="6" s="1"/>
  <c r="AC68" i="5"/>
  <c r="G3" i="6" s="1"/>
  <c r="AB68" i="5"/>
  <c r="F3" i="6" s="1"/>
  <c r="AA68" i="5"/>
  <c r="E3" i="6" s="1"/>
  <c r="Z68" i="5"/>
  <c r="D3" i="6" s="1"/>
  <c r="Y68" i="5"/>
  <c r="C3" i="6" s="1"/>
  <c r="I198" i="8" l="1"/>
  <c r="G198" i="8"/>
  <c r="B198" i="8"/>
  <c r="M198" i="8"/>
  <c r="Q198" i="8"/>
  <c r="U198" i="8"/>
  <c r="C198" i="8"/>
  <c r="T198" i="8"/>
  <c r="I184" i="8"/>
  <c r="C184" i="8"/>
  <c r="E184" i="8"/>
  <c r="H184" i="8"/>
  <c r="J184" i="8"/>
  <c r="B184" i="8"/>
  <c r="K184" i="8"/>
  <c r="U170" i="8"/>
  <c r="I170" i="8"/>
  <c r="N170" i="8"/>
  <c r="K170" i="8"/>
  <c r="Q170" i="8"/>
  <c r="C170" i="8"/>
  <c r="D170" i="8"/>
  <c r="E170" i="8"/>
  <c r="F170" i="8"/>
  <c r="B170" i="8"/>
  <c r="I156" i="8"/>
  <c r="J156" i="8"/>
  <c r="C156" i="8"/>
  <c r="G156" i="8"/>
  <c r="H156" i="8"/>
  <c r="Q156" i="8"/>
  <c r="T156" i="8"/>
  <c r="I142" i="8"/>
  <c r="E142" i="8"/>
  <c r="T142" i="8"/>
  <c r="P142" i="8"/>
  <c r="Q142" i="8"/>
  <c r="J142" i="8"/>
  <c r="U142" i="8"/>
  <c r="K142" i="8"/>
  <c r="M142" i="8"/>
  <c r="N142" i="8"/>
  <c r="I128" i="8"/>
  <c r="P128" i="8"/>
  <c r="D128" i="8"/>
  <c r="T128" i="8"/>
  <c r="G128" i="8"/>
  <c r="H128" i="8"/>
  <c r="C128" i="8"/>
  <c r="E128" i="8"/>
  <c r="F128" i="8"/>
  <c r="G114" i="8"/>
  <c r="F114" i="8"/>
  <c r="K114" i="8"/>
  <c r="M114" i="8"/>
  <c r="Q114" i="8"/>
  <c r="T114" i="8"/>
  <c r="B114" i="8"/>
  <c r="U114" i="8"/>
  <c r="C114" i="8"/>
  <c r="D114" i="8"/>
  <c r="G100" i="8"/>
  <c r="U100" i="8"/>
  <c r="Q100" i="8"/>
  <c r="C100" i="8"/>
  <c r="T100" i="8"/>
  <c r="H100" i="8"/>
  <c r="I100" i="8"/>
  <c r="N100" i="8"/>
  <c r="O100" i="8"/>
  <c r="P100" i="8"/>
  <c r="G86" i="8"/>
  <c r="U86" i="8"/>
  <c r="M86" i="8"/>
  <c r="K86" i="8"/>
  <c r="E86" i="8"/>
  <c r="N86" i="8"/>
  <c r="O86" i="8"/>
  <c r="D86" i="8"/>
  <c r="F86" i="8"/>
  <c r="H86" i="8"/>
  <c r="I86" i="8"/>
  <c r="J86" i="8"/>
  <c r="G72" i="8"/>
  <c r="I72" i="8"/>
  <c r="C72" i="8"/>
  <c r="D72" i="8"/>
  <c r="T72" i="8"/>
  <c r="M72" i="8"/>
  <c r="E72" i="8"/>
  <c r="F72" i="8"/>
  <c r="H72" i="8"/>
  <c r="J72" i="8"/>
  <c r="K72" i="8"/>
  <c r="G58" i="8"/>
  <c r="Q58" i="8"/>
  <c r="D58" i="8"/>
  <c r="P58" i="8"/>
  <c r="J58" i="8"/>
  <c r="C58" i="8"/>
  <c r="U58" i="8"/>
  <c r="M58" i="8"/>
  <c r="N58" i="8"/>
  <c r="O58" i="8"/>
  <c r="T58" i="8"/>
  <c r="F44" i="8"/>
  <c r="T44" i="8"/>
  <c r="E44" i="8"/>
  <c r="M44" i="8"/>
  <c r="O44" i="8"/>
  <c r="H44" i="8"/>
  <c r="U44" i="8"/>
  <c r="I44" i="8"/>
  <c r="C44" i="8"/>
  <c r="D44" i="8"/>
  <c r="B44" i="8"/>
  <c r="G44" i="8"/>
  <c r="J44" i="8"/>
  <c r="K44" i="8"/>
  <c r="F30" i="8"/>
  <c r="T30" i="8"/>
  <c r="P30" i="8"/>
  <c r="E30" i="8"/>
  <c r="H30" i="8"/>
  <c r="M30" i="8"/>
  <c r="N30" i="8"/>
  <c r="O30" i="8"/>
  <c r="Q30" i="8"/>
  <c r="B30" i="8"/>
  <c r="F16" i="8"/>
  <c r="T16" i="8"/>
  <c r="N16" i="8"/>
  <c r="P16" i="8"/>
  <c r="D16" i="8"/>
  <c r="J16" i="8"/>
  <c r="K16" i="8"/>
  <c r="C16" i="8"/>
  <c r="E16" i="8"/>
  <c r="G16" i="8"/>
  <c r="E198" i="8"/>
  <c r="F184" i="8"/>
  <c r="T170" i="8"/>
  <c r="K128" i="8"/>
  <c r="O16" i="8"/>
  <c r="U72" i="8"/>
  <c r="F2" i="8"/>
  <c r="T2" i="8"/>
  <c r="H2" i="8"/>
  <c r="E2" i="8"/>
  <c r="I2" i="8"/>
  <c r="D2" i="8"/>
  <c r="G2" i="8"/>
  <c r="O2" i="8"/>
  <c r="C2" i="8"/>
  <c r="J2" i="8"/>
  <c r="M2" i="8"/>
  <c r="N2" i="8"/>
  <c r="P2" i="8"/>
  <c r="Q2" i="8"/>
  <c r="U197" i="8"/>
  <c r="M197" i="8"/>
  <c r="J197" i="8"/>
  <c r="O197" i="8"/>
  <c r="C197" i="8"/>
  <c r="T197" i="8"/>
  <c r="D197" i="8"/>
  <c r="U183" i="8"/>
  <c r="M183" i="8"/>
  <c r="F183" i="8"/>
  <c r="B183" i="8"/>
  <c r="G183" i="8"/>
  <c r="I183" i="8"/>
  <c r="J183" i="8"/>
  <c r="K183" i="8"/>
  <c r="M169" i="8"/>
  <c r="Q169" i="8"/>
  <c r="B169" i="8"/>
  <c r="C169" i="8"/>
  <c r="D169" i="8"/>
  <c r="U169" i="8"/>
  <c r="E169" i="8"/>
  <c r="F169" i="8"/>
  <c r="U155" i="8"/>
  <c r="M155" i="8"/>
  <c r="E155" i="8"/>
  <c r="H155" i="8"/>
  <c r="I155" i="8"/>
  <c r="P155" i="8"/>
  <c r="Q155" i="8"/>
  <c r="M141" i="8"/>
  <c r="H141" i="8"/>
  <c r="N141" i="8"/>
  <c r="Q141" i="8"/>
  <c r="U141" i="8"/>
  <c r="G141" i="8"/>
  <c r="I141" i="8"/>
  <c r="J141" i="8"/>
  <c r="K141" i="8"/>
  <c r="M127" i="8"/>
  <c r="D127" i="8"/>
  <c r="F127" i="8"/>
  <c r="H127" i="8"/>
  <c r="I127" i="8"/>
  <c r="T127" i="8"/>
  <c r="C127" i="8"/>
  <c r="K113" i="8"/>
  <c r="I113" i="8"/>
  <c r="M113" i="8"/>
  <c r="U113" i="8"/>
  <c r="N113" i="8"/>
  <c r="Q113" i="8"/>
  <c r="P113" i="8"/>
  <c r="B113" i="8"/>
  <c r="T113" i="8"/>
  <c r="K99" i="8"/>
  <c r="E99" i="8"/>
  <c r="T99" i="8"/>
  <c r="U99" i="8"/>
  <c r="D99" i="8"/>
  <c r="G99" i="8"/>
  <c r="H99" i="8"/>
  <c r="M99" i="8"/>
  <c r="N99" i="8"/>
  <c r="O99" i="8"/>
  <c r="B99" i="8"/>
  <c r="P99" i="8"/>
  <c r="K85" i="8"/>
  <c r="P85" i="8"/>
  <c r="M85" i="8"/>
  <c r="N85" i="8"/>
  <c r="E85" i="8"/>
  <c r="I85" i="8"/>
  <c r="J85" i="8"/>
  <c r="U85" i="8"/>
  <c r="C85" i="8"/>
  <c r="D85" i="8"/>
  <c r="F85" i="8"/>
  <c r="K71" i="8"/>
  <c r="E71" i="8"/>
  <c r="F71" i="8"/>
  <c r="U71" i="8"/>
  <c r="M71" i="8"/>
  <c r="B71" i="8"/>
  <c r="T71" i="8"/>
  <c r="C71" i="8"/>
  <c r="D71" i="8"/>
  <c r="K57" i="8"/>
  <c r="E57" i="8"/>
  <c r="T57" i="8"/>
  <c r="G57" i="8"/>
  <c r="Q57" i="8"/>
  <c r="H57" i="8"/>
  <c r="F57" i="8"/>
  <c r="I57" i="8"/>
  <c r="J57" i="8"/>
  <c r="M57" i="8"/>
  <c r="J43" i="8"/>
  <c r="H43" i="8"/>
  <c r="O43" i="8"/>
  <c r="Q43" i="8"/>
  <c r="U43" i="8"/>
  <c r="F43" i="8"/>
  <c r="G43" i="8"/>
  <c r="T43" i="8"/>
  <c r="P43" i="8"/>
  <c r="B43" i="8"/>
  <c r="J29" i="8"/>
  <c r="D29" i="8"/>
  <c r="G29" i="8"/>
  <c r="I29" i="8"/>
  <c r="M29" i="8"/>
  <c r="N29" i="8"/>
  <c r="K29" i="8"/>
  <c r="U29" i="8"/>
  <c r="O29" i="8"/>
  <c r="C29" i="8"/>
  <c r="E29" i="8"/>
  <c r="F29" i="8"/>
  <c r="B29" i="8"/>
  <c r="H29" i="8"/>
  <c r="P29" i="8"/>
  <c r="J15" i="8"/>
  <c r="O15" i="8"/>
  <c r="P15" i="8"/>
  <c r="T15" i="8"/>
  <c r="F15" i="8"/>
  <c r="G15" i="8"/>
  <c r="N15" i="8"/>
  <c r="Q15" i="8"/>
  <c r="D198" i="8"/>
  <c r="D184" i="8"/>
  <c r="K169" i="8"/>
  <c r="J155" i="8"/>
  <c r="O142" i="8"/>
  <c r="C141" i="8"/>
  <c r="J128" i="8"/>
  <c r="H113" i="8"/>
  <c r="K100" i="8"/>
  <c r="O85" i="8"/>
  <c r="O71" i="8"/>
  <c r="M16" i="8"/>
  <c r="C196" i="8"/>
  <c r="Q196" i="8"/>
  <c r="M196" i="8"/>
  <c r="P196" i="8"/>
  <c r="T196" i="8"/>
  <c r="U196" i="8"/>
  <c r="D196" i="8"/>
  <c r="E196" i="8"/>
  <c r="C182" i="8"/>
  <c r="Q182" i="8"/>
  <c r="I182" i="8"/>
  <c r="H182" i="8"/>
  <c r="J182" i="8"/>
  <c r="B182" i="8"/>
  <c r="K182" i="8"/>
  <c r="M182" i="8"/>
  <c r="C168" i="8"/>
  <c r="Q168" i="8"/>
  <c r="E168" i="8"/>
  <c r="T168" i="8"/>
  <c r="B168" i="8"/>
  <c r="N168" i="8"/>
  <c r="U168" i="8"/>
  <c r="D168" i="8"/>
  <c r="F168" i="8"/>
  <c r="C154" i="8"/>
  <c r="Q154" i="8"/>
  <c r="O154" i="8"/>
  <c r="G154" i="8"/>
  <c r="I154" i="8"/>
  <c r="J154" i="8"/>
  <c r="M154" i="8"/>
  <c r="N154" i="8"/>
  <c r="P154" i="8"/>
  <c r="U140" i="8"/>
  <c r="C140" i="8"/>
  <c r="Q140" i="8"/>
  <c r="K140" i="8"/>
  <c r="O140" i="8"/>
  <c r="F140" i="8"/>
  <c r="G140" i="8"/>
  <c r="H140" i="8"/>
  <c r="I140" i="8"/>
  <c r="O126" i="8"/>
  <c r="Q126" i="8"/>
  <c r="F126" i="8"/>
  <c r="G126" i="8"/>
  <c r="H126" i="8"/>
  <c r="I126" i="8"/>
  <c r="T126" i="8"/>
  <c r="O112" i="8"/>
  <c r="N112" i="8"/>
  <c r="M112" i="8"/>
  <c r="Q112" i="8"/>
  <c r="J112" i="8"/>
  <c r="U112" i="8"/>
  <c r="K112" i="8"/>
  <c r="P112" i="8"/>
  <c r="T112" i="8"/>
  <c r="O98" i="8"/>
  <c r="H98" i="8"/>
  <c r="F98" i="8"/>
  <c r="C98" i="8"/>
  <c r="T98" i="8"/>
  <c r="E98" i="8"/>
  <c r="U98" i="8"/>
  <c r="G98" i="8"/>
  <c r="I98" i="8"/>
  <c r="J98" i="8"/>
  <c r="K98" i="8"/>
  <c r="B98" i="8"/>
  <c r="M98" i="8"/>
  <c r="O84" i="8"/>
  <c r="U84" i="8"/>
  <c r="D84" i="8"/>
  <c r="N84" i="8"/>
  <c r="P84" i="8"/>
  <c r="E84" i="8"/>
  <c r="H84" i="8"/>
  <c r="I84" i="8"/>
  <c r="T84" i="8"/>
  <c r="O70" i="8"/>
  <c r="U70" i="8"/>
  <c r="N70" i="8"/>
  <c r="G70" i="8"/>
  <c r="H70" i="8"/>
  <c r="K70" i="8"/>
  <c r="P70" i="8"/>
  <c r="Q70" i="8"/>
  <c r="T70" i="8"/>
  <c r="O56" i="8"/>
  <c r="H56" i="8"/>
  <c r="J56" i="8"/>
  <c r="E56" i="8"/>
  <c r="N56" i="8"/>
  <c r="P56" i="8"/>
  <c r="C56" i="8"/>
  <c r="D56" i="8"/>
  <c r="F56" i="8"/>
  <c r="N42" i="8"/>
  <c r="K42" i="8"/>
  <c r="Q42" i="8"/>
  <c r="C42" i="8"/>
  <c r="F42" i="8"/>
  <c r="G42" i="8"/>
  <c r="P42" i="8"/>
  <c r="J42" i="8"/>
  <c r="I42" i="8"/>
  <c r="M42" i="8"/>
  <c r="O42" i="8"/>
  <c r="T42" i="8"/>
  <c r="N28" i="8"/>
  <c r="G28" i="8"/>
  <c r="I28" i="8"/>
  <c r="K28" i="8"/>
  <c r="M28" i="8"/>
  <c r="E28" i="8"/>
  <c r="U28" i="8"/>
  <c r="D28" i="8"/>
  <c r="F28" i="8"/>
  <c r="B28" i="8"/>
  <c r="N14" i="8"/>
  <c r="C14" i="8"/>
  <c r="Q14" i="8"/>
  <c r="D14" i="8"/>
  <c r="T14" i="8"/>
  <c r="P14" i="8"/>
  <c r="O14" i="8"/>
  <c r="H14" i="8"/>
  <c r="I14" i="8"/>
  <c r="J14" i="8"/>
  <c r="K14" i="8"/>
  <c r="B142" i="8"/>
  <c r="B100" i="8"/>
  <c r="Q197" i="8"/>
  <c r="K196" i="8"/>
  <c r="T183" i="8"/>
  <c r="P182" i="8"/>
  <c r="J169" i="8"/>
  <c r="P156" i="8"/>
  <c r="G155" i="8"/>
  <c r="H142" i="8"/>
  <c r="T140" i="8"/>
  <c r="K126" i="8"/>
  <c r="G113" i="8"/>
  <c r="J100" i="8"/>
  <c r="N98" i="8"/>
  <c r="N71" i="8"/>
  <c r="Q56" i="8"/>
  <c r="Q44" i="8"/>
  <c r="E42" i="8"/>
  <c r="K30" i="8"/>
  <c r="O28" i="8"/>
  <c r="I16" i="8"/>
  <c r="K2" i="8"/>
  <c r="G209" i="8"/>
  <c r="E209" i="8"/>
  <c r="T209" i="8"/>
  <c r="J209" i="8"/>
  <c r="K209" i="8"/>
  <c r="M209" i="8"/>
  <c r="N209" i="8"/>
  <c r="G195" i="8"/>
  <c r="P195" i="8"/>
  <c r="U195" i="8"/>
  <c r="C195" i="8"/>
  <c r="T195" i="8"/>
  <c r="D195" i="8"/>
  <c r="E195" i="8"/>
  <c r="U181" i="8"/>
  <c r="G181" i="8"/>
  <c r="H181" i="8"/>
  <c r="J181" i="8"/>
  <c r="I181" i="8"/>
  <c r="K181" i="8"/>
  <c r="M181" i="8"/>
  <c r="N181" i="8"/>
  <c r="U167" i="8"/>
  <c r="G167" i="8"/>
  <c r="H167" i="8"/>
  <c r="P167" i="8"/>
  <c r="Q167" i="8"/>
  <c r="T167" i="8"/>
  <c r="B167" i="8"/>
  <c r="C167" i="8"/>
  <c r="G153" i="8"/>
  <c r="C153" i="8"/>
  <c r="B153" i="8"/>
  <c r="I153" i="8"/>
  <c r="J153" i="8"/>
  <c r="K153" i="8"/>
  <c r="M153" i="8"/>
  <c r="N153" i="8"/>
  <c r="O153" i="8"/>
  <c r="G139" i="8"/>
  <c r="N139" i="8"/>
  <c r="U139" i="8"/>
  <c r="Q139" i="8"/>
  <c r="D139" i="8"/>
  <c r="E139" i="8"/>
  <c r="F139" i="8"/>
  <c r="H139" i="8"/>
  <c r="U125" i="8"/>
  <c r="E125" i="8"/>
  <c r="D125" i="8"/>
  <c r="T125" i="8"/>
  <c r="H125" i="8"/>
  <c r="G125" i="8"/>
  <c r="F125" i="8"/>
  <c r="I125" i="8"/>
  <c r="N125" i="8"/>
  <c r="O125" i="8"/>
  <c r="P125" i="8"/>
  <c r="Q125" i="8"/>
  <c r="E111" i="8"/>
  <c r="O111" i="8"/>
  <c r="P111" i="8"/>
  <c r="M111" i="8"/>
  <c r="N111" i="8"/>
  <c r="Q111" i="8"/>
  <c r="U111" i="8"/>
  <c r="H111" i="8"/>
  <c r="I111" i="8"/>
  <c r="J111" i="8"/>
  <c r="K111" i="8"/>
  <c r="E97" i="8"/>
  <c r="K97" i="8"/>
  <c r="H97" i="8"/>
  <c r="C97" i="8"/>
  <c r="U97" i="8"/>
  <c r="D97" i="8"/>
  <c r="F97" i="8"/>
  <c r="B97" i="8"/>
  <c r="G97" i="8"/>
  <c r="I97" i="8"/>
  <c r="J97" i="8"/>
  <c r="E83" i="8"/>
  <c r="G83" i="8"/>
  <c r="P83" i="8"/>
  <c r="Q83" i="8"/>
  <c r="C83" i="8"/>
  <c r="F83" i="8"/>
  <c r="H83" i="8"/>
  <c r="M83" i="8"/>
  <c r="N83" i="8"/>
  <c r="O83" i="8"/>
  <c r="E69" i="8"/>
  <c r="Q69" i="8"/>
  <c r="I69" i="8"/>
  <c r="J69" i="8"/>
  <c r="K69" i="8"/>
  <c r="O69" i="8"/>
  <c r="P69" i="8"/>
  <c r="H69" i="8"/>
  <c r="M69" i="8"/>
  <c r="N69" i="8"/>
  <c r="D55" i="8"/>
  <c r="C55" i="8"/>
  <c r="J55" i="8"/>
  <c r="Q55" i="8"/>
  <c r="T55" i="8"/>
  <c r="I55" i="8"/>
  <c r="B55" i="8"/>
  <c r="K55" i="8"/>
  <c r="O55" i="8"/>
  <c r="P55" i="8"/>
  <c r="D41" i="8"/>
  <c r="N41" i="8"/>
  <c r="E41" i="8"/>
  <c r="F41" i="8"/>
  <c r="G41" i="8"/>
  <c r="C41" i="8"/>
  <c r="H41" i="8"/>
  <c r="I41" i="8"/>
  <c r="J41" i="8"/>
  <c r="D27" i="8"/>
  <c r="J27" i="8"/>
  <c r="K27" i="8"/>
  <c r="M27" i="8"/>
  <c r="I27" i="8"/>
  <c r="U27" i="8"/>
  <c r="O27" i="8"/>
  <c r="B27" i="8"/>
  <c r="P27" i="8"/>
  <c r="Q27" i="8"/>
  <c r="T27" i="8"/>
  <c r="D13" i="8"/>
  <c r="F13" i="8"/>
  <c r="E13" i="8"/>
  <c r="O13" i="8"/>
  <c r="P13" i="8"/>
  <c r="Q13" i="8"/>
  <c r="T13" i="8"/>
  <c r="C13" i="8"/>
  <c r="B13" i="8"/>
  <c r="G13" i="8"/>
  <c r="B141" i="8"/>
  <c r="B72" i="8"/>
  <c r="P197" i="8"/>
  <c r="J196" i="8"/>
  <c r="F195" i="8"/>
  <c r="O182" i="8"/>
  <c r="D181" i="8"/>
  <c r="P170" i="8"/>
  <c r="I169" i="8"/>
  <c r="N167" i="8"/>
  <c r="O156" i="8"/>
  <c r="F155" i="8"/>
  <c r="P153" i="8"/>
  <c r="G142" i="8"/>
  <c r="P140" i="8"/>
  <c r="I139" i="8"/>
  <c r="Q127" i="8"/>
  <c r="J126" i="8"/>
  <c r="F113" i="8"/>
  <c r="F111" i="8"/>
  <c r="F100" i="8"/>
  <c r="D98" i="8"/>
  <c r="H85" i="8"/>
  <c r="D83" i="8"/>
  <c r="J71" i="8"/>
  <c r="F69" i="8"/>
  <c r="M56" i="8"/>
  <c r="P44" i="8"/>
  <c r="D42" i="8"/>
  <c r="J30" i="8"/>
  <c r="J28" i="8"/>
  <c r="H16" i="8"/>
  <c r="M13" i="8"/>
  <c r="U2" i="8"/>
  <c r="K208" i="8"/>
  <c r="H208" i="8"/>
  <c r="J208" i="8"/>
  <c r="M208" i="8"/>
  <c r="N208" i="8"/>
  <c r="O208" i="8"/>
  <c r="K194" i="8"/>
  <c r="U194" i="8"/>
  <c r="D194" i="8"/>
  <c r="C194" i="8"/>
  <c r="T194" i="8"/>
  <c r="E194" i="8"/>
  <c r="F194" i="8"/>
  <c r="K180" i="8"/>
  <c r="O180" i="8"/>
  <c r="I180" i="8"/>
  <c r="J180" i="8"/>
  <c r="G180" i="8"/>
  <c r="H180" i="8"/>
  <c r="M180" i="8"/>
  <c r="K166" i="8"/>
  <c r="J166" i="8"/>
  <c r="U166" i="8"/>
  <c r="C166" i="8"/>
  <c r="T166" i="8"/>
  <c r="O166" i="8"/>
  <c r="P166" i="8"/>
  <c r="B166" i="8"/>
  <c r="Q166" i="8"/>
  <c r="K152" i="8"/>
  <c r="F152" i="8"/>
  <c r="J152" i="8"/>
  <c r="I152" i="8"/>
  <c r="B152" i="8"/>
  <c r="G152" i="8"/>
  <c r="H152" i="8"/>
  <c r="M152" i="8"/>
  <c r="N152" i="8"/>
  <c r="K138" i="8"/>
  <c r="U138" i="8"/>
  <c r="Q138" i="8"/>
  <c r="B138" i="8"/>
  <c r="C138" i="8"/>
  <c r="T138" i="8"/>
  <c r="D138" i="8"/>
  <c r="E138" i="8"/>
  <c r="F138" i="8"/>
  <c r="I124" i="8"/>
  <c r="G124" i="8"/>
  <c r="J124" i="8"/>
  <c r="F124" i="8"/>
  <c r="D124" i="8"/>
  <c r="U124" i="8"/>
  <c r="E124" i="8"/>
  <c r="M124" i="8"/>
  <c r="N124" i="8"/>
  <c r="O124" i="8"/>
  <c r="P124" i="8"/>
  <c r="U110" i="8"/>
  <c r="I110" i="8"/>
  <c r="C110" i="8"/>
  <c r="Q110" i="8"/>
  <c r="N110" i="8"/>
  <c r="M110" i="8"/>
  <c r="O110" i="8"/>
  <c r="E110" i="8"/>
  <c r="F110" i="8"/>
  <c r="G110" i="8"/>
  <c r="H110" i="8"/>
  <c r="J110" i="8"/>
  <c r="I96" i="8"/>
  <c r="N96" i="8"/>
  <c r="J96" i="8"/>
  <c r="D96" i="8"/>
  <c r="C96" i="8"/>
  <c r="E96" i="8"/>
  <c r="B96" i="8"/>
  <c r="T96" i="8"/>
  <c r="F96" i="8"/>
  <c r="I82" i="8"/>
  <c r="J82" i="8"/>
  <c r="U82" i="8"/>
  <c r="C82" i="8"/>
  <c r="D82" i="8"/>
  <c r="E82" i="8"/>
  <c r="G82" i="8"/>
  <c r="H82" i="8"/>
  <c r="K82" i="8"/>
  <c r="B82" i="8"/>
  <c r="M82" i="8"/>
  <c r="I68" i="8"/>
  <c r="U68" i="8"/>
  <c r="E68" i="8"/>
  <c r="T68" i="8"/>
  <c r="K68" i="8"/>
  <c r="H68" i="8"/>
  <c r="N68" i="8"/>
  <c r="O68" i="8"/>
  <c r="C68" i="8"/>
  <c r="D68" i="8"/>
  <c r="F68" i="8"/>
  <c r="G68" i="8"/>
  <c r="J68" i="8"/>
  <c r="H54" i="8"/>
  <c r="F54" i="8"/>
  <c r="U54" i="8"/>
  <c r="N54" i="8"/>
  <c r="Q54" i="8"/>
  <c r="D54" i="8"/>
  <c r="E54" i="8"/>
  <c r="G54" i="8"/>
  <c r="I54" i="8"/>
  <c r="J54" i="8"/>
  <c r="K54" i="8"/>
  <c r="M54" i="8"/>
  <c r="H40" i="8"/>
  <c r="Q40" i="8"/>
  <c r="D40" i="8"/>
  <c r="T40" i="8"/>
  <c r="F40" i="8"/>
  <c r="C40" i="8"/>
  <c r="E40" i="8"/>
  <c r="J40" i="8"/>
  <c r="P40" i="8"/>
  <c r="H26" i="8"/>
  <c r="M26" i="8"/>
  <c r="O26" i="8"/>
  <c r="I26" i="8"/>
  <c r="U26" i="8"/>
  <c r="J26" i="8"/>
  <c r="T26" i="8"/>
  <c r="D26" i="8"/>
  <c r="E26" i="8"/>
  <c r="F26" i="8"/>
  <c r="G26" i="8"/>
  <c r="K26" i="8"/>
  <c r="H12" i="8"/>
  <c r="I12" i="8"/>
  <c r="D12" i="8"/>
  <c r="T12" i="8"/>
  <c r="F12" i="8"/>
  <c r="O12" i="8"/>
  <c r="P12" i="8"/>
  <c r="J12" i="8"/>
  <c r="M12" i="8"/>
  <c r="Q12" i="8"/>
  <c r="B12" i="8"/>
  <c r="U12" i="8"/>
  <c r="B140" i="8"/>
  <c r="B70" i="8"/>
  <c r="N197" i="8"/>
  <c r="I196" i="8"/>
  <c r="Q194" i="8"/>
  <c r="N182" i="8"/>
  <c r="C181" i="8"/>
  <c r="O170" i="8"/>
  <c r="H169" i="8"/>
  <c r="M167" i="8"/>
  <c r="F166" i="8"/>
  <c r="N156" i="8"/>
  <c r="D155" i="8"/>
  <c r="H153" i="8"/>
  <c r="F142" i="8"/>
  <c r="N140" i="8"/>
  <c r="C139" i="8"/>
  <c r="P127" i="8"/>
  <c r="E126" i="8"/>
  <c r="C124" i="8"/>
  <c r="P114" i="8"/>
  <c r="E113" i="8"/>
  <c r="D111" i="8"/>
  <c r="E100" i="8"/>
  <c r="T97" i="8"/>
  <c r="K96" i="8"/>
  <c r="G85" i="8"/>
  <c r="T82" i="8"/>
  <c r="I71" i="8"/>
  <c r="D69" i="8"/>
  <c r="N44" i="8"/>
  <c r="T41" i="8"/>
  <c r="I30" i="8"/>
  <c r="H28" i="8"/>
  <c r="M15" i="8"/>
  <c r="K13" i="8"/>
  <c r="U209" i="8"/>
  <c r="U96" i="8"/>
  <c r="U30" i="8"/>
  <c r="B181" i="8"/>
  <c r="B139" i="8"/>
  <c r="B69" i="8"/>
  <c r="B26" i="8"/>
  <c r="Q208" i="8"/>
  <c r="H196" i="8"/>
  <c r="P194" i="8"/>
  <c r="Q183" i="8"/>
  <c r="G182" i="8"/>
  <c r="T180" i="8"/>
  <c r="M170" i="8"/>
  <c r="G169" i="8"/>
  <c r="E166" i="8"/>
  <c r="M156" i="8"/>
  <c r="C155" i="8"/>
  <c r="F153" i="8"/>
  <c r="D142" i="8"/>
  <c r="M140" i="8"/>
  <c r="P138" i="8"/>
  <c r="O127" i="8"/>
  <c r="D126" i="8"/>
  <c r="O114" i="8"/>
  <c r="D113" i="8"/>
  <c r="C111" i="8"/>
  <c r="D100" i="8"/>
  <c r="H96" i="8"/>
  <c r="T86" i="8"/>
  <c r="Q84" i="8"/>
  <c r="Q82" i="8"/>
  <c r="H71" i="8"/>
  <c r="C69" i="8"/>
  <c r="K58" i="8"/>
  <c r="K56" i="8"/>
  <c r="Q41" i="8"/>
  <c r="G30" i="8"/>
  <c r="C28" i="8"/>
  <c r="J13" i="8"/>
  <c r="U208" i="8"/>
  <c r="B180" i="8"/>
  <c r="B68" i="8"/>
  <c r="P208" i="8"/>
  <c r="P198" i="8"/>
  <c r="K197" i="8"/>
  <c r="G196" i="8"/>
  <c r="O194" i="8"/>
  <c r="T184" i="8"/>
  <c r="P183" i="8"/>
  <c r="F182" i="8"/>
  <c r="K167" i="8"/>
  <c r="D166" i="8"/>
  <c r="T154" i="8"/>
  <c r="E153" i="8"/>
  <c r="C142" i="8"/>
  <c r="O138" i="8"/>
  <c r="N127" i="8"/>
  <c r="C126" i="8"/>
  <c r="N114" i="8"/>
  <c r="C113" i="8"/>
  <c r="T110" i="8"/>
  <c r="Q97" i="8"/>
  <c r="G96" i="8"/>
  <c r="M84" i="8"/>
  <c r="P82" i="8"/>
  <c r="G71" i="8"/>
  <c r="I58" i="8"/>
  <c r="I56" i="8"/>
  <c r="P41" i="8"/>
  <c r="D30" i="8"/>
  <c r="N27" i="8"/>
  <c r="K15" i="8"/>
  <c r="I13" i="8"/>
  <c r="U57" i="8"/>
  <c r="B112" i="8"/>
  <c r="I208" i="8"/>
  <c r="O198" i="8"/>
  <c r="I197" i="8"/>
  <c r="F196" i="8"/>
  <c r="N194" i="8"/>
  <c r="O183" i="8"/>
  <c r="E182" i="8"/>
  <c r="J170" i="8"/>
  <c r="P168" i="8"/>
  <c r="J167" i="8"/>
  <c r="K156" i="8"/>
  <c r="D153" i="8"/>
  <c r="T141" i="8"/>
  <c r="J140" i="8"/>
  <c r="N138" i="8"/>
  <c r="M125" i="8"/>
  <c r="I112" i="8"/>
  <c r="Q99" i="8"/>
  <c r="P97" i="8"/>
  <c r="O82" i="8"/>
  <c r="Q72" i="8"/>
  <c r="M70" i="8"/>
  <c r="H58" i="8"/>
  <c r="G56" i="8"/>
  <c r="N43" i="8"/>
  <c r="O41" i="8"/>
  <c r="C30" i="8"/>
  <c r="H27" i="8"/>
  <c r="I15" i="8"/>
  <c r="H13" i="8"/>
  <c r="U56" i="8"/>
  <c r="B156" i="8"/>
  <c r="B111" i="8"/>
  <c r="Q209" i="8"/>
  <c r="G208" i="8"/>
  <c r="N198" i="8"/>
  <c r="H197" i="8"/>
  <c r="Q195" i="8"/>
  <c r="M194" i="8"/>
  <c r="Q184" i="8"/>
  <c r="N183" i="8"/>
  <c r="D182" i="8"/>
  <c r="Q180" i="8"/>
  <c r="H170" i="8"/>
  <c r="O168" i="8"/>
  <c r="I167" i="8"/>
  <c r="F156" i="8"/>
  <c r="T152" i="8"/>
  <c r="E140" i="8"/>
  <c r="M138" i="8"/>
  <c r="K127" i="8"/>
  <c r="J114" i="8"/>
  <c r="H112" i="8"/>
  <c r="P110" i="8"/>
  <c r="J99" i="8"/>
  <c r="O97" i="8"/>
  <c r="Q86" i="8"/>
  <c r="K84" i="8"/>
  <c r="N82" i="8"/>
  <c r="P72" i="8"/>
  <c r="Q68" i="8"/>
  <c r="F58" i="8"/>
  <c r="N55" i="8"/>
  <c r="M43" i="8"/>
  <c r="M41" i="8"/>
  <c r="T29" i="8"/>
  <c r="G27" i="8"/>
  <c r="H15" i="8"/>
  <c r="N12" i="8"/>
  <c r="U128" i="8"/>
  <c r="U83" i="8"/>
  <c r="U55" i="8"/>
  <c r="C203" i="8"/>
  <c r="Q203" i="8"/>
  <c r="H203" i="8"/>
  <c r="U203" i="8"/>
  <c r="D203" i="8"/>
  <c r="T203" i="8"/>
  <c r="M203" i="8"/>
  <c r="N203" i="8"/>
  <c r="B203" i="8"/>
  <c r="O203" i="8"/>
  <c r="P203" i="8"/>
  <c r="C189" i="8"/>
  <c r="Q189" i="8"/>
  <c r="D189" i="8"/>
  <c r="E189" i="8"/>
  <c r="F189" i="8"/>
  <c r="G189" i="8"/>
  <c r="H189" i="8"/>
  <c r="C175" i="8"/>
  <c r="Q175" i="8"/>
  <c r="N175" i="8"/>
  <c r="E175" i="8"/>
  <c r="F175" i="8"/>
  <c r="G175" i="8"/>
  <c r="H175" i="8"/>
  <c r="C161" i="8"/>
  <c r="Q161" i="8"/>
  <c r="J161" i="8"/>
  <c r="K161" i="8"/>
  <c r="D161" i="8"/>
  <c r="E161" i="8"/>
  <c r="F161" i="8"/>
  <c r="G161" i="8"/>
  <c r="H161" i="8"/>
  <c r="I161" i="8"/>
  <c r="C147" i="8"/>
  <c r="Q147" i="8"/>
  <c r="F147" i="8"/>
  <c r="U147" i="8"/>
  <c r="M147" i="8"/>
  <c r="T147" i="8"/>
  <c r="U133" i="8"/>
  <c r="C133" i="8"/>
  <c r="Q133" i="8"/>
  <c r="P133" i="8"/>
  <c r="K133" i="8"/>
  <c r="D133" i="8"/>
  <c r="E133" i="8"/>
  <c r="J133" i="8"/>
  <c r="M133" i="8"/>
  <c r="B133" i="8"/>
  <c r="N133" i="8"/>
  <c r="O119" i="8"/>
  <c r="U119" i="8"/>
  <c r="G119" i="8"/>
  <c r="J119" i="8"/>
  <c r="T119" i="8"/>
  <c r="C119" i="8"/>
  <c r="M119" i="8"/>
  <c r="N119" i="8"/>
  <c r="P119" i="8"/>
  <c r="Q119" i="8"/>
  <c r="O105" i="8"/>
  <c r="C105" i="8"/>
  <c r="J105" i="8"/>
  <c r="Q105" i="8"/>
  <c r="I105" i="8"/>
  <c r="K105" i="8"/>
  <c r="G105" i="8"/>
  <c r="H105" i="8"/>
  <c r="M105" i="8"/>
  <c r="N105" i="8"/>
  <c r="O91" i="8"/>
  <c r="M91" i="8"/>
  <c r="C91" i="8"/>
  <c r="G91" i="8"/>
  <c r="T91" i="8"/>
  <c r="D91" i="8"/>
  <c r="E91" i="8"/>
  <c r="F91" i="8"/>
  <c r="H91" i="8"/>
  <c r="U91" i="8"/>
  <c r="I91" i="8"/>
  <c r="O77" i="8"/>
  <c r="I77" i="8"/>
  <c r="K77" i="8"/>
  <c r="Q77" i="8"/>
  <c r="J77" i="8"/>
  <c r="M77" i="8"/>
  <c r="C77" i="8"/>
  <c r="D77" i="8"/>
  <c r="E77" i="8"/>
  <c r="F77" i="8"/>
  <c r="G77" i="8"/>
  <c r="O63" i="8"/>
  <c r="C63" i="8"/>
  <c r="E63" i="8"/>
  <c r="T63" i="8"/>
  <c r="N63" i="8"/>
  <c r="B63" i="8"/>
  <c r="U63" i="8"/>
  <c r="P63" i="8"/>
  <c r="Q63" i="8"/>
  <c r="N49" i="8"/>
  <c r="F49" i="8"/>
  <c r="D49" i="8"/>
  <c r="T49" i="8"/>
  <c r="G49" i="8"/>
  <c r="M49" i="8"/>
  <c r="O49" i="8"/>
  <c r="P49" i="8"/>
  <c r="Q49" i="8"/>
  <c r="N35" i="8"/>
  <c r="U35" i="8"/>
  <c r="Q35" i="8"/>
  <c r="O35" i="8"/>
  <c r="T35" i="8"/>
  <c r="I35" i="8"/>
  <c r="C35" i="8"/>
  <c r="D35" i="8"/>
  <c r="E35" i="8"/>
  <c r="F35" i="8"/>
  <c r="G35" i="8"/>
  <c r="N21" i="8"/>
  <c r="E21" i="8"/>
  <c r="G21" i="8"/>
  <c r="D21" i="8"/>
  <c r="F21" i="8"/>
  <c r="T21" i="8"/>
  <c r="M21" i="8"/>
  <c r="O21" i="8"/>
  <c r="K21" i="8"/>
  <c r="P21" i="8"/>
  <c r="Q21" i="8"/>
  <c r="N7" i="8"/>
  <c r="H7" i="8"/>
  <c r="M7" i="8"/>
  <c r="P7" i="8"/>
  <c r="U7" i="8"/>
  <c r="J7" i="8"/>
  <c r="K7" i="8"/>
  <c r="I7" i="8"/>
  <c r="E7" i="8"/>
  <c r="F7" i="8"/>
  <c r="C7" i="8"/>
  <c r="B197" i="8"/>
  <c r="B155" i="8"/>
  <c r="B110" i="8"/>
  <c r="B86" i="8"/>
  <c r="B42" i="8"/>
  <c r="B21" i="8"/>
  <c r="P209" i="8"/>
  <c r="F208" i="8"/>
  <c r="K203" i="8"/>
  <c r="G197" i="8"/>
  <c r="O195" i="8"/>
  <c r="O189" i="8"/>
  <c r="P184" i="8"/>
  <c r="H183" i="8"/>
  <c r="T181" i="8"/>
  <c r="P180" i="8"/>
  <c r="K175" i="8"/>
  <c r="G170" i="8"/>
  <c r="M168" i="8"/>
  <c r="F167" i="8"/>
  <c r="O161" i="8"/>
  <c r="E156" i="8"/>
  <c r="K154" i="8"/>
  <c r="I147" i="8"/>
  <c r="P141" i="8"/>
  <c r="D140" i="8"/>
  <c r="Q128" i="8"/>
  <c r="J127" i="8"/>
  <c r="K125" i="8"/>
  <c r="E119" i="8"/>
  <c r="I114" i="8"/>
  <c r="G112" i="8"/>
  <c r="I99" i="8"/>
  <c r="N97" i="8"/>
  <c r="K91" i="8"/>
  <c r="P86" i="8"/>
  <c r="J84" i="8"/>
  <c r="F82" i="8"/>
  <c r="P77" i="8"/>
  <c r="O72" i="8"/>
  <c r="J70" i="8"/>
  <c r="P68" i="8"/>
  <c r="I63" i="8"/>
  <c r="E58" i="8"/>
  <c r="M55" i="8"/>
  <c r="I49" i="8"/>
  <c r="K41" i="8"/>
  <c r="K35" i="8"/>
  <c r="F27" i="8"/>
  <c r="C21" i="8"/>
  <c r="E15" i="8"/>
  <c r="K12" i="8"/>
  <c r="G7" i="8"/>
  <c r="U127" i="8"/>
  <c r="U49" i="8"/>
  <c r="U16" i="8"/>
  <c r="G202" i="8"/>
  <c r="K202" i="8"/>
  <c r="E202" i="8"/>
  <c r="B202" i="8"/>
  <c r="N202" i="8"/>
  <c r="O202" i="8"/>
  <c r="P202" i="8"/>
  <c r="Q202" i="8"/>
  <c r="U202" i="8"/>
  <c r="G188" i="8"/>
  <c r="F188" i="8"/>
  <c r="N188" i="8"/>
  <c r="D188" i="8"/>
  <c r="E188" i="8"/>
  <c r="H188" i="8"/>
  <c r="I188" i="8"/>
  <c r="B188" i="8"/>
  <c r="G174" i="8"/>
  <c r="Q174" i="8"/>
  <c r="D174" i="8"/>
  <c r="T174" i="8"/>
  <c r="M174" i="8"/>
  <c r="C174" i="8"/>
  <c r="E174" i="8"/>
  <c r="F174" i="8"/>
  <c r="H174" i="8"/>
  <c r="G160" i="8"/>
  <c r="M160" i="8"/>
  <c r="D160" i="8"/>
  <c r="E160" i="8"/>
  <c r="C160" i="8"/>
  <c r="F160" i="8"/>
  <c r="H160" i="8"/>
  <c r="G146" i="8"/>
  <c r="I146" i="8"/>
  <c r="D146" i="8"/>
  <c r="T146" i="8"/>
  <c r="U146" i="8"/>
  <c r="M146" i="8"/>
  <c r="N146" i="8"/>
  <c r="P146" i="8"/>
  <c r="Q146" i="8"/>
  <c r="G132" i="8"/>
  <c r="D132" i="8"/>
  <c r="M132" i="8"/>
  <c r="C132" i="8"/>
  <c r="E132" i="8"/>
  <c r="I132" i="8"/>
  <c r="J132" i="8"/>
  <c r="B132" i="8"/>
  <c r="K132" i="8"/>
  <c r="E118" i="8"/>
  <c r="J118" i="8"/>
  <c r="C118" i="8"/>
  <c r="T118" i="8"/>
  <c r="K118" i="8"/>
  <c r="I118" i="8"/>
  <c r="M118" i="8"/>
  <c r="N118" i="8"/>
  <c r="U118" i="8"/>
  <c r="O118" i="8"/>
  <c r="E104" i="8"/>
  <c r="F104" i="8"/>
  <c r="Q104" i="8"/>
  <c r="I104" i="8"/>
  <c r="B104" i="8"/>
  <c r="J104" i="8"/>
  <c r="C104" i="8"/>
  <c r="D104" i="8"/>
  <c r="G104" i="8"/>
  <c r="H104" i="8"/>
  <c r="K104" i="8"/>
  <c r="E90" i="8"/>
  <c r="P90" i="8"/>
  <c r="D90" i="8"/>
  <c r="H90" i="8"/>
  <c r="Q90" i="8"/>
  <c r="U90" i="8"/>
  <c r="C90" i="8"/>
  <c r="F90" i="8"/>
  <c r="E76" i="8"/>
  <c r="M76" i="8"/>
  <c r="N76" i="8"/>
  <c r="P76" i="8"/>
  <c r="H76" i="8"/>
  <c r="U76" i="8"/>
  <c r="I76" i="8"/>
  <c r="C76" i="8"/>
  <c r="E62" i="8"/>
  <c r="F62" i="8"/>
  <c r="H62" i="8"/>
  <c r="U62" i="8"/>
  <c r="O62" i="8"/>
  <c r="P62" i="8"/>
  <c r="Q62" i="8"/>
  <c r="M62" i="8"/>
  <c r="J62" i="8"/>
  <c r="K62" i="8"/>
  <c r="B62" i="8"/>
  <c r="N62" i="8"/>
  <c r="T62" i="8"/>
  <c r="D48" i="8"/>
  <c r="I48" i="8"/>
  <c r="F48" i="8"/>
  <c r="H48" i="8"/>
  <c r="B48" i="8"/>
  <c r="M48" i="8"/>
  <c r="U48" i="8"/>
  <c r="P48" i="8"/>
  <c r="Q48" i="8"/>
  <c r="C48" i="8"/>
  <c r="E48" i="8"/>
  <c r="G48" i="8"/>
  <c r="J48" i="8"/>
  <c r="K48" i="8"/>
  <c r="D34" i="8"/>
  <c r="E34" i="8"/>
  <c r="T34" i="8"/>
  <c r="N34" i="8"/>
  <c r="P34" i="8"/>
  <c r="Q34" i="8"/>
  <c r="G34" i="8"/>
  <c r="K34" i="8"/>
  <c r="U34" i="8"/>
  <c r="D20" i="8"/>
  <c r="U20" i="8"/>
  <c r="O20" i="8"/>
  <c r="G20" i="8"/>
  <c r="I20" i="8"/>
  <c r="C20" i="8"/>
  <c r="E20" i="8"/>
  <c r="Q20" i="8"/>
  <c r="H20" i="8"/>
  <c r="J20" i="8"/>
  <c r="F20" i="8"/>
  <c r="K20" i="8"/>
  <c r="D6" i="8"/>
  <c r="K6" i="8"/>
  <c r="O6" i="8"/>
  <c r="U6" i="8"/>
  <c r="Q6" i="8"/>
  <c r="I6" i="8"/>
  <c r="J6" i="8"/>
  <c r="F6" i="8"/>
  <c r="N6" i="8"/>
  <c r="P6" i="8"/>
  <c r="T6" i="8"/>
  <c r="B196" i="8"/>
  <c r="B154" i="8"/>
  <c r="B85" i="8"/>
  <c r="B41" i="8"/>
  <c r="B20" i="8"/>
  <c r="O209" i="8"/>
  <c r="E208" i="8"/>
  <c r="J203" i="8"/>
  <c r="D202" i="8"/>
  <c r="K198" i="8"/>
  <c r="F197" i="8"/>
  <c r="N195" i="8"/>
  <c r="J194" i="8"/>
  <c r="N189" i="8"/>
  <c r="J188" i="8"/>
  <c r="O184" i="8"/>
  <c r="E183" i="8"/>
  <c r="N180" i="8"/>
  <c r="J175" i="8"/>
  <c r="T169" i="8"/>
  <c r="E167" i="8"/>
  <c r="N161" i="8"/>
  <c r="D156" i="8"/>
  <c r="H154" i="8"/>
  <c r="H147" i="8"/>
  <c r="O141" i="8"/>
  <c r="T139" i="8"/>
  <c r="J138" i="8"/>
  <c r="Q132" i="8"/>
  <c r="O128" i="8"/>
  <c r="G127" i="8"/>
  <c r="J125" i="8"/>
  <c r="D119" i="8"/>
  <c r="H114" i="8"/>
  <c r="F112" i="8"/>
  <c r="K110" i="8"/>
  <c r="F99" i="8"/>
  <c r="M97" i="8"/>
  <c r="J91" i="8"/>
  <c r="C86" i="8"/>
  <c r="G84" i="8"/>
  <c r="N77" i="8"/>
  <c r="N72" i="8"/>
  <c r="I70" i="8"/>
  <c r="M68" i="8"/>
  <c r="H63" i="8"/>
  <c r="P57" i="8"/>
  <c r="H55" i="8"/>
  <c r="H49" i="8"/>
  <c r="K43" i="8"/>
  <c r="O40" i="8"/>
  <c r="J35" i="8"/>
  <c r="Q29" i="8"/>
  <c r="E27" i="8"/>
  <c r="T20" i="8"/>
  <c r="D15" i="8"/>
  <c r="G12" i="8"/>
  <c r="D7" i="8"/>
  <c r="U189" i="8"/>
  <c r="U156" i="8"/>
  <c r="U126" i="8"/>
  <c r="U15" i="8"/>
  <c r="B195" i="8"/>
  <c r="B175" i="8"/>
  <c r="B128" i="8"/>
  <c r="B84" i="8"/>
  <c r="B40" i="8"/>
  <c r="I209" i="8"/>
  <c r="D208" i="8"/>
  <c r="I203" i="8"/>
  <c r="C202" i="8"/>
  <c r="J198" i="8"/>
  <c r="E197" i="8"/>
  <c r="M195" i="8"/>
  <c r="I194" i="8"/>
  <c r="M189" i="8"/>
  <c r="C188" i="8"/>
  <c r="N184" i="8"/>
  <c r="D183" i="8"/>
  <c r="F180" i="8"/>
  <c r="I175" i="8"/>
  <c r="K168" i="8"/>
  <c r="D167" i="8"/>
  <c r="M161" i="8"/>
  <c r="T155" i="8"/>
  <c r="F154" i="8"/>
  <c r="Q152" i="8"/>
  <c r="G147" i="8"/>
  <c r="P139" i="8"/>
  <c r="I138" i="8"/>
  <c r="P132" i="8"/>
  <c r="N128" i="8"/>
  <c r="E127" i="8"/>
  <c r="C125" i="8"/>
  <c r="Q118" i="8"/>
  <c r="E114" i="8"/>
  <c r="E112" i="8"/>
  <c r="D110" i="8"/>
  <c r="T105" i="8"/>
  <c r="C99" i="8"/>
  <c r="T90" i="8"/>
  <c r="T85" i="8"/>
  <c r="F84" i="8"/>
  <c r="H77" i="8"/>
  <c r="F70" i="8"/>
  <c r="G63" i="8"/>
  <c r="O57" i="8"/>
  <c r="G55" i="8"/>
  <c r="E49" i="8"/>
  <c r="I43" i="8"/>
  <c r="N40" i="8"/>
  <c r="H35" i="8"/>
  <c r="T28" i="8"/>
  <c r="C27" i="8"/>
  <c r="C15" i="8"/>
  <c r="E12" i="8"/>
  <c r="M6" i="8"/>
  <c r="U188" i="8"/>
  <c r="U154" i="8"/>
  <c r="U77" i="8"/>
  <c r="U14" i="8"/>
  <c r="U200" i="8"/>
  <c r="O200" i="8"/>
  <c r="Q200" i="8"/>
  <c r="I200" i="8"/>
  <c r="P200" i="8"/>
  <c r="C200" i="8"/>
  <c r="T200" i="8"/>
  <c r="U186" i="8"/>
  <c r="O186" i="8"/>
  <c r="B186" i="8"/>
  <c r="G186" i="8"/>
  <c r="H186" i="8"/>
  <c r="I186" i="8"/>
  <c r="J186" i="8"/>
  <c r="U172" i="8"/>
  <c r="O172" i="8"/>
  <c r="H172" i="8"/>
  <c r="G172" i="8"/>
  <c r="P172" i="8"/>
  <c r="D172" i="8"/>
  <c r="E172" i="8"/>
  <c r="F172" i="8"/>
  <c r="I172" i="8"/>
  <c r="U158" i="8"/>
  <c r="O158" i="8"/>
  <c r="D158" i="8"/>
  <c r="P158" i="8"/>
  <c r="G158" i="8"/>
  <c r="H158" i="8"/>
  <c r="C158" i="8"/>
  <c r="E158" i="8"/>
  <c r="F158" i="8"/>
  <c r="U144" i="8"/>
  <c r="O144" i="8"/>
  <c r="N144" i="8"/>
  <c r="H144" i="8"/>
  <c r="P144" i="8"/>
  <c r="Q144" i="8"/>
  <c r="M144" i="8"/>
  <c r="T144" i="8"/>
  <c r="U130" i="8"/>
  <c r="O130" i="8"/>
  <c r="J130" i="8"/>
  <c r="Q130" i="8"/>
  <c r="F130" i="8"/>
  <c r="G130" i="8"/>
  <c r="H130" i="8"/>
  <c r="I130" i="8"/>
  <c r="K130" i="8"/>
  <c r="U116" i="8"/>
  <c r="M116" i="8"/>
  <c r="P116" i="8"/>
  <c r="G116" i="8"/>
  <c r="K116" i="8"/>
  <c r="T116" i="8"/>
  <c r="F116" i="8"/>
  <c r="H116" i="8"/>
  <c r="I116" i="8"/>
  <c r="B116" i="8"/>
  <c r="J116" i="8"/>
  <c r="U102" i="8"/>
  <c r="M102" i="8"/>
  <c r="K102" i="8"/>
  <c r="P102" i="8"/>
  <c r="H102" i="8"/>
  <c r="I102" i="8"/>
  <c r="C102" i="8"/>
  <c r="D102" i="8"/>
  <c r="E102" i="8"/>
  <c r="F102" i="8"/>
  <c r="U88" i="8"/>
  <c r="M88" i="8"/>
  <c r="G88" i="8"/>
  <c r="H88" i="8"/>
  <c r="I88" i="8"/>
  <c r="F88" i="8"/>
  <c r="Q88" i="8"/>
  <c r="B88" i="8"/>
  <c r="P88" i="8"/>
  <c r="T88" i="8"/>
  <c r="U74" i="8"/>
  <c r="M74" i="8"/>
  <c r="C74" i="8"/>
  <c r="P74" i="8"/>
  <c r="Q74" i="8"/>
  <c r="N74" i="8"/>
  <c r="G74" i="8"/>
  <c r="H74" i="8"/>
  <c r="O74" i="8"/>
  <c r="T74" i="8"/>
  <c r="U60" i="8"/>
  <c r="M60" i="8"/>
  <c r="K60" i="8"/>
  <c r="N60" i="8"/>
  <c r="Q60" i="8"/>
  <c r="O60" i="8"/>
  <c r="H60" i="8"/>
  <c r="I60" i="8"/>
  <c r="D60" i="8"/>
  <c r="E60" i="8"/>
  <c r="F60" i="8"/>
  <c r="G60" i="8"/>
  <c r="J60" i="8"/>
  <c r="U46" i="8"/>
  <c r="O46" i="8"/>
  <c r="I46" i="8"/>
  <c r="K46" i="8"/>
  <c r="H46" i="8"/>
  <c r="J46" i="8"/>
  <c r="M46" i="8"/>
  <c r="G46" i="8"/>
  <c r="N46" i="8"/>
  <c r="B46" i="8"/>
  <c r="U32" i="8"/>
  <c r="J32" i="8"/>
  <c r="D32" i="8"/>
  <c r="T32" i="8"/>
  <c r="O32" i="8"/>
  <c r="P32" i="8"/>
  <c r="F32" i="8"/>
  <c r="G32" i="8"/>
  <c r="H32" i="8"/>
  <c r="I32" i="8"/>
  <c r="K32" i="8"/>
  <c r="M32" i="8"/>
  <c r="N32" i="8"/>
  <c r="U18" i="8"/>
  <c r="F18" i="8"/>
  <c r="J18" i="8"/>
  <c r="M18" i="8"/>
  <c r="T18" i="8"/>
  <c r="B18" i="8"/>
  <c r="C18" i="8"/>
  <c r="K18" i="8"/>
  <c r="Q18" i="8"/>
  <c r="U4" i="8"/>
  <c r="Q4" i="8"/>
  <c r="C4" i="8"/>
  <c r="E4" i="8"/>
  <c r="H4" i="8"/>
  <c r="I4" i="8"/>
  <c r="P4" i="8"/>
  <c r="D4" i="8"/>
  <c r="F4" i="8"/>
  <c r="G4" i="8"/>
  <c r="J4" i="8"/>
  <c r="K4" i="8"/>
  <c r="B194" i="8"/>
  <c r="B174" i="8"/>
  <c r="B147" i="8"/>
  <c r="B127" i="8"/>
  <c r="B83" i="8"/>
  <c r="B60" i="8"/>
  <c r="B16" i="8"/>
  <c r="H209" i="8"/>
  <c r="C208" i="8"/>
  <c r="G203" i="8"/>
  <c r="H198" i="8"/>
  <c r="H194" i="8"/>
  <c r="K189" i="8"/>
  <c r="M184" i="8"/>
  <c r="C183" i="8"/>
  <c r="Q181" i="8"/>
  <c r="E180" i="8"/>
  <c r="D175" i="8"/>
  <c r="Q172" i="8"/>
  <c r="P169" i="8"/>
  <c r="J168" i="8"/>
  <c r="N166" i="8"/>
  <c r="O155" i="8"/>
  <c r="E154" i="8"/>
  <c r="P152" i="8"/>
  <c r="E147" i="8"/>
  <c r="J144" i="8"/>
  <c r="F141" i="8"/>
  <c r="O139" i="8"/>
  <c r="H138" i="8"/>
  <c r="O132" i="8"/>
  <c r="C130" i="8"/>
  <c r="M128" i="8"/>
  <c r="P126" i="8"/>
  <c r="T124" i="8"/>
  <c r="P118" i="8"/>
  <c r="O113" i="8"/>
  <c r="D112" i="8"/>
  <c r="Q102" i="8"/>
  <c r="O90" i="8"/>
  <c r="D88" i="8"/>
  <c r="C84" i="8"/>
  <c r="T76" i="8"/>
  <c r="F74" i="8"/>
  <c r="E70" i="8"/>
  <c r="F63" i="8"/>
  <c r="N57" i="8"/>
  <c r="F55" i="8"/>
  <c r="C49" i="8"/>
  <c r="E43" i="8"/>
  <c r="M40" i="8"/>
  <c r="O34" i="8"/>
  <c r="Q26" i="8"/>
  <c r="P20" i="8"/>
  <c r="M14" i="8"/>
  <c r="C12" i="8"/>
  <c r="U153" i="8"/>
  <c r="U42" i="8"/>
  <c r="U13" i="8"/>
  <c r="U199" i="8"/>
  <c r="E199" i="8"/>
  <c r="B199" i="8"/>
  <c r="D199" i="8"/>
  <c r="T199" i="8"/>
  <c r="K199" i="8"/>
  <c r="P199" i="8"/>
  <c r="Q199" i="8"/>
  <c r="U185" i="8"/>
  <c r="E185" i="8"/>
  <c r="B185" i="8"/>
  <c r="O185" i="8"/>
  <c r="C185" i="8"/>
  <c r="T185" i="8"/>
  <c r="H185" i="8"/>
  <c r="I185" i="8"/>
  <c r="J185" i="8"/>
  <c r="K185" i="8"/>
  <c r="E171" i="8"/>
  <c r="B171" i="8"/>
  <c r="K171" i="8"/>
  <c r="I171" i="8"/>
  <c r="P171" i="8"/>
  <c r="C171" i="8"/>
  <c r="D171" i="8"/>
  <c r="F171" i="8"/>
  <c r="U171" i="8"/>
  <c r="G171" i="8"/>
  <c r="E157" i="8"/>
  <c r="B157" i="8"/>
  <c r="U157" i="8"/>
  <c r="G157" i="8"/>
  <c r="Q157" i="8"/>
  <c r="H157" i="8"/>
  <c r="I157" i="8"/>
  <c r="T157" i="8"/>
  <c r="C157" i="8"/>
  <c r="E143" i="8"/>
  <c r="B143" i="8"/>
  <c r="Q143" i="8"/>
  <c r="J143" i="8"/>
  <c r="O143" i="8"/>
  <c r="P143" i="8"/>
  <c r="M143" i="8"/>
  <c r="U143" i="8"/>
  <c r="N143" i="8"/>
  <c r="E129" i="8"/>
  <c r="B129" i="8"/>
  <c r="M129" i="8"/>
  <c r="G129" i="8"/>
  <c r="H129" i="8"/>
  <c r="D129" i="8"/>
  <c r="F129" i="8"/>
  <c r="I129" i="8"/>
  <c r="J129" i="8"/>
  <c r="C115" i="8"/>
  <c r="Q115" i="8"/>
  <c r="D115" i="8"/>
  <c r="B115" i="8"/>
  <c r="I115" i="8"/>
  <c r="T115" i="8"/>
  <c r="E115" i="8"/>
  <c r="F115" i="8"/>
  <c r="U115" i="8"/>
  <c r="G115" i="8"/>
  <c r="H115" i="8"/>
  <c r="C101" i="8"/>
  <c r="Q101" i="8"/>
  <c r="N101" i="8"/>
  <c r="B101" i="8"/>
  <c r="U101" i="8"/>
  <c r="T101" i="8"/>
  <c r="H101" i="8"/>
  <c r="I101" i="8"/>
  <c r="D101" i="8"/>
  <c r="C87" i="8"/>
  <c r="Q87" i="8"/>
  <c r="J87" i="8"/>
  <c r="B87" i="8"/>
  <c r="I87" i="8"/>
  <c r="K87" i="8"/>
  <c r="F87" i="8"/>
  <c r="O87" i="8"/>
  <c r="P87" i="8"/>
  <c r="U87" i="8"/>
  <c r="M87" i="8"/>
  <c r="N87" i="8"/>
  <c r="C73" i="8"/>
  <c r="Q73" i="8"/>
  <c r="F73" i="8"/>
  <c r="B73" i="8"/>
  <c r="M73" i="8"/>
  <c r="E73" i="8"/>
  <c r="G73" i="8"/>
  <c r="J73" i="8"/>
  <c r="K73" i="8"/>
  <c r="N73" i="8"/>
  <c r="O73" i="8"/>
  <c r="C59" i="8"/>
  <c r="Q59" i="8"/>
  <c r="N59" i="8"/>
  <c r="P59" i="8"/>
  <c r="B59" i="8"/>
  <c r="K59" i="8"/>
  <c r="F59" i="8"/>
  <c r="G59" i="8"/>
  <c r="U59" i="8"/>
  <c r="D59" i="8"/>
  <c r="P45" i="8"/>
  <c r="C45" i="8"/>
  <c r="K45" i="8"/>
  <c r="M45" i="8"/>
  <c r="B45" i="8"/>
  <c r="H45" i="8"/>
  <c r="I45" i="8"/>
  <c r="F45" i="8"/>
  <c r="D45" i="8"/>
  <c r="E45" i="8"/>
  <c r="N45" i="8"/>
  <c r="O45" i="8"/>
  <c r="Q45" i="8"/>
  <c r="T45" i="8"/>
  <c r="P31" i="8"/>
  <c r="M31" i="8"/>
  <c r="D31" i="8"/>
  <c r="T31" i="8"/>
  <c r="F31" i="8"/>
  <c r="B31" i="8"/>
  <c r="N31" i="8"/>
  <c r="O31" i="8"/>
  <c r="U31" i="8"/>
  <c r="C31" i="8"/>
  <c r="E31" i="8"/>
  <c r="G31" i="8"/>
  <c r="P17" i="8"/>
  <c r="I17" i="8"/>
  <c r="N17" i="8"/>
  <c r="B17" i="8"/>
  <c r="T17" i="8"/>
  <c r="C17" i="8"/>
  <c r="G17" i="8"/>
  <c r="Q17" i="8"/>
  <c r="H17" i="8"/>
  <c r="J17" i="8"/>
  <c r="K17" i="8"/>
  <c r="M17" i="8"/>
  <c r="O17" i="8"/>
  <c r="P3" i="8"/>
  <c r="E3" i="8"/>
  <c r="T3" i="8"/>
  <c r="D3" i="8"/>
  <c r="G3" i="8"/>
  <c r="B3" i="8"/>
  <c r="H3" i="8"/>
  <c r="I3" i="8"/>
  <c r="U3" i="8"/>
  <c r="M3" i="8"/>
  <c r="B146" i="8"/>
  <c r="B126" i="8"/>
  <c r="B105" i="8"/>
  <c r="B77" i="8"/>
  <c r="B58" i="8"/>
  <c r="B15" i="8"/>
  <c r="F209" i="8"/>
  <c r="F203" i="8"/>
  <c r="F198" i="8"/>
  <c r="O196" i="8"/>
  <c r="K195" i="8"/>
  <c r="G194" i="8"/>
  <c r="J189" i="8"/>
  <c r="P185" i="8"/>
  <c r="G184" i="8"/>
  <c r="T182" i="8"/>
  <c r="P181" i="8"/>
  <c r="D180" i="8"/>
  <c r="N172" i="8"/>
  <c r="H171" i="8"/>
  <c r="O169" i="8"/>
  <c r="I168" i="8"/>
  <c r="M166" i="8"/>
  <c r="T160" i="8"/>
  <c r="Q158" i="8"/>
  <c r="J157" i="8"/>
  <c r="N155" i="8"/>
  <c r="D154" i="8"/>
  <c r="O152" i="8"/>
  <c r="D147" i="8"/>
  <c r="I144" i="8"/>
  <c r="E141" i="8"/>
  <c r="M139" i="8"/>
  <c r="G138" i="8"/>
  <c r="N132" i="8"/>
  <c r="T129" i="8"/>
  <c r="N126" i="8"/>
  <c r="H118" i="8"/>
  <c r="N115" i="8"/>
  <c r="C112" i="8"/>
  <c r="P105" i="8"/>
  <c r="O102" i="8"/>
  <c r="M100" i="8"/>
  <c r="Q96" i="8"/>
  <c r="N90" i="8"/>
  <c r="C88" i="8"/>
  <c r="T83" i="8"/>
  <c r="E74" i="8"/>
  <c r="Q71" i="8"/>
  <c r="D70" i="8"/>
  <c r="D63" i="8"/>
  <c r="D57" i="8"/>
  <c r="E55" i="8"/>
  <c r="T48" i="8"/>
  <c r="G45" i="8"/>
  <c r="D43" i="8"/>
  <c r="M34" i="8"/>
  <c r="J31" i="8"/>
  <c r="P26" i="8"/>
  <c r="N20" i="8"/>
  <c r="Q16" i="8"/>
  <c r="G14" i="8"/>
  <c r="H6" i="8"/>
  <c r="C3" i="8"/>
  <c r="U184" i="8"/>
  <c r="U152" i="8"/>
  <c r="U73" i="8"/>
  <c r="U41" i="8"/>
  <c r="O207" i="8"/>
  <c r="K207" i="8"/>
  <c r="M207" i="8"/>
  <c r="O193" i="8"/>
  <c r="G193" i="8"/>
  <c r="E193" i="8"/>
  <c r="O179" i="8"/>
  <c r="C179" i="8"/>
  <c r="U179" i="8"/>
  <c r="K179" i="8"/>
  <c r="J179" i="8"/>
  <c r="U165" i="8"/>
  <c r="O165" i="8"/>
  <c r="M165" i="8"/>
  <c r="D165" i="8"/>
  <c r="T165" i="8"/>
  <c r="C165" i="8"/>
  <c r="U151" i="8"/>
  <c r="O151" i="8"/>
  <c r="I151" i="8"/>
  <c r="J151" i="8"/>
  <c r="K151" i="8"/>
  <c r="O137" i="8"/>
  <c r="E137" i="8"/>
  <c r="T137" i="8"/>
  <c r="D137" i="8"/>
  <c r="M123" i="8"/>
  <c r="J123" i="8"/>
  <c r="K123" i="8"/>
  <c r="B123" i="8"/>
  <c r="G123" i="8"/>
  <c r="U123" i="8"/>
  <c r="D123" i="8"/>
  <c r="E123" i="8"/>
  <c r="M109" i="8"/>
  <c r="F109" i="8"/>
  <c r="C109" i="8"/>
  <c r="O109" i="8"/>
  <c r="N109" i="8"/>
  <c r="U95" i="8"/>
  <c r="M95" i="8"/>
  <c r="Q95" i="8"/>
  <c r="K95" i="8"/>
  <c r="E95" i="8"/>
  <c r="C95" i="8"/>
  <c r="D95" i="8"/>
  <c r="M81" i="8"/>
  <c r="U81" i="8"/>
  <c r="D81" i="8"/>
  <c r="T81" i="8"/>
  <c r="E81" i="8"/>
  <c r="M67" i="8"/>
  <c r="H67" i="8"/>
  <c r="N67" i="8"/>
  <c r="G67" i="8"/>
  <c r="J67" i="8"/>
  <c r="K67" i="8"/>
  <c r="I53" i="8"/>
  <c r="N53" i="8"/>
  <c r="P53" i="8"/>
  <c r="Q53" i="8"/>
  <c r="M53" i="8"/>
  <c r="U53" i="8"/>
  <c r="E39" i="8"/>
  <c r="T39" i="8"/>
  <c r="F39" i="8"/>
  <c r="H39" i="8"/>
  <c r="C39" i="8"/>
  <c r="D39" i="8"/>
  <c r="P39" i="8"/>
  <c r="B39" i="8"/>
  <c r="Q39" i="8"/>
  <c r="P25" i="8"/>
  <c r="N25" i="8"/>
  <c r="Q25" i="8"/>
  <c r="U25" i="8"/>
  <c r="H25" i="8"/>
  <c r="I25" i="8"/>
  <c r="K25" i="8"/>
  <c r="M25" i="8"/>
  <c r="K11" i="8"/>
  <c r="F11" i="8"/>
  <c r="H11" i="8"/>
  <c r="O11" i="8"/>
  <c r="P11" i="8"/>
  <c r="D11" i="8"/>
  <c r="E11" i="8"/>
  <c r="G11" i="8"/>
  <c r="B151" i="8"/>
  <c r="P207" i="8"/>
  <c r="F193" i="8"/>
  <c r="Q165" i="8"/>
  <c r="H151" i="8"/>
  <c r="C137" i="8"/>
  <c r="E109" i="8"/>
  <c r="T95" i="8"/>
  <c r="G81" i="8"/>
  <c r="C67" i="8"/>
  <c r="D53" i="8"/>
  <c r="N39" i="8"/>
  <c r="M11" i="8"/>
  <c r="U11" i="8"/>
  <c r="E206" i="8"/>
  <c r="N206" i="8"/>
  <c r="O206" i="8"/>
  <c r="E192" i="8"/>
  <c r="J192" i="8"/>
  <c r="G192" i="8"/>
  <c r="E178" i="8"/>
  <c r="F178" i="8"/>
  <c r="M178" i="8"/>
  <c r="K178" i="8"/>
  <c r="E164" i="8"/>
  <c r="P164" i="8"/>
  <c r="F164" i="8"/>
  <c r="T164" i="8"/>
  <c r="C164" i="8"/>
  <c r="E150" i="8"/>
  <c r="N150" i="8"/>
  <c r="J150" i="8"/>
  <c r="K150" i="8"/>
  <c r="E136" i="8"/>
  <c r="H136" i="8"/>
  <c r="U136" i="8"/>
  <c r="F136" i="8"/>
  <c r="B136" i="8"/>
  <c r="T136" i="8"/>
  <c r="C122" i="8"/>
  <c r="Q122" i="8"/>
  <c r="M122" i="8"/>
  <c r="H122" i="8"/>
  <c r="D122" i="8"/>
  <c r="E122" i="8"/>
  <c r="C108" i="8"/>
  <c r="Q108" i="8"/>
  <c r="I108" i="8"/>
  <c r="E108" i="8"/>
  <c r="B108" i="8"/>
  <c r="O108" i="8"/>
  <c r="M108" i="8"/>
  <c r="C94" i="8"/>
  <c r="Q94" i="8"/>
  <c r="E94" i="8"/>
  <c r="T94" i="8"/>
  <c r="M94" i="8"/>
  <c r="F94" i="8"/>
  <c r="U80" i="8"/>
  <c r="C80" i="8"/>
  <c r="Q80" i="8"/>
  <c r="O80" i="8"/>
  <c r="F80" i="8"/>
  <c r="G80" i="8"/>
  <c r="T80" i="8"/>
  <c r="C66" i="8"/>
  <c r="Q66" i="8"/>
  <c r="I66" i="8"/>
  <c r="K66" i="8"/>
  <c r="N66" i="8"/>
  <c r="O66" i="8"/>
  <c r="F66" i="8"/>
  <c r="G66" i="8"/>
  <c r="H66" i="8"/>
  <c r="P52" i="8"/>
  <c r="U52" i="8"/>
  <c r="O52" i="8"/>
  <c r="N52" i="8"/>
  <c r="Q52" i="8"/>
  <c r="I52" i="8"/>
  <c r="T52" i="8"/>
  <c r="P38" i="8"/>
  <c r="H38" i="8"/>
  <c r="G38" i="8"/>
  <c r="U38" i="8"/>
  <c r="J38" i="8"/>
  <c r="T38" i="8"/>
  <c r="C38" i="8"/>
  <c r="M38" i="8"/>
  <c r="P24" i="8"/>
  <c r="D24" i="8"/>
  <c r="O24" i="8"/>
  <c r="H24" i="8"/>
  <c r="I24" i="8"/>
  <c r="F24" i="8"/>
  <c r="B24" i="8"/>
  <c r="G24" i="8"/>
  <c r="P10" i="8"/>
  <c r="N10" i="8"/>
  <c r="H10" i="8"/>
  <c r="J10" i="8"/>
  <c r="M10" i="8"/>
  <c r="O10" i="8"/>
  <c r="C10" i="8"/>
  <c r="B150" i="8"/>
  <c r="B81" i="8"/>
  <c r="N207" i="8"/>
  <c r="M206" i="8"/>
  <c r="D193" i="8"/>
  <c r="D192" i="8"/>
  <c r="I179" i="8"/>
  <c r="I178" i="8"/>
  <c r="P165" i="8"/>
  <c r="M164" i="8"/>
  <c r="G151" i="8"/>
  <c r="F150" i="8"/>
  <c r="Q136" i="8"/>
  <c r="I123" i="8"/>
  <c r="F122" i="8"/>
  <c r="D109" i="8"/>
  <c r="O94" i="8"/>
  <c r="F81" i="8"/>
  <c r="T66" i="8"/>
  <c r="C53" i="8"/>
  <c r="M39" i="8"/>
  <c r="D38" i="8"/>
  <c r="Q24" i="8"/>
  <c r="J11" i="8"/>
  <c r="U10" i="8"/>
  <c r="I205" i="8"/>
  <c r="Q205" i="8"/>
  <c r="P205" i="8"/>
  <c r="I191" i="8"/>
  <c r="M191" i="8"/>
  <c r="H191" i="8"/>
  <c r="U191" i="8"/>
  <c r="I177" i="8"/>
  <c r="H177" i="8"/>
  <c r="U177" i="8"/>
  <c r="O177" i="8"/>
  <c r="I163" i="8"/>
  <c r="D163" i="8"/>
  <c r="G163" i="8"/>
  <c r="T163" i="8"/>
  <c r="C163" i="8"/>
  <c r="U149" i="8"/>
  <c r="I149" i="8"/>
  <c r="O149" i="8"/>
  <c r="P149" i="8"/>
  <c r="K149" i="8"/>
  <c r="U135" i="8"/>
  <c r="I135" i="8"/>
  <c r="K135" i="8"/>
  <c r="G135" i="8"/>
  <c r="C135" i="8"/>
  <c r="T135" i="8"/>
  <c r="G121" i="8"/>
  <c r="P121" i="8"/>
  <c r="N121" i="8"/>
  <c r="U121" i="8"/>
  <c r="I121" i="8"/>
  <c r="C121" i="8"/>
  <c r="D121" i="8"/>
  <c r="G107" i="8"/>
  <c r="F107" i="8"/>
  <c r="P107" i="8"/>
  <c r="K107" i="8"/>
  <c r="M107" i="8"/>
  <c r="G93" i="8"/>
  <c r="H93" i="8"/>
  <c r="O93" i="8"/>
  <c r="B93" i="8"/>
  <c r="E93" i="8"/>
  <c r="T93" i="8"/>
  <c r="G79" i="8"/>
  <c r="C79" i="8"/>
  <c r="H79" i="8"/>
  <c r="I79" i="8"/>
  <c r="Q79" i="8"/>
  <c r="O79" i="8"/>
  <c r="P79" i="8"/>
  <c r="U65" i="8"/>
  <c r="G65" i="8"/>
  <c r="N65" i="8"/>
  <c r="O65" i="8"/>
  <c r="P65" i="8"/>
  <c r="D65" i="8"/>
  <c r="C65" i="8"/>
  <c r="E65" i="8"/>
  <c r="F51" i="8"/>
  <c r="T51" i="8"/>
  <c r="O51" i="8"/>
  <c r="Q51" i="8"/>
  <c r="C51" i="8"/>
  <c r="M51" i="8"/>
  <c r="N51" i="8"/>
  <c r="G51" i="8"/>
  <c r="U51" i="8"/>
  <c r="J51" i="8"/>
  <c r="K51" i="8"/>
  <c r="F37" i="8"/>
  <c r="T37" i="8"/>
  <c r="K37" i="8"/>
  <c r="I37" i="8"/>
  <c r="Q37" i="8"/>
  <c r="E37" i="8"/>
  <c r="G37" i="8"/>
  <c r="F23" i="8"/>
  <c r="T23" i="8"/>
  <c r="G23" i="8"/>
  <c r="Q23" i="8"/>
  <c r="C23" i="8"/>
  <c r="H23" i="8"/>
  <c r="I23" i="8"/>
  <c r="J23" i="8"/>
  <c r="F9" i="8"/>
  <c r="T9" i="8"/>
  <c r="Q9" i="8"/>
  <c r="J9" i="8"/>
  <c r="M9" i="8"/>
  <c r="N9" i="8"/>
  <c r="B149" i="8"/>
  <c r="B80" i="8"/>
  <c r="B11" i="8"/>
  <c r="M205" i="8"/>
  <c r="T193" i="8"/>
  <c r="C193" i="8"/>
  <c r="C192" i="8"/>
  <c r="D191" i="8"/>
  <c r="H179" i="8"/>
  <c r="H178" i="8"/>
  <c r="F177" i="8"/>
  <c r="N165" i="8"/>
  <c r="K163" i="8"/>
  <c r="F151" i="8"/>
  <c r="D150" i="8"/>
  <c r="C149" i="8"/>
  <c r="P136" i="8"/>
  <c r="O135" i="8"/>
  <c r="H123" i="8"/>
  <c r="T121" i="8"/>
  <c r="T108" i="8"/>
  <c r="Q107" i="8"/>
  <c r="N94" i="8"/>
  <c r="K93" i="8"/>
  <c r="C81" i="8"/>
  <c r="M79" i="8"/>
  <c r="J65" i="8"/>
  <c r="M52" i="8"/>
  <c r="E51" i="8"/>
  <c r="K39" i="8"/>
  <c r="N24" i="8"/>
  <c r="D23" i="8"/>
  <c r="I11" i="8"/>
  <c r="O9" i="8"/>
  <c r="U193" i="8"/>
  <c r="U164" i="8"/>
  <c r="U9" i="8"/>
  <c r="B165" i="8"/>
  <c r="B79" i="8"/>
  <c r="B10" i="8"/>
  <c r="J207" i="8"/>
  <c r="K206" i="8"/>
  <c r="T192" i="8"/>
  <c r="T191" i="8"/>
  <c r="C191" i="8"/>
  <c r="G179" i="8"/>
  <c r="G178" i="8"/>
  <c r="E177" i="8"/>
  <c r="K164" i="8"/>
  <c r="J163" i="8"/>
  <c r="E151" i="8"/>
  <c r="C150" i="8"/>
  <c r="Q137" i="8"/>
  <c r="O136" i="8"/>
  <c r="N135" i="8"/>
  <c r="F123" i="8"/>
  <c r="O107" i="8"/>
  <c r="P95" i="8"/>
  <c r="J93" i="8"/>
  <c r="P80" i="8"/>
  <c r="I65" i="8"/>
  <c r="K52" i="8"/>
  <c r="D51" i="8"/>
  <c r="J39" i="8"/>
  <c r="P37" i="8"/>
  <c r="M24" i="8"/>
  <c r="C11" i="8"/>
  <c r="K9" i="8"/>
  <c r="U192" i="8"/>
  <c r="U163" i="8"/>
  <c r="M204" i="8"/>
  <c r="E204" i="8"/>
  <c r="T204" i="8"/>
  <c r="M190" i="8"/>
  <c r="P190" i="8"/>
  <c r="M176" i="8"/>
  <c r="U176" i="8"/>
  <c r="K176" i="8"/>
  <c r="Q176" i="8"/>
  <c r="M162" i="8"/>
  <c r="G162" i="8"/>
  <c r="I162" i="8"/>
  <c r="M148" i="8"/>
  <c r="C148" i="8"/>
  <c r="Q148" i="8"/>
  <c r="M134" i="8"/>
  <c r="N134" i="8"/>
  <c r="I134" i="8"/>
  <c r="K120" i="8"/>
  <c r="D120" i="8"/>
  <c r="U120" i="8"/>
  <c r="P120" i="8"/>
  <c r="I120" i="8"/>
  <c r="K106" i="8"/>
  <c r="O106" i="8"/>
  <c r="H106" i="8"/>
  <c r="Q106" i="8"/>
  <c r="K92" i="8"/>
  <c r="J92" i="8"/>
  <c r="Q92" i="8"/>
  <c r="U92" i="8"/>
  <c r="F92" i="8"/>
  <c r="K78" i="8"/>
  <c r="F78" i="8"/>
  <c r="I78" i="8"/>
  <c r="B78" i="8"/>
  <c r="J78" i="8"/>
  <c r="Q78" i="8"/>
  <c r="K64" i="8"/>
  <c r="O64" i="8"/>
  <c r="Q64" i="8"/>
  <c r="N64" i="8"/>
  <c r="P64" i="8"/>
  <c r="C64" i="8"/>
  <c r="J50" i="8"/>
  <c r="U50" i="8"/>
  <c r="C50" i="8"/>
  <c r="E50" i="8"/>
  <c r="M50" i="8"/>
  <c r="N50" i="8"/>
  <c r="J36" i="8"/>
  <c r="N36" i="8"/>
  <c r="U36" i="8"/>
  <c r="K36" i="8"/>
  <c r="M36" i="8"/>
  <c r="T36" i="8"/>
  <c r="O36" i="8"/>
  <c r="J22" i="8"/>
  <c r="I22" i="8"/>
  <c r="C22" i="8"/>
  <c r="U22" i="8"/>
  <c r="E22" i="8"/>
  <c r="F22" i="8"/>
  <c r="G22" i="8"/>
  <c r="J8" i="8"/>
  <c r="E8" i="8"/>
  <c r="T8" i="8"/>
  <c r="N8" i="8"/>
  <c r="K8" i="8"/>
  <c r="U8" i="8"/>
  <c r="M8" i="8"/>
  <c r="P8" i="8"/>
  <c r="B120" i="8"/>
  <c r="B8" i="8"/>
  <c r="J190" i="8"/>
  <c r="T162" i="8"/>
  <c r="C162" i="8"/>
  <c r="K148" i="8"/>
  <c r="T134" i="8"/>
  <c r="C134" i="8"/>
  <c r="J106" i="8"/>
  <c r="N78" i="8"/>
  <c r="F50" i="8"/>
  <c r="Q22" i="8"/>
  <c r="I8" i="8"/>
  <c r="U190" i="8"/>
  <c r="U201" i="8"/>
  <c r="K201" i="8"/>
  <c r="I117" i="8"/>
  <c r="U117" i="8"/>
  <c r="M117" i="8"/>
  <c r="I103" i="8"/>
  <c r="U103" i="8"/>
  <c r="H103" i="8"/>
  <c r="I89" i="8"/>
  <c r="D89" i="8"/>
  <c r="I75" i="8"/>
  <c r="O75" i="8"/>
  <c r="N201" i="8"/>
  <c r="I187" i="8"/>
  <c r="T173" i="8"/>
  <c r="E173" i="8"/>
  <c r="P159" i="8"/>
  <c r="G131" i="8"/>
  <c r="E117" i="8"/>
  <c r="N103" i="8"/>
  <c r="F89" i="8"/>
  <c r="N75" i="8"/>
  <c r="H47" i="8"/>
  <c r="H33" i="8"/>
  <c r="G33" i="8"/>
  <c r="H19" i="8"/>
  <c r="C19" i="8"/>
  <c r="H5" i="8"/>
  <c r="U5" i="8"/>
  <c r="N5" i="8"/>
  <c r="K61" i="8"/>
  <c r="J47" i="8"/>
  <c r="K19" i="8"/>
  <c r="C5" i="8"/>
  <c r="H61" i="8"/>
  <c r="G47" i="8"/>
  <c r="P33" i="8"/>
  <c r="I19" i="8"/>
  <c r="Q5" i="8"/>
  <c r="U19" i="8"/>
  <c r="L126" i="1"/>
  <c r="M126" i="1"/>
  <c r="B123" i="1"/>
  <c r="K126" i="1" s="1"/>
  <c r="C123" i="1"/>
  <c r="D123" i="1"/>
  <c r="E123" i="1"/>
  <c r="F123" i="1"/>
  <c r="G123" i="1"/>
  <c r="H123" i="1"/>
  <c r="I123" i="1"/>
  <c r="J123" i="1"/>
  <c r="K123" i="1"/>
  <c r="N3" i="1" a="1"/>
  <c r="N3" i="1" s="1"/>
  <c r="N4" i="1" a="1"/>
  <c r="N4" i="1"/>
  <c r="N5" i="1" a="1"/>
  <c r="N5" i="1" s="1"/>
  <c r="N6" i="1" a="1"/>
  <c r="N6" i="1"/>
  <c r="N7" i="1" a="1"/>
  <c r="N7" i="1"/>
  <c r="N8" i="1" a="1"/>
  <c r="N8" i="1"/>
  <c r="N9" i="1" a="1"/>
  <c r="N9" i="1"/>
  <c r="N10" i="1" a="1"/>
  <c r="N10" i="1" s="1"/>
  <c r="N11" i="1" a="1"/>
  <c r="N11" i="1"/>
  <c r="N12" i="1" a="1"/>
  <c r="N12" i="1" s="1"/>
  <c r="N13" i="1" a="1"/>
  <c r="N13" i="1"/>
  <c r="N14" i="1" a="1"/>
  <c r="N14" i="1"/>
  <c r="N15" i="1" a="1"/>
  <c r="N15" i="1"/>
  <c r="N16" i="1" a="1"/>
  <c r="N16" i="1"/>
  <c r="N17" i="1" a="1"/>
  <c r="N17" i="1" s="1"/>
  <c r="N18" i="1" a="1"/>
  <c r="N18" i="1"/>
  <c r="N19" i="1" a="1"/>
  <c r="N19" i="1" s="1"/>
  <c r="N20" i="1" a="1"/>
  <c r="N20" i="1"/>
  <c r="N21" i="1" a="1"/>
  <c r="N21" i="1"/>
  <c r="N22" i="1" a="1"/>
  <c r="N22" i="1"/>
  <c r="N23" i="1" a="1"/>
  <c r="N23" i="1"/>
  <c r="N24" i="1" a="1"/>
  <c r="N24" i="1" s="1"/>
  <c r="N25" i="1" a="1"/>
  <c r="N25" i="1"/>
  <c r="N26" i="1" a="1"/>
  <c r="N26" i="1" s="1"/>
  <c r="N27" i="1" a="1"/>
  <c r="N27" i="1"/>
  <c r="N28" i="1" a="1"/>
  <c r="N28" i="1"/>
  <c r="N29" i="1" a="1"/>
  <c r="N29" i="1"/>
  <c r="N30" i="1" a="1"/>
  <c r="N30" i="1"/>
  <c r="N31" i="1" a="1"/>
  <c r="N31" i="1" s="1"/>
  <c r="N32" i="1" a="1"/>
  <c r="N32" i="1"/>
  <c r="N33" i="1" a="1"/>
  <c r="N33" i="1" s="1"/>
  <c r="N34" i="1" a="1"/>
  <c r="N34" i="1"/>
  <c r="N35" i="1" a="1"/>
  <c r="N35" i="1"/>
  <c r="N36" i="1" a="1"/>
  <c r="N36" i="1"/>
  <c r="N37" i="1" a="1"/>
  <c r="N37" i="1"/>
  <c r="N38" i="1" a="1"/>
  <c r="N38" i="1" s="1"/>
  <c r="N39" i="1" a="1"/>
  <c r="N39" i="1"/>
  <c r="N40" i="1" a="1"/>
  <c r="N40" i="1" s="1"/>
  <c r="N41" i="1" a="1"/>
  <c r="N41" i="1"/>
  <c r="N42" i="1" a="1"/>
  <c r="N42" i="1"/>
  <c r="N43" i="1" a="1"/>
  <c r="N43" i="1"/>
  <c r="N44" i="1" a="1"/>
  <c r="N44" i="1"/>
  <c r="N45" i="1" a="1"/>
  <c r="N45" i="1" s="1"/>
  <c r="N46" i="1" a="1"/>
  <c r="N46" i="1"/>
  <c r="N47" i="1" a="1"/>
  <c r="N47" i="1" s="1"/>
  <c r="N48" i="1" a="1"/>
  <c r="N48" i="1"/>
  <c r="N49" i="1" a="1"/>
  <c r="N49" i="1"/>
  <c r="N50" i="1" a="1"/>
  <c r="N50" i="1"/>
  <c r="N51" i="1" a="1"/>
  <c r="N51" i="1"/>
  <c r="N52" i="1" a="1"/>
  <c r="N52" i="1" s="1"/>
  <c r="N53" i="1" a="1"/>
  <c r="N53" i="1"/>
  <c r="N54" i="1" a="1"/>
  <c r="N54" i="1" s="1"/>
  <c r="N55" i="1" a="1"/>
  <c r="N55" i="1"/>
  <c r="N56" i="1" a="1"/>
  <c r="N56" i="1"/>
  <c r="N57" i="1" a="1"/>
  <c r="N57" i="1"/>
  <c r="N58" i="1" a="1"/>
  <c r="N58" i="1"/>
  <c r="N59" i="1" a="1"/>
  <c r="N59" i="1" s="1"/>
  <c r="N60" i="1" a="1"/>
  <c r="N60" i="1"/>
  <c r="N61" i="1" a="1"/>
  <c r="N61" i="1" s="1"/>
  <c r="N62" i="1" a="1"/>
  <c r="N62" i="1"/>
  <c r="N63" i="1" a="1"/>
  <c r="N63" i="1"/>
  <c r="N64" i="1" a="1"/>
  <c r="N64" i="1"/>
  <c r="N65" i="1" a="1"/>
  <c r="N65" i="1"/>
  <c r="N66" i="1" a="1"/>
  <c r="N66" i="1" s="1"/>
  <c r="N67" i="1" a="1"/>
  <c r="N67" i="1"/>
  <c r="N68" i="1" a="1"/>
  <c r="N68" i="1" s="1"/>
  <c r="N69" i="1" a="1"/>
  <c r="N69" i="1"/>
  <c r="N70" i="1" a="1"/>
  <c r="N70" i="1"/>
  <c r="N71" i="1" a="1"/>
  <c r="N71" i="1"/>
  <c r="N72" i="1" a="1"/>
  <c r="N72" i="1"/>
  <c r="N73" i="1" a="1"/>
  <c r="N73" i="1" s="1"/>
  <c r="N74" i="1" a="1"/>
  <c r="N74" i="1"/>
  <c r="N75" i="1" a="1"/>
  <c r="N75" i="1" s="1"/>
  <c r="N76" i="1" a="1"/>
  <c r="N76" i="1"/>
  <c r="N77" i="1" a="1"/>
  <c r="N77" i="1"/>
  <c r="N78" i="1" a="1"/>
  <c r="N78" i="1"/>
  <c r="N79" i="1" a="1"/>
  <c r="N79" i="1"/>
  <c r="N80" i="1" a="1"/>
  <c r="N80" i="1" s="1"/>
  <c r="N81" i="1" a="1"/>
  <c r="N81" i="1"/>
  <c r="N82" i="1" a="1"/>
  <c r="N82" i="1" s="1"/>
  <c r="N83" i="1" a="1"/>
  <c r="N83" i="1"/>
  <c r="N84" i="1" a="1"/>
  <c r="N84" i="1"/>
  <c r="N85" i="1" a="1"/>
  <c r="N85" i="1"/>
  <c r="N86" i="1" a="1"/>
  <c r="N86" i="1"/>
  <c r="N87" i="1" a="1"/>
  <c r="N87" i="1" s="1"/>
  <c r="N88" i="1" a="1"/>
  <c r="N88" i="1"/>
  <c r="N89" i="1" a="1"/>
  <c r="N89" i="1" s="1"/>
  <c r="N90" i="1" a="1"/>
  <c r="N90" i="1"/>
  <c r="N91" i="1" a="1"/>
  <c r="N91" i="1"/>
  <c r="N92" i="1" a="1"/>
  <c r="N92" i="1"/>
  <c r="N93" i="1" a="1"/>
  <c r="N93" i="1"/>
  <c r="N94" i="1" a="1"/>
  <c r="N94" i="1" s="1"/>
  <c r="N95" i="1" a="1"/>
  <c r="N95" i="1"/>
  <c r="N96" i="1" a="1"/>
  <c r="N96" i="1" s="1"/>
  <c r="N97" i="1" a="1"/>
  <c r="N97" i="1"/>
  <c r="N98" i="1" a="1"/>
  <c r="N98" i="1"/>
  <c r="N99" i="1" a="1"/>
  <c r="N99" i="1"/>
  <c r="N100" i="1" a="1"/>
  <c r="N100" i="1"/>
  <c r="N101" i="1" a="1"/>
  <c r="N101" i="1" s="1"/>
  <c r="N102" i="1" a="1"/>
  <c r="N102" i="1"/>
  <c r="N103" i="1" a="1"/>
  <c r="N103" i="1" s="1"/>
  <c r="N104" i="1" a="1"/>
  <c r="N104" i="1"/>
  <c r="N105" i="1" a="1"/>
  <c r="N105" i="1"/>
  <c r="N106" i="1" a="1"/>
  <c r="N106" i="1"/>
  <c r="N107" i="1" a="1"/>
  <c r="N107" i="1"/>
  <c r="N108" i="1" a="1"/>
  <c r="N108" i="1" s="1"/>
  <c r="N109" i="1" a="1"/>
  <c r="N109" i="1"/>
  <c r="N110" i="1" a="1"/>
  <c r="N110" i="1" s="1"/>
  <c r="N111" i="1" a="1"/>
  <c r="N111" i="1"/>
  <c r="N112" i="1" a="1"/>
  <c r="N112" i="1"/>
  <c r="N113" i="1" a="1"/>
  <c r="N113" i="1"/>
  <c r="N114" i="1" a="1"/>
  <c r="N114" i="1"/>
  <c r="N115" i="1" a="1"/>
  <c r="N115" i="1" s="1"/>
  <c r="N116" i="1" a="1"/>
  <c r="N116" i="1"/>
  <c r="N117" i="1" a="1"/>
  <c r="N117" i="1" s="1"/>
  <c r="N118" i="1" a="1"/>
  <c r="N118" i="1"/>
  <c r="N119" i="1" a="1"/>
  <c r="N119" i="1"/>
  <c r="N120" i="1" a="1"/>
  <c r="N120" i="1"/>
  <c r="N121" i="1" a="1"/>
  <c r="N121" i="1"/>
  <c r="N2" i="1" a="1"/>
  <c r="N2" i="1"/>
  <c r="M123" i="1"/>
  <c r="K125" i="1" l="1"/>
  <c r="D3" i="10" l="1"/>
  <c r="J7" i="9" l="1"/>
  <c r="L7" i="9" s="1"/>
  <c r="J8" i="9"/>
  <c r="L8" i="9" s="1"/>
  <c r="J9" i="9" l="1"/>
  <c r="L9" i="9" s="1"/>
  <c r="J3" i="9" l="1"/>
  <c r="L3" i="9" s="1"/>
  <c r="J11" i="9"/>
  <c r="L11" i="9" s="1"/>
  <c r="J12" i="9"/>
  <c r="L12" i="9" s="1"/>
  <c r="J4" i="9" l="1"/>
  <c r="L4" i="9" s="1"/>
  <c r="J14" i="9" l="1"/>
  <c r="L14" i="9" s="1"/>
  <c r="J15" i="9"/>
  <c r="L15" i="9" s="1"/>
  <c r="J5" i="9"/>
  <c r="L5" i="9" s="1"/>
  <c r="J16" i="9" l="1"/>
  <c r="L16" i="9" s="1"/>
  <c r="J18" i="9"/>
  <c r="L18" i="9" s="1"/>
  <c r="J20" i="9"/>
  <c r="L20" i="9" s="1"/>
  <c r="J19" i="9"/>
  <c r="L19" i="9" s="1"/>
  <c r="J21" i="9"/>
  <c r="L21" i="9" s="1"/>
  <c r="J17" i="9"/>
  <c r="L17" i="9" s="1"/>
  <c r="J13" i="9"/>
  <c r="L13" i="9" s="1"/>
  <c r="J6" i="9"/>
  <c r="L6" i="9" s="1"/>
  <c r="J10" i="9"/>
  <c r="L10" i="9" s="1"/>
  <c r="H8" i="9" l="1"/>
  <c r="H7" i="9"/>
  <c r="H9" i="9" l="1"/>
  <c r="H10" i="9" l="1"/>
  <c r="H21" i="9"/>
  <c r="H18" i="9"/>
  <c r="H20" i="9"/>
  <c r="H19" i="9"/>
  <c r="H17" i="9"/>
  <c r="H3" i="9"/>
  <c r="H14" i="9"/>
  <c r="H4" i="9"/>
  <c r="H5" i="9"/>
  <c r="H11" i="9"/>
  <c r="H12" i="9"/>
  <c r="H15" i="9"/>
  <c r="H6" i="9"/>
  <c r="H16" i="9"/>
  <c r="H13"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<sst xmlns="http://schemas.openxmlformats.org/spreadsheetml/2006/main" count="613" uniqueCount="167">
  <si>
    <t>Stock_1</t>
  </si>
  <si>
    <t>Stock_2</t>
  </si>
  <si>
    <t>Stock_3</t>
  </si>
  <si>
    <t>Stock_4</t>
  </si>
  <si>
    <t>Stock_5</t>
  </si>
  <si>
    <t>Stock_6</t>
  </si>
  <si>
    <t>Stock_7</t>
  </si>
  <si>
    <t>Stock_8</t>
  </si>
  <si>
    <t>Stock_9</t>
  </si>
  <si>
    <t>Stock_10</t>
  </si>
  <si>
    <t>Bond_10Y</t>
  </si>
  <si>
    <t>Stock_Index</t>
  </si>
  <si>
    <t>Weight</t>
  </si>
  <si>
    <t>Sigma_hat</t>
  </si>
  <si>
    <t>Phi_i = Sigma_i / Sigma_p</t>
  </si>
  <si>
    <t>Omega_i</t>
  </si>
  <si>
    <t>IndivCorr_iB (sample)</t>
  </si>
  <si>
    <t>Value</t>
  </si>
  <si>
    <t>Direct aggregate corr (Index vs Bond)</t>
  </si>
  <si>
    <t>Formula aggregate corr (DR * sum omega_i * rho_iB)</t>
  </si>
  <si>
    <t>Diversification Ratio (DR)</t>
  </si>
  <si>
    <t>Index vol (sample)</t>
  </si>
  <si>
    <t>Cap-weighted avg indiv corr (sum w_i * rho_iB)</t>
  </si>
  <si>
    <t>Date</t>
  </si>
  <si>
    <t>Weights</t>
  </si>
  <si>
    <t>Correl with bond</t>
  </si>
  <si>
    <t>Average</t>
  </si>
  <si>
    <t>Weighted average</t>
  </si>
  <si>
    <t>the aggregate (index) correlation with bonds is a weighted average of the individual correlations, multiplied by a diversification factor (the “correlation leverage”).</t>
  </si>
  <si>
    <t>DR</t>
  </si>
  <si>
    <t>U.S. Inflation</t>
  </si>
  <si>
    <t>U.S. Cash</t>
  </si>
  <si>
    <t>U.S. Intermediate Treasuries</t>
  </si>
  <si>
    <t>U.S. Long Treasuries</t>
  </si>
  <si>
    <t>TIPS</t>
  </si>
  <si>
    <t>U.S. Aggregate Bonds</t>
  </si>
  <si>
    <t>U.S. Securitized</t>
  </si>
  <si>
    <t>U.S. Short Duration Government/Credit</t>
  </si>
  <si>
    <t>U.S. Long Duration Government/Credit</t>
  </si>
  <si>
    <t>U.S. Inv Grade Corporate Bonds</t>
  </si>
  <si>
    <t>U.S. Long Corporate Bonds</t>
  </si>
  <si>
    <t>U.S. High Yield Bonds</t>
  </si>
  <si>
    <t>U.S. Leveraged Loans</t>
  </si>
  <si>
    <t>World Government Bonds hedged</t>
  </si>
  <si>
    <t>World Government Bonds</t>
  </si>
  <si>
    <t>World ex-U.S. Government Bonds hedged</t>
  </si>
  <si>
    <t>World ex-U.S. Government Bonds</t>
  </si>
  <si>
    <t>Emerging Markets Sovereign Debt</t>
  </si>
  <si>
    <t>Emerging Markets Local Currency Debt</t>
  </si>
  <si>
    <t>Emerging Markets Corporate Bonds</t>
  </si>
  <si>
    <t>U.S. Muni 1-15 Yr Blend</t>
  </si>
  <si>
    <t>U.S. Muni High Yield</t>
  </si>
  <si>
    <t>U.S. Large Cap</t>
  </si>
  <si>
    <t>U.S. Mid Cap</t>
  </si>
  <si>
    <t>U.S. Small Cap</t>
  </si>
  <si>
    <t>Euro Area Large Cap</t>
  </si>
  <si>
    <t>Japanese Equity</t>
  </si>
  <si>
    <t>Hong Kong Equity</t>
  </si>
  <si>
    <t>UK Large Cap</t>
  </si>
  <si>
    <t>EAFE Equity</t>
  </si>
  <si>
    <t>Chinese Domestic Equity</t>
  </si>
  <si>
    <t>Emerging Markets Equity</t>
  </si>
  <si>
    <t>AC Asia ex-Japan Equity</t>
  </si>
  <si>
    <t>AC World Equity</t>
  </si>
  <si>
    <t>U.S. Equity Value Factor</t>
  </si>
  <si>
    <t>U.S. Equity Momentum Factor</t>
  </si>
  <si>
    <t>U.S. Equity Quality Factor</t>
  </si>
  <si>
    <t>U.S. Equity Minimum Volatility Factor</t>
  </si>
  <si>
    <t>U.S. Equity Dividend Yield Factor</t>
  </si>
  <si>
    <t>Global Convertible Bonds hedged</t>
  </si>
  <si>
    <t>U.S. Core Real Estate</t>
  </si>
  <si>
    <t>U.S. Value-Added Real Estate</t>
  </si>
  <si>
    <t>European Core Real Estate</t>
  </si>
  <si>
    <t>Asia Pacific Core Real Estate</t>
  </si>
  <si>
    <t>U.S. REITs</t>
  </si>
  <si>
    <t>Commercial Mortgage Loans</t>
  </si>
  <si>
    <t>Global Core Infrastructure</t>
  </si>
  <si>
    <t>Global Core Transport</t>
  </si>
  <si>
    <t>Global Timberland</t>
  </si>
  <si>
    <t>Commodities</t>
  </si>
  <si>
    <t>Gold</t>
  </si>
  <si>
    <t>Private Equity</t>
  </si>
  <si>
    <t>Venture Capital</t>
  </si>
  <si>
    <t>Diversified Hedge Funds</t>
  </si>
  <si>
    <t>Event Driven Hedge Funds</t>
  </si>
  <si>
    <t>Long Bias Hedge Funds</t>
  </si>
  <si>
    <t>Relative Value Hedge Funds</t>
  </si>
  <si>
    <t>Macro Hedge Funds</t>
  </si>
  <si>
    <t>Direct Lending</t>
  </si>
  <si>
    <t>US Treasuries, Short/Intermediate</t>
  </si>
  <si>
    <t>US Treasuries, Long</t>
  </si>
  <si>
    <t>Residential Mortgage-Backed Securities</t>
  </si>
  <si>
    <t>US Public Corporates IG AAA</t>
  </si>
  <si>
    <t>US Public Corporates, HY Intermediate</t>
  </si>
  <si>
    <t>Corporate HY Private (Leveraged Loans)</t>
  </si>
  <si>
    <t>Global ex-US Government, hedged</t>
  </si>
  <si>
    <t>US Taxable Munis</t>
  </si>
  <si>
    <t>Real Estate (via partnerships, equity)</t>
  </si>
  <si>
    <t>Residential Mortgage Whole Loans</t>
  </si>
  <si>
    <t>Corporate IG Private Placement A</t>
  </si>
  <si>
    <t>US Public Corporates IG AA</t>
  </si>
  <si>
    <t>US Public Corporates IG A</t>
  </si>
  <si>
    <t>US Public Corporates IG BBB</t>
  </si>
  <si>
    <t>US Public Corporates, HY Long</t>
  </si>
  <si>
    <t>Global ex-US Corporates, hedged</t>
  </si>
  <si>
    <t>Commercial Mortgage-Backed Securities</t>
  </si>
  <si>
    <t>Asset-Backed Securities</t>
  </si>
  <si>
    <t>Corporate IG Private Placement BBB</t>
  </si>
  <si>
    <t>Commercial Mortgage Whole Loans</t>
  </si>
  <si>
    <t>3M T-Bill yield</t>
  </si>
  <si>
    <t>Cash return</t>
  </si>
  <si>
    <t>Leverage for PE</t>
  </si>
  <si>
    <t>Asset</t>
  </si>
  <si>
    <t>Schedule</t>
  </si>
  <si>
    <t>Rating</t>
  </si>
  <si>
    <t>NAIC Designation</t>
  </si>
  <si>
    <t>Capital Charge X PAF</t>
  </si>
  <si>
    <t>Maturity</t>
  </si>
  <si>
    <t>Duration</t>
  </si>
  <si>
    <t>Starting Yield</t>
  </si>
  <si>
    <t>Expected Credit loss</t>
  </si>
  <si>
    <t>ER (Capital-Adjusted)</t>
  </si>
  <si>
    <t>ST Risk (StDev)</t>
  </si>
  <si>
    <t>LT Uncertainty (RMSE)</t>
  </si>
  <si>
    <t>WA Risk</t>
  </si>
  <si>
    <t>Government</t>
  </si>
  <si>
    <t>D-1</t>
  </si>
  <si>
    <t>AAA</t>
  </si>
  <si>
    <t>AA</t>
  </si>
  <si>
    <t>Public Corporates</t>
  </si>
  <si>
    <t>A</t>
  </si>
  <si>
    <t>BBB</t>
  </si>
  <si>
    <t>BB–</t>
  </si>
  <si>
    <t>Structured</t>
  </si>
  <si>
    <t>Private Credit</t>
  </si>
  <si>
    <t>B+</t>
  </si>
  <si>
    <t>B</t>
  </si>
  <si>
    <t>Risk assets</t>
  </si>
  <si>
    <t>BA</t>
  </si>
  <si>
    <t>-</t>
  </si>
  <si>
    <t>I provide most granularity in terms of ratings to public US bonds because a) that's where the most granularity is observed in life insurance portfolios and b) those indexes are actually retrievable from data sources.</t>
  </si>
  <si>
    <t>No public equity and hedge funds because of very low (&lt;1%) allocation (hedge funds have become more and more unpopular among life insurers due to relatively low capital-adjusted yields).</t>
  </si>
  <si>
    <t>Relative return (capital-adjusted) basis as opposed to total return</t>
  </si>
  <si>
    <t>RMSE of bond returns, which is basically the measure of "wrongness" in compunded average return of an index (along with all its mean reversion and time diversification) is an appropriate risk measure because of holding to maturity practice and book accouning instead of mark to market. It does not take into account the market swings in interest rates that would introduce the volatility, but it combines two important measure of risk: reinvestment risk and credit risk.</t>
  </si>
  <si>
    <t>I take the weighted average of short-term risk (historical standard deviation, which more or less stays within the reasonable bounds over time so is a good proxy for expected volatility) and long-term uncertainty, which is calculated from the taking the starting yields and comparing thm with actua 10 year CAGRs, squaring the difference, taking the average, and then taking the square root, which gives me more dependable and reasonable measure for how wrong I can be in my average return estimation (better than standard error which in theory measures the same thing but assumes that returns are IID - standard error = standard deviation / sqrt(10)). I give former 0.3 and latter 0.7 weight. The reason for this weights are somewhat subjective but dependent on the idea that while life insurance  and retirement products liabilities are fairly long-term and can withstand substantial drawdowns, the short-term volatility is still relevant because of regulations (rbc requirements) and liquidity constraints along the way. If it was endowment asset allocation problem, for example, I would give even less weight to short-term volatility, because they have the longest investment horizons and fewest regulatory/board restrictions among institutional asset allocators (pensions, insurance, SWFs), so for them larger drawdowns are tolerable, although maximizing wealth growth also requires high risk-adjusted returns, which itself depends on maximizing compounded returns and relatively moderate drawdowns.</t>
  </si>
  <si>
    <t>RBC Ratio</t>
  </si>
  <si>
    <t>Assumed hurdle rate / Cost of Capital</t>
  </si>
  <si>
    <t>C</t>
  </si>
  <si>
    <t>D</t>
  </si>
  <si>
    <t>E</t>
  </si>
  <si>
    <t>F</t>
  </si>
  <si>
    <t>G</t>
  </si>
  <si>
    <t>H</t>
  </si>
  <si>
    <t>I</t>
  </si>
  <si>
    <t>J</t>
  </si>
  <si>
    <t>K</t>
  </si>
  <si>
    <t>L</t>
  </si>
  <si>
    <t>M</t>
  </si>
  <si>
    <t>N</t>
  </si>
  <si>
    <t>O</t>
  </si>
  <si>
    <t>P</t>
  </si>
  <si>
    <t>Q</t>
  </si>
  <si>
    <t>R</t>
  </si>
  <si>
    <t>S</t>
  </si>
  <si>
    <t>T</t>
  </si>
  <si>
    <t>U</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</si>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</sst>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0.0"/>
    <numFmt numFmtId="166" formatCode="0.0%"/>
    <numFmt numFmtId="167" formatCode="#,##0.0"/>
    <numFmt numFmtId="168" formatCode="0.000%"/>
  </numFmts>
  <fonts count="11"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0"/>
      <name val="Arial"/>
      <family val="2"/>
    </font>
    <font>
      <b/>
      <sz val="10"/>
      <name val="Arial"/>
      <family val="2"/>
    </font>
    <font>
      <sz val="10"/>
      <color theme="8"/>
      <name val="Arial"/>
      <family val="2"/>
    </font>
    <font>
      <i/>
      <sz val="11"/>
      <color theme="1"/>
      <name val="Calibri"/>
      <family val="2"/>
      <scheme val="minor"/>
    </font>
    <font>
      <sz val="8"/>
      <color theme="1"/>
      <name val="Times New Roman"/>
      <family val="1"/>
    </font>
    <font>
      <sz val="8"/>
      <name val="Times New Roman"/>
      <family val="1"/>
    </font>
    <font>
      <sz val="11"/>
      <color theme="1"/>
      <name val="Times New Roman"/>
      <family val="1"/>
    </font>
  </fonts>
  <fills count="6">
    <fill>
      <patternFill patternType="none"/>
    </fill>
    <fill>
      <patternFill patternType="gray125"/>
    </fill>
    <fill>
      <patternFill patternType="solid">
        <fgColor theme="2" tint="-9.9978637043366805E-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2D877E"/>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D5CAB9"/>
      </left>
      <right style="thin">
        <color rgb="FFD5CAB9"/>
      </right>
      <top/>
      <bottom style="thin">
        <color rgb="FFD5CAB9"/>
      </bottom>
      <diagonal/>
    </border>
  </borders>
  <cellStyleXfs count="4">
    <xf numFmtId="0" fontId="0" fillId="0" borderId="0"/>
    <xf numFmtId="9" fontId="2" fillId="0" borderId="0" applyFont="0" applyFill="0" applyBorder="0" applyAlignment="0" applyProtection="0"/>
    <xf numFmtId="0" fontId="4" fillId="0" borderId="0">
      <alignment vertical="top"/>
    </xf>
    <xf numFmtId="9" fontId="2" fillId="0" borderId="0" applyFont="0" applyFill="0" applyBorder="0" applyAlignment="0" applyProtection="0"/>
  </cellStyleXfs>
  <cellXfs count="49">
    <xf numFmtId="0" fontId="0" fillId="0" borderId="0" xfId="0"/>
    <xf numFmtId="0" fontId="1" fillId="0" borderId="1" xfId="0" applyFont="1" applyBorder="1" applyAlignment="1">
      <alignment horizontal="center" vertical="top"/>
    </xf>
    <xf numFmtId="2" fontId="0" fillId="0" borderId="0" xfId="0" applyNumberFormat="1"/>
    <xf numFmtId="14" fontId="0" fillId="0" borderId="0" xfId="0" applyNumberFormat="1" applyAlignment="1">
      <alignment horizontal="left" vertical="top"/>
    </xf>
    <xf numFmtId="0" fontId="1" fillId="0" borderId="0" xfId="0" applyFont="1"/>
    <xf numFmtId="0" fontId="1" fillId="0" borderId="0" xfId="0" applyFont="1" applyAlignment="1">
      <alignment horizontal="right" vertical="top"/>
    </xf>
    <xf numFmtId="164" fontId="0" fillId="0" borderId="0" xfId="0" applyNumberFormat="1"/>
    <xf numFmtId="2" fontId="1" fillId="2" borderId="0" xfId="0" applyNumberFormat="1" applyFont="1" applyFill="1"/>
    <xf numFmtId="0" fontId="0" fillId="0" borderId="0" xfId="0" applyAlignment="1">
      <alignment horizontal="right"/>
    </xf>
    <xf numFmtId="0" fontId="0" fillId="0" borderId="0" xfId="0" applyAlignment="1">
      <alignment horizontal="right" textRotation="45"/>
    </xf>
    <xf numFmtId="0" fontId="0" fillId="3" borderId="0" xfId="0" applyFill="1" applyAlignment="1">
      <alignment horizontal="right" textRotation="45"/>
    </xf>
    <xf numFmtId="0" fontId="0" fillId="3" borderId="0" xfId="0" applyFill="1"/>
    <xf numFmtId="0" fontId="0" fillId="0" borderId="0" xfId="0" applyAlignment="1">
      <alignment horizontal="left" textRotation="45"/>
    </xf>
    <xf numFmtId="0" fontId="4" fillId="0" borderId="0" xfId="2" applyAlignment="1">
      <alignment vertical="center"/>
    </xf>
    <xf numFmtId="2" fontId="0" fillId="0" borderId="0" xfId="0" applyNumberFormat="1" applyAlignment="1">
      <alignment horizontal="center" vertical="center"/>
    </xf>
    <xf numFmtId="0" fontId="0" fillId="0" borderId="0" xfId="0" applyAlignment="1">
      <alignment textRotation="45"/>
    </xf>
    <xf numFmtId="10" fontId="0" fillId="0" borderId="0" xfId="1" applyNumberFormat="1" applyFont="1"/>
    <xf numFmtId="0" fontId="1" fillId="0" borderId="0" xfId="0" applyFont="1" applyAlignment="1">
      <alignment horizontal="right"/>
    </xf>
    <xf numFmtId="165" fontId="0" fillId="0" borderId="0" xfId="0" applyNumberFormat="1"/>
    <xf numFmtId="166" fontId="0" fillId="0" borderId="0" xfId="1" applyNumberFormat="1" applyFont="1"/>
    <xf numFmtId="14" fontId="0" fillId="0" borderId="1" xfId="0" applyNumberFormat="1" applyBorder="1" applyAlignment="1">
      <alignment horizontal="left"/>
    </xf>
    <xf numFmtId="167" fontId="0" fillId="0" borderId="0" xfId="0" applyNumberFormat="1"/>
    <xf numFmtId="14" fontId="0" fillId="0" borderId="2" xfId="0" applyNumberFormat="1" applyBorder="1" applyAlignment="1">
      <alignment horizontal="left"/>
    </xf>
    <xf numFmtId="14" fontId="0" fillId="0" borderId="0" xfId="0" applyNumberFormat="1" applyAlignment="1">
      <alignment horizontal="left"/>
    </xf>
    <xf numFmtId="0" fontId="1" fillId="4" borderId="0" xfId="0" applyFont="1" applyFill="1" applyAlignment="1">
      <alignment horizontal="right"/>
    </xf>
    <xf numFmtId="0" fontId="1" fillId="0" borderId="0" xfId="0" applyFont="1" applyAlignment="1">
      <alignment vertical="center"/>
    </xf>
    <xf numFmtId="0" fontId="3" fillId="5" borderId="3" xfId="0" applyFont="1" applyFill="1" applyBorder="1" applyAlignment="1">
      <alignment horizontal="left" vertical="center" wrapText="1"/>
    </xf>
    <xf numFmtId="0" fontId="3" fillId="5" borderId="3" xfId="0" applyFont="1" applyFill="1" applyBorder="1" applyAlignment="1">
      <alignment horizontal="right" vertical="center" wrapText="1"/>
    </xf>
    <xf numFmtId="0" fontId="1" fillId="0" borderId="0" xfId="0" applyFont="1" applyAlignment="1">
      <alignment horizontal="right" vertical="center"/>
    </xf>
    <xf numFmtId="0" fontId="4" fillId="0" borderId="0" xfId="2" applyAlignment="1">
      <alignment horizontal="right" vertical="center"/>
    </xf>
    <xf numFmtId="10" fontId="4" fillId="0" borderId="0" xfId="1" applyNumberFormat="1" applyFont="1" applyAlignment="1">
      <alignment vertical="center"/>
    </xf>
    <xf numFmtId="165" fontId="4" fillId="0" borderId="0" xfId="1" applyNumberFormat="1" applyFont="1" applyAlignment="1">
      <alignment vertical="center"/>
    </xf>
    <xf numFmtId="166" fontId="4" fillId="0" borderId="0" xfId="3" applyNumberFormat="1" applyFont="1" applyAlignment="1">
      <alignment vertical="center"/>
    </xf>
    <xf numFmtId="0" fontId="0" fillId="0" borderId="0" xfId="0" applyAlignment="1">
      <alignment horizontal="right" vertical="center" wrapText="1"/>
    </xf>
    <xf numFmtId="0" fontId="5" fillId="0" borderId="0" xfId="2" applyFont="1" applyAlignment="1">
      <alignment horizontal="right" vertical="center"/>
    </xf>
    <xf numFmtId="0" fontId="6" fillId="0" borderId="0" xfId="2" applyFont="1" applyAlignment="1">
      <alignment vertical="center"/>
    </xf>
    <xf numFmtId="37" fontId="5" fillId="0" borderId="0" xfId="2" applyNumberFormat="1" applyFont="1" applyAlignment="1">
      <alignment vertical="center"/>
    </xf>
    <xf numFmtId="166" fontId="5" fillId="0" borderId="0" xfId="3" applyNumberFormat="1" applyFont="1" applyAlignment="1">
      <alignment vertical="center"/>
    </xf>
    <xf numFmtId="9" fontId="0" fillId="0" borderId="0" xfId="0" applyNumberFormat="1"/>
    <xf numFmtId="168" fontId="0" fillId="0" borderId="0" xfId="1" applyNumberFormat="1" applyFont="1"/>
    <xf numFmtId="0" fontId="8" fillId="0" borderId="0" xfId="0" applyFont="1" applyAlignment="1">
      <alignment vertical="center"/>
    </xf>
    <xf numFmtId="0" fontId="9" fillId="0" borderId="0" xfId="2" applyFont="1" applyAlignment="1">
      <alignment vertical="center" wrapText="1"/>
    </xf>
    <xf numFmtId="0" fontId="8" fillId="0" borderId="0" xfId="0" applyFont="1" applyAlignment="1">
      <alignment horizontal="center" textRotation="90" wrapText="1"/>
    </xf>
    <xf numFmtId="0" fontId="7" fillId="0" borderId="0" xfId="0" applyFont="1" applyAlignment="1">
      <alignment horizontal="center"/>
    </xf>
    <xf numFmtId="166" fontId="8" fillId="0" borderId="0" xfId="1" applyNumberFormat="1" applyFont="1" applyAlignment="1">
      <alignment horizontal="center" vertical="center"/>
    </xf>
    <xf numFmtId="165" fontId="8" fillId="0" borderId="0" xfId="1" applyNumberFormat="1" applyFont="1" applyAlignment="1">
      <alignment horizontal="center" vertical="center"/>
    </xf>
    <xf numFmtId="165" fontId="10" fillId="0" borderId="0" xfId="1" applyNumberFormat="1" applyFont="1" applyAlignment="1">
      <alignment horizontal="center" vertical="center"/>
    </xf>
    <xf numFmtId="0" fontId="4" fillId="0" borderId="0" xfId="2" applyAlignment="1">
      <alignment horizontal="left" vertical="center"/>
    </xf>
    <xf numFmtId="0" fontId="4" fillId="0" borderId="0" xfId="2" applyAlignment="1">
      <alignment vertical="center"/>
    </xf>
  </cellXfs>
  <cellStyles count="4">
    <cellStyle name="Normal" xfId="0" builtinId="0"/>
    <cellStyle name="Normal 2" xfId="2" xr:uid="{90C7D5C8-8456-4EA1-8463-007988EFCCD2}"/>
    <cellStyle name="Percent" xfId="1" builtinId="5"/>
    <cellStyle name="Percent 2" xfId="3" xr:uid="{E456B20A-E98C-4463-80EB-27AEC0BDD8D2}"/>
  </cellStyles>
  <dxfs count="0"/>
  <tableStyles count="0" defaultTableStyle="TableStyleMedium9" defaultPivotStyle="PivotStyleLight16"/>
  <colors>
    <mruColors>
      <color rgb="FFC75959"/>
      <color rgb="FF097B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igan\OneDrive\Desktop\NYU\Fall%202025\Capstone\Current%20allocations\Aggregated\Current%20allocations%20(aggregate).xlsx" TargetMode="External"/><Relationship Id="rId1" Type="http://schemas.openxmlformats.org/officeDocument/2006/relationships/externalLinkPath" Target="file:///C:\Users\gigan\OneDrive\Desktop\NYU\Fall%202025\Capstone\Current%20allocations\Aggregated\Current%20allocations%20(aggregat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gigan\OneDrive\Desktop\NYU\Fall%202025\Capstone\Optimization\Aggregate.xlsx" TargetMode="External"/><Relationship Id="rId1" Type="http://schemas.openxmlformats.org/officeDocument/2006/relationships/externalLinkPath" Target="file:///C:\Users\gigan\OneDrive\Desktop\NYU\Fall%202025\Capstone\Optimization\Aggregat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gigan\OneDrive\Desktop\NYU\Fall%202025\Capstone\CMA%20framework\Excel%20files\Fixed%20Income.xlsx" TargetMode="External"/><Relationship Id="rId1" Type="http://schemas.openxmlformats.org/officeDocument/2006/relationships/externalLinkPath" Target="Fixed%20Incom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 Universe"/>
      <sheetName val="Regulation"/>
      <sheetName val="Corr matrix"/>
      <sheetName val="Cov matrix"/>
    </sheetNames>
    <sheetDataSet>
      <sheetData sheetId="0" refreshError="1">
        <row r="3">
          <cell r="C3" t="str">
            <v>US Treasuries, Short/Intermediate</v>
          </cell>
          <cell r="D3" t="str">
            <v>D-1</v>
          </cell>
          <cell r="E3" t="str">
            <v>AAA</v>
          </cell>
          <cell r="F3" t="str">
            <v>1A</v>
          </cell>
          <cell r="G3">
            <v>0</v>
          </cell>
          <cell r="H3">
            <v>4.0341360000000002</v>
          </cell>
          <cell r="I3">
            <v>3.7464194344500266</v>
          </cell>
          <cell r="J3">
            <v>3.8328069999999999E-2</v>
          </cell>
          <cell r="K3">
            <v>0</v>
          </cell>
          <cell r="L3">
            <v>3.8328069999999999E-2</v>
          </cell>
          <cell r="M3">
            <v>6.008695954644231E-2</v>
          </cell>
          <cell r="N3">
            <v>2.9340221233985657E-2</v>
          </cell>
          <cell r="O3">
            <v>3.8564242727722652E-2</v>
          </cell>
        </row>
        <row r="4">
          <cell r="C4" t="str">
            <v>US Treasuries, Long</v>
          </cell>
          <cell r="D4" t="str">
            <v>D-1</v>
          </cell>
          <cell r="E4" t="str">
            <v>AAA</v>
          </cell>
          <cell r="F4" t="str">
            <v>1A</v>
          </cell>
          <cell r="G4">
            <v>0</v>
          </cell>
          <cell r="H4">
            <v>22.130617000000001</v>
          </cell>
          <cell r="I4">
            <v>13.818760639976208</v>
          </cell>
          <cell r="J4">
            <v>4.8006310000000003E-2</v>
          </cell>
          <cell r="K4">
            <v>0</v>
          </cell>
          <cell r="L4">
            <v>4.8006310000000003E-2</v>
          </cell>
          <cell r="M4">
            <v>0.13566423809711498</v>
          </cell>
          <cell r="N4">
            <v>6.3556248091655693E-2</v>
          </cell>
          <cell r="O4">
            <v>8.5188645093293477E-2</v>
          </cell>
        </row>
        <row r="5">
          <cell r="C5" t="str">
            <v>US Taxable Munis</v>
          </cell>
          <cell r="D5" t="str">
            <v>D-1</v>
          </cell>
          <cell r="E5" t="str">
            <v>AA</v>
          </cell>
          <cell r="F5" t="str">
            <v>1C</v>
          </cell>
          <cell r="G5">
            <v>0</v>
          </cell>
          <cell r="H5">
            <v>13.29698</v>
          </cell>
          <cell r="I5">
            <v>10.586794105944223</v>
          </cell>
          <cell r="J5">
            <v>3.9570809999999998E-2</v>
          </cell>
          <cell r="K5">
            <v>1E-3</v>
          </cell>
          <cell r="L5">
            <v>3.8570809999999997E-2</v>
          </cell>
          <cell r="M5">
            <v>8.2107336556200172E-2</v>
          </cell>
          <cell r="N5">
            <v>2.4061432631205294E-2</v>
          </cell>
          <cell r="O5">
            <v>4.1475203808703759E-2</v>
          </cell>
        </row>
        <row r="6">
          <cell r="C6" t="str">
            <v>Global ex-US Government, hedged</v>
          </cell>
          <cell r="D6" t="str">
            <v>D-1</v>
          </cell>
          <cell r="E6" t="str">
            <v>AA</v>
          </cell>
          <cell r="F6" t="str">
            <v>1C</v>
          </cell>
          <cell r="G6">
            <v>4.1999999999999997E-3</v>
          </cell>
          <cell r="H6">
            <v>9.7358790000000006</v>
          </cell>
          <cell r="I6">
            <v>8.3129217878570287</v>
          </cell>
          <cell r="J6">
            <v>3.06664E-2</v>
          </cell>
          <cell r="K6">
            <v>1E-3</v>
          </cell>
          <cell r="L6">
            <v>2.9666399999999999E-2</v>
          </cell>
          <cell r="M6">
            <v>3.9860723031264055E-2</v>
          </cell>
          <cell r="N6">
            <v>4.2435563866043489E-2</v>
          </cell>
          <cell r="O6">
            <v>4.1663111615609656E-2</v>
          </cell>
        </row>
        <row r="7">
          <cell r="C7" t="str">
            <v>US Public Corporates IG AAA</v>
          </cell>
          <cell r="D7" t="str">
            <v>D-1</v>
          </cell>
          <cell r="E7" t="str">
            <v>AAA</v>
          </cell>
          <cell r="F7" t="str">
            <v>1A</v>
          </cell>
          <cell r="G7">
            <v>1.6000000000000001E-3</v>
          </cell>
          <cell r="H7">
            <v>5.4466669999999997</v>
          </cell>
          <cell r="I7">
            <v>4.9646858541070547</v>
          </cell>
          <cell r="J7">
            <v>4.2274459999999993E-2</v>
          </cell>
          <cell r="K7">
            <v>0</v>
          </cell>
          <cell r="L7">
            <v>4.2274459999999993E-2</v>
          </cell>
          <cell r="M7">
            <v>4.451469923591464E-2</v>
          </cell>
          <cell r="N7">
            <v>2.2942245117502456E-2</v>
          </cell>
          <cell r="O7">
            <v>2.9413981353026107E-2</v>
          </cell>
        </row>
        <row r="8">
          <cell r="C8" t="str">
            <v>US Public Corporates IG AA</v>
          </cell>
          <cell r="D8" t="str">
            <v>D-1</v>
          </cell>
          <cell r="E8" t="str">
            <v>AA</v>
          </cell>
          <cell r="F8" t="str">
            <v>1C</v>
          </cell>
          <cell r="G8">
            <v>4.1999999999999997E-3</v>
          </cell>
          <cell r="H8">
            <v>7.813707</v>
          </cell>
          <cell r="I8">
            <v>6.8397377394723433</v>
          </cell>
          <cell r="J8">
            <v>4.3566750000000001E-2</v>
          </cell>
          <cell r="K8">
            <v>1E-3</v>
          </cell>
          <cell r="L8">
            <v>4.256675E-2</v>
          </cell>
          <cell r="M8">
            <v>5.4802573589797503E-2</v>
          </cell>
          <cell r="N8">
            <v>2.4502383719954141E-2</v>
          </cell>
          <cell r="O8">
            <v>3.3592440680907151E-2</v>
          </cell>
        </row>
        <row r="9">
          <cell r="C9" t="str">
            <v>US Public Corporates IG A</v>
          </cell>
          <cell r="D9" t="str">
            <v>D-1</v>
          </cell>
          <cell r="E9" t="str">
            <v>A</v>
          </cell>
          <cell r="F9" t="str">
            <v>1F</v>
          </cell>
          <cell r="G9">
            <v>8.2000000000000007E-3</v>
          </cell>
          <cell r="H9">
            <v>10.287673</v>
          </cell>
          <cell r="I9">
            <v>8.3414786592650429</v>
          </cell>
          <cell r="J9">
            <v>4.8731650000000001E-2</v>
          </cell>
          <cell r="K9">
            <v>7.000000000000001E-4</v>
          </cell>
          <cell r="L9">
            <v>4.8031650000000002E-2</v>
          </cell>
          <cell r="M9">
            <v>6.2742012673721509E-2</v>
          </cell>
          <cell r="N9">
            <v>2.8169740304252306E-2</v>
          </cell>
          <cell r="O9">
            <v>3.8541422015093071E-2</v>
          </cell>
        </row>
        <row r="10">
          <cell r="C10" t="str">
            <v>US Public Corporates IG BBB</v>
          </cell>
          <cell r="D10" t="str">
            <v>D-1</v>
          </cell>
          <cell r="E10" t="str">
            <v>BBB</v>
          </cell>
          <cell r="F10" t="str">
            <v>2B</v>
          </cell>
          <cell r="G10">
            <v>1.52E-2</v>
          </cell>
          <cell r="H10">
            <v>10.474636</v>
          </cell>
          <cell r="I10">
            <v>8.2171708865819753</v>
          </cell>
          <cell r="J10">
            <v>5.2118029999999996E-2</v>
          </cell>
          <cell r="K10">
            <v>4.8999999999999998E-3</v>
          </cell>
          <cell r="L10">
            <v>4.7218029999999994E-2</v>
          </cell>
          <cell r="M10">
            <v>7.2250406868455186E-2</v>
          </cell>
          <cell r="N10">
            <v>3.2019773508513621E-2</v>
          </cell>
          <cell r="O10">
            <v>4.4088963516496091E-2</v>
          </cell>
        </row>
        <row r="11">
          <cell r="C11" t="str">
            <v>US Public Corporates, HY Intermediate</v>
          </cell>
          <cell r="D11" t="str">
            <v>D-1</v>
          </cell>
          <cell r="E11" t="str">
            <v>BB–</v>
          </cell>
          <cell r="F11" t="str">
            <v>3C</v>
          </cell>
          <cell r="G11">
            <v>6.0199999999999997E-2</v>
          </cell>
          <cell r="H11">
            <v>4.5007529999999996</v>
          </cell>
          <cell r="I11">
            <v>3.9338110115775913</v>
          </cell>
          <cell r="J11">
            <v>7.0441839999999992E-2</v>
          </cell>
          <cell r="K11">
            <v>6.7121951219512197E-3</v>
          </cell>
          <cell r="L11">
            <v>6.3729644878048775E-2</v>
          </cell>
          <cell r="M11">
            <v>0.12462091630490539</v>
          </cell>
          <cell r="N11">
            <v>0.12804464663255458</v>
          </cell>
          <cell r="O11">
            <v>0.12701752753425982</v>
          </cell>
        </row>
        <row r="12">
          <cell r="C12" t="str">
            <v>US Public Corporates, HY Long</v>
          </cell>
          <cell r="D12" t="str">
            <v>D-1</v>
          </cell>
          <cell r="E12" t="str">
            <v>BB–</v>
          </cell>
          <cell r="F12" t="str">
            <v>3C</v>
          </cell>
          <cell r="G12">
            <v>6.0199999999999997E-2</v>
          </cell>
          <cell r="H12">
            <v>16.344062999999998</v>
          </cell>
          <cell r="I12">
            <v>9.5116975212047663</v>
          </cell>
          <cell r="J12">
            <v>7.8691419999999998E-2</v>
          </cell>
          <cell r="K12">
            <v>6.7121951219512197E-3</v>
          </cell>
          <cell r="L12">
            <v>7.1979224878048781E-2</v>
          </cell>
          <cell r="M12">
            <v>0.18040589685072708</v>
          </cell>
          <cell r="N12">
            <v>8.9359638512840761E-2</v>
          </cell>
          <cell r="O12">
            <v>0.11667351601420665</v>
          </cell>
        </row>
        <row r="13">
          <cell r="C13" t="str">
            <v>Global ex-US Corporates, hedged</v>
          </cell>
          <cell r="D13" t="str">
            <v>D-1</v>
          </cell>
          <cell r="E13" t="str">
            <v>A</v>
          </cell>
          <cell r="F13" t="str">
            <v>1F</v>
          </cell>
          <cell r="G13">
            <v>8.2000000000000007E-3</v>
          </cell>
          <cell r="H13">
            <v>6.9603400000000004</v>
          </cell>
          <cell r="I13">
            <v>6.1889832358874335</v>
          </cell>
          <cell r="J13">
            <v>3.9210250000000002E-2</v>
          </cell>
          <cell r="K13">
            <v>7.000000000000001E-4</v>
          </cell>
          <cell r="L13">
            <v>3.8510250000000003E-2</v>
          </cell>
          <cell r="M13">
            <v>5.9889059527831502E-2</v>
          </cell>
          <cell r="N13">
            <v>1.1198991337781239E-2</v>
          </cell>
          <cell r="O13">
            <v>2.5806011794796316E-2</v>
          </cell>
        </row>
        <row r="14">
          <cell r="C14" t="str">
            <v>Residential Mortgage-Backed Securities</v>
          </cell>
          <cell r="D14" t="str">
            <v>D-1</v>
          </cell>
          <cell r="E14" t="str">
            <v>AA</v>
          </cell>
          <cell r="F14" t="str">
            <v>1C</v>
          </cell>
          <cell r="G14">
            <v>0</v>
          </cell>
          <cell r="H14">
            <v>7.7926409999999997</v>
          </cell>
          <cell r="I14">
            <v>6.7064565111538013</v>
          </cell>
          <cell r="J14">
            <v>4.9308810000000002E-2</v>
          </cell>
          <cell r="K14">
            <v>1E-3</v>
          </cell>
          <cell r="L14">
            <v>4.8308810000000001E-2</v>
          </cell>
          <cell r="M14">
            <v>8.1546210531097146E-2</v>
          </cell>
          <cell r="N14">
            <v>3.0900586048502696E-2</v>
          </cell>
          <cell r="O14">
            <v>4.6094273393281024E-2</v>
          </cell>
        </row>
        <row r="15">
          <cell r="C15" t="str">
            <v>Commercial Mortgage-Backed Securities</v>
          </cell>
          <cell r="D15" t="str">
            <v>D-1</v>
          </cell>
          <cell r="E15" t="str">
            <v>AA</v>
          </cell>
          <cell r="F15" t="str">
            <v>1C</v>
          </cell>
          <cell r="G15">
            <v>0</v>
          </cell>
          <cell r="H15">
            <v>4.4344999999999999</v>
          </cell>
          <cell r="I15">
            <v>4.1086900210423067</v>
          </cell>
          <cell r="J15">
            <v>4.6924659999999993E-2</v>
          </cell>
          <cell r="K15">
            <v>1E-3</v>
          </cell>
          <cell r="L15">
            <v>4.5924659999999992E-2</v>
          </cell>
          <cell r="M15">
            <v>7.7367661849708572E-2</v>
          </cell>
          <cell r="N15">
            <v>3.6850155664812825E-2</v>
          </cell>
          <cell r="O15">
            <v>4.9005407520281548E-2</v>
          </cell>
        </row>
        <row r="16">
          <cell r="C16" t="str">
            <v>Asset-Backed Securities</v>
          </cell>
          <cell r="D16" t="str">
            <v>D-1</v>
          </cell>
          <cell r="E16" t="str">
            <v>AA</v>
          </cell>
          <cell r="F16" t="str">
            <v>1C</v>
          </cell>
          <cell r="G16">
            <v>4.1999999999999997E-3</v>
          </cell>
          <cell r="H16">
            <v>3.5722619999999998</v>
          </cell>
          <cell r="I16">
            <v>3.2815588370748707</v>
          </cell>
          <cell r="J16">
            <v>4.4074989999999994E-2</v>
          </cell>
          <cell r="K16">
            <v>1E-3</v>
          </cell>
          <cell r="L16">
            <v>4.3074989999999994E-2</v>
          </cell>
          <cell r="M16">
            <v>5.8158040943127959E-2</v>
          </cell>
          <cell r="N16">
            <v>5.4924579308506409E-2</v>
          </cell>
          <cell r="O16">
            <v>5.5894617798892876E-2</v>
          </cell>
        </row>
        <row r="17">
          <cell r="C17" t="str">
            <v>Corporate IG Private Placement A</v>
          </cell>
          <cell r="D17" t="str">
            <v>D-1</v>
          </cell>
          <cell r="E17" t="str">
            <v>A</v>
          </cell>
          <cell r="F17" t="str">
            <v>1F</v>
          </cell>
          <cell r="G17">
            <v>8.2000000000000007E-3</v>
          </cell>
          <cell r="H17">
            <v>10.287673</v>
          </cell>
          <cell r="I17">
            <v>8.1053679226380968</v>
          </cell>
          <cell r="J17">
            <v>5.523231E-2</v>
          </cell>
          <cell r="K17">
            <v>7.000000000000001E-4</v>
          </cell>
          <cell r="L17">
            <v>5.4532310000000001E-2</v>
          </cell>
          <cell r="M17">
            <v>5.3405781068932762E-2</v>
          </cell>
          <cell r="N17">
            <v>2.7835774911701208E-2</v>
          </cell>
          <cell r="O17">
            <v>3.5506776758870678E-2</v>
          </cell>
        </row>
        <row r="18">
          <cell r="C18" t="str">
            <v>Corporate IG Private Placement BBB</v>
          </cell>
          <cell r="D18" t="str">
            <v>D-1</v>
          </cell>
          <cell r="E18" t="str">
            <v>BBB</v>
          </cell>
          <cell r="F18" t="str">
            <v>2B</v>
          </cell>
          <cell r="G18">
            <v>1.52E-2</v>
          </cell>
          <cell r="H18">
            <v>10.474636</v>
          </cell>
          <cell r="I18">
            <v>7.9927807681872469</v>
          </cell>
          <cell r="J18">
            <v>5.8436709999999996E-2</v>
          </cell>
          <cell r="K18">
            <v>4.8999999999999998E-3</v>
          </cell>
          <cell r="L18">
            <v>5.3536709999999994E-2</v>
          </cell>
          <cell r="M18">
            <v>5.7037288149570778E-2</v>
          </cell>
          <cell r="N18">
            <v>3.2043871962616564E-2</v>
          </cell>
          <cell r="O18">
            <v>3.9541896818702828E-2</v>
          </cell>
        </row>
        <row r="19">
          <cell r="C19" t="str">
            <v>Corporate HY Private (Leveraged Loans)</v>
          </cell>
          <cell r="D19" t="str">
            <v>D-1</v>
          </cell>
          <cell r="E19" t="str">
            <v>B+</v>
          </cell>
          <cell r="F19" t="str">
            <v>4A</v>
          </cell>
          <cell r="G19">
            <v>7.3899999999999993E-2</v>
          </cell>
          <cell r="H19">
            <v>4.715166</v>
          </cell>
          <cell r="I19">
            <v>3.8670080655810657</v>
          </cell>
          <cell r="J19">
            <v>7.9908560000000003E-2</v>
          </cell>
          <cell r="K19">
            <v>2.4160975609756094E-2</v>
          </cell>
          <cell r="L19">
            <v>5.5747584390243909E-2</v>
          </cell>
          <cell r="M19">
            <v>0.14432471748058168</v>
          </cell>
          <cell r="N19">
            <v>8.9359638512840761E-2</v>
          </cell>
          <cell r="O19">
            <v>0.10584916220316304</v>
          </cell>
        </row>
        <row r="20">
          <cell r="C20" t="str">
            <v>Residential Mortgage Whole Loans</v>
          </cell>
          <cell r="D20" t="str">
            <v>B</v>
          </cell>
          <cell r="E20" t="str">
            <v>AA</v>
          </cell>
          <cell r="F20" t="str">
            <v>1C</v>
          </cell>
          <cell r="G20">
            <v>6.8000000000000005E-3</v>
          </cell>
          <cell r="H20">
            <v>7.7222470000000003</v>
          </cell>
          <cell r="I20">
            <v>6.3666743917403208</v>
          </cell>
          <cell r="J20">
            <v>4.8954639999999994E-2</v>
          </cell>
          <cell r="K20">
            <v>1E-3</v>
          </cell>
          <cell r="L20">
            <v>4.7954639999999993E-2</v>
          </cell>
          <cell r="M20">
            <v>2.8552444354448207E-2</v>
          </cell>
          <cell r="N20">
            <v>3.0900586048502696E-2</v>
          </cell>
          <cell r="O20">
            <v>3.0196143540286345E-2</v>
          </cell>
        </row>
        <row r="21">
          <cell r="C21" t="str">
            <v>Commercial Mortgage Whole Loans</v>
          </cell>
          <cell r="D21" t="str">
            <v>B</v>
          </cell>
          <cell r="E21" t="str">
            <v>AAA</v>
          </cell>
          <cell r="F21" t="str">
            <v>1A</v>
          </cell>
          <cell r="G21">
            <v>9.0000000000000011E-3</v>
          </cell>
          <cell r="H21">
            <v>4.4085919999999996</v>
          </cell>
          <cell r="I21">
            <v>4.1037512305205741</v>
          </cell>
          <cell r="J21">
            <v>4.756515E-2</v>
          </cell>
          <cell r="K21">
            <v>0</v>
          </cell>
          <cell r="L21">
            <v>4.756515E-2</v>
          </cell>
          <cell r="M21">
            <v>0.13147671067656097</v>
          </cell>
          <cell r="N21">
            <v>6.6165563409512532E-2</v>
          </cell>
          <cell r="O21">
            <v>8.5758907589627065E-2</v>
          </cell>
        </row>
        <row r="22">
          <cell r="C22" t="str">
            <v>Private Equity</v>
          </cell>
          <cell r="D22" t="str">
            <v>BA</v>
          </cell>
          <cell r="E22" t="str">
            <v>-</v>
          </cell>
          <cell r="F22" t="str">
            <v>-</v>
          </cell>
          <cell r="G22">
            <v>0.3</v>
          </cell>
        </row>
        <row r="23">
          <cell r="C23" t="str">
            <v>Real Estate (via partnerships, equity)</v>
          </cell>
          <cell r="D23" t="str">
            <v>BA</v>
          </cell>
          <cell r="E23" t="str">
            <v>-</v>
          </cell>
          <cell r="F23" t="str">
            <v>-</v>
          </cell>
          <cell r="G23">
            <v>0.3</v>
          </cell>
        </row>
      </sheetData>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 Universe"/>
      <sheetName val="Regulation"/>
      <sheetName val="Corr matrix"/>
      <sheetName val="Cov matrix"/>
    </sheetNames>
    <sheetDataSet>
      <sheetData sheetId="0" refreshError="1"/>
      <sheetData sheetId="1">
        <row r="6">
          <cell r="C6" t="str">
            <v>AAA</v>
          </cell>
          <cell r="D6">
            <v>1</v>
          </cell>
          <cell r="E6" t="str">
            <v>1A</v>
          </cell>
          <cell r="F6">
            <v>1.6000000000000001E-3</v>
          </cell>
          <cell r="N6">
            <v>6.8000000000000005E-3</v>
          </cell>
        </row>
        <row r="7">
          <cell r="C7" t="str">
            <v>AA+</v>
          </cell>
          <cell r="D7">
            <v>1</v>
          </cell>
          <cell r="E7" t="str">
            <v>1B</v>
          </cell>
          <cell r="F7">
            <v>2.7000000000000001E-3</v>
          </cell>
        </row>
        <row r="8">
          <cell r="C8" t="str">
            <v>AA</v>
          </cell>
          <cell r="D8">
            <v>1</v>
          </cell>
          <cell r="E8" t="str">
            <v>1C</v>
          </cell>
          <cell r="F8">
            <v>4.1999999999999997E-3</v>
          </cell>
        </row>
        <row r="9">
          <cell r="C9" t="str">
            <v>AA–</v>
          </cell>
          <cell r="D9">
            <v>1</v>
          </cell>
          <cell r="E9" t="str">
            <v>1D</v>
          </cell>
          <cell r="F9">
            <v>5.1999999999999998E-3</v>
          </cell>
        </row>
        <row r="10">
          <cell r="C10" t="str">
            <v>A+</v>
          </cell>
          <cell r="D10">
            <v>1</v>
          </cell>
          <cell r="E10" t="str">
            <v>1E</v>
          </cell>
          <cell r="F10">
            <v>6.6E-3</v>
          </cell>
        </row>
        <row r="11">
          <cell r="C11" t="str">
            <v>A</v>
          </cell>
          <cell r="D11">
            <v>1</v>
          </cell>
          <cell r="E11" t="str">
            <v>1F</v>
          </cell>
          <cell r="F11">
            <v>8.2000000000000007E-3</v>
          </cell>
        </row>
        <row r="12">
          <cell r="C12" t="str">
            <v>A–</v>
          </cell>
          <cell r="D12">
            <v>1</v>
          </cell>
          <cell r="E12" t="str">
            <v>1G</v>
          </cell>
          <cell r="F12">
            <v>1.0200000000000001E-2</v>
          </cell>
          <cell r="M12">
            <v>9.0000000000000011E-3</v>
          </cell>
        </row>
        <row r="13">
          <cell r="C13" t="str">
            <v>BBB+</v>
          </cell>
          <cell r="D13">
            <v>2</v>
          </cell>
          <cell r="E13" t="str">
            <v>2A</v>
          </cell>
          <cell r="F13">
            <v>1.26E-2</v>
          </cell>
        </row>
        <row r="14">
          <cell r="C14" t="str">
            <v>BBB</v>
          </cell>
          <cell r="D14">
            <v>2</v>
          </cell>
          <cell r="E14" t="str">
            <v>2B</v>
          </cell>
          <cell r="F14">
            <v>1.52E-2</v>
          </cell>
        </row>
        <row r="15">
          <cell r="C15" t="str">
            <v>BBB–</v>
          </cell>
          <cell r="D15">
            <v>2</v>
          </cell>
          <cell r="E15" t="str">
            <v>2C</v>
          </cell>
          <cell r="F15">
            <v>2.1700000000000001E-2</v>
          </cell>
        </row>
        <row r="16">
          <cell r="C16" t="str">
            <v>BB+</v>
          </cell>
          <cell r="D16">
            <v>3</v>
          </cell>
          <cell r="E16" t="str">
            <v>3A</v>
          </cell>
          <cell r="F16">
            <v>3.15E-2</v>
          </cell>
        </row>
        <row r="17">
          <cell r="C17" t="str">
            <v>BB</v>
          </cell>
          <cell r="D17">
            <v>3</v>
          </cell>
          <cell r="E17" t="str">
            <v>3B</v>
          </cell>
          <cell r="F17">
            <v>4.5400000000000003E-2</v>
          </cell>
        </row>
        <row r="18">
          <cell r="C18" t="str">
            <v>BB–</v>
          </cell>
          <cell r="D18">
            <v>3</v>
          </cell>
          <cell r="E18" t="str">
            <v>3C</v>
          </cell>
          <cell r="F18">
            <v>6.0199999999999997E-2</v>
          </cell>
        </row>
        <row r="19">
          <cell r="C19" t="str">
            <v>B+</v>
          </cell>
          <cell r="D19">
            <v>4</v>
          </cell>
          <cell r="E19" t="str">
            <v>4A</v>
          </cell>
          <cell r="F19">
            <v>7.3899999999999993E-2</v>
          </cell>
        </row>
        <row r="20">
          <cell r="C20" t="str">
            <v>B</v>
          </cell>
          <cell r="D20">
            <v>4</v>
          </cell>
          <cell r="E20" t="str">
            <v>4B</v>
          </cell>
          <cell r="F20">
            <v>9.5399999999999999E-2</v>
          </cell>
        </row>
        <row r="21">
          <cell r="C21" t="str">
            <v>B–</v>
          </cell>
          <cell r="D21">
            <v>4</v>
          </cell>
          <cell r="E21" t="str">
            <v>4C</v>
          </cell>
          <cell r="F21">
            <v>0.12429999999999999</v>
          </cell>
        </row>
        <row r="22">
          <cell r="C22" t="str">
            <v>CCC+</v>
          </cell>
          <cell r="D22">
            <v>5</v>
          </cell>
          <cell r="E22" t="str">
            <v>5A</v>
          </cell>
          <cell r="F22">
            <v>0.1694</v>
          </cell>
        </row>
        <row r="23">
          <cell r="C23" t="str">
            <v>CCC</v>
          </cell>
          <cell r="D23">
            <v>5</v>
          </cell>
          <cell r="E23" t="str">
            <v>5B</v>
          </cell>
          <cell r="F23">
            <v>0.23799999999999999</v>
          </cell>
        </row>
        <row r="24">
          <cell r="C24" t="str">
            <v>CCC–</v>
          </cell>
          <cell r="D24">
            <v>5</v>
          </cell>
          <cell r="E24" t="str">
            <v>5C</v>
          </cell>
          <cell r="F24">
            <v>0.3</v>
          </cell>
        </row>
        <row r="25">
          <cell r="C25" t="str">
            <v>CC</v>
          </cell>
          <cell r="D25">
            <v>6</v>
          </cell>
          <cell r="E25">
            <v>6</v>
          </cell>
          <cell r="F25">
            <v>0.3</v>
          </cell>
        </row>
      </sheetData>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utput"/>
      <sheetName val="test"/>
      <sheetName val="Stdev vs RMSE"/>
      <sheetName val="Return vs Starting Yield"/>
      <sheetName val="Time Diversification"/>
      <sheetName val="EU FX Effect"/>
      <sheetName val="Cash"/>
      <sheetName val="level"/>
      <sheetName val="YTW"/>
      <sheetName val="matur"/>
      <sheetName val="US"/>
      <sheetName val="Foreign"/>
      <sheetName val="Macro"/>
      <sheetName val="Currency"/>
      <sheetName val="Credit Loss Rates"/>
    </sheetNames>
    <sheetDataSet>
      <sheetData sheetId="0">
        <row r="21">
          <cell r="B21" t="str">
            <v>US Treasuries, Short/Intermediate</v>
          </cell>
          <cell r="C21" t="str">
            <v>AAA</v>
          </cell>
          <cell r="D21">
            <v>3.8328069999999999E-2</v>
          </cell>
          <cell r="E21">
            <v>0</v>
          </cell>
          <cell r="F21">
            <v>3.8328069999999999E-2</v>
          </cell>
          <cell r="G21">
            <v>4.0341360000000002</v>
          </cell>
          <cell r="H21">
            <v>7.4928388689000531</v>
          </cell>
          <cell r="I21">
            <v>2.9340221233985657E-2</v>
          </cell>
          <cell r="J21">
            <v>6.008695954644231E-2</v>
          </cell>
          <cell r="K21">
            <v>3.8564242727722652E-2</v>
          </cell>
        </row>
        <row r="22">
          <cell r="B22" t="str">
            <v>US Treasuries, Long</v>
          </cell>
          <cell r="C22" t="str">
            <v>AAA</v>
          </cell>
          <cell r="D22">
            <v>4.8006310000000003E-2</v>
          </cell>
          <cell r="E22">
            <v>0</v>
          </cell>
          <cell r="F22">
            <v>4.8006310000000003E-2</v>
          </cell>
          <cell r="G22">
            <v>22.130617000000001</v>
          </cell>
          <cell r="H22">
            <v>27.637521279952416</v>
          </cell>
          <cell r="I22">
            <v>6.3556248091655693E-2</v>
          </cell>
          <cell r="J22">
            <v>0.13566423809711498</v>
          </cell>
          <cell r="K22">
            <v>8.5188645093293477E-2</v>
          </cell>
        </row>
        <row r="23">
          <cell r="B23" t="str">
            <v>US Taxable Munis</v>
          </cell>
          <cell r="C23" t="str">
            <v>AA</v>
          </cell>
          <cell r="D23">
            <v>3.9570809999999998E-2</v>
          </cell>
          <cell r="E23">
            <v>1E-3</v>
          </cell>
          <cell r="F23">
            <v>3.8570809999999997E-2</v>
          </cell>
          <cell r="G23">
            <v>13.29698</v>
          </cell>
          <cell r="H23">
            <v>21.173588211888447</v>
          </cell>
          <cell r="I23">
            <v>2.4061432631205294E-2</v>
          </cell>
          <cell r="J23">
            <v>8.2107336556200172E-2</v>
          </cell>
          <cell r="K23">
            <v>4.1475203808703759E-2</v>
          </cell>
        </row>
        <row r="24">
          <cell r="B24" t="str">
            <v>Global ex-US Government, hedged</v>
          </cell>
          <cell r="C24" t="str">
            <v>AA</v>
          </cell>
          <cell r="D24">
            <v>3.06664E-2</v>
          </cell>
          <cell r="E24">
            <v>1E-3</v>
          </cell>
          <cell r="F24">
            <v>2.9666399999999999E-2</v>
          </cell>
          <cell r="G24">
            <v>9.7358790000000006</v>
          </cell>
          <cell r="H24">
            <v>16.625843575714057</v>
          </cell>
          <cell r="I24">
            <v>4.2435563866043489E-2</v>
          </cell>
          <cell r="J24">
            <v>3.9860723031264055E-2</v>
          </cell>
          <cell r="K24">
            <v>4.1663111615609656E-2</v>
          </cell>
        </row>
        <row r="25">
          <cell r="B25" t="str">
            <v>US Public Corporates IG AAA</v>
          </cell>
          <cell r="C25" t="str">
            <v>AAA</v>
          </cell>
          <cell r="D25">
            <v>4.2274459999999993E-2</v>
          </cell>
          <cell r="E25">
            <v>0</v>
          </cell>
          <cell r="F25">
            <v>4.2274459999999993E-2</v>
          </cell>
          <cell r="G25">
            <v>5.4466669999999997</v>
          </cell>
          <cell r="H25">
            <v>9.9293717082141093</v>
          </cell>
          <cell r="I25">
            <v>2.2942245117502456E-2</v>
          </cell>
          <cell r="J25">
            <v>4.451469923591464E-2</v>
          </cell>
          <cell r="K25">
            <v>2.9413981353026107E-2</v>
          </cell>
        </row>
        <row r="26">
          <cell r="B26" t="str">
            <v>US Public Corporates IG AA</v>
          </cell>
          <cell r="C26" t="str">
            <v>AA</v>
          </cell>
          <cell r="D26">
            <v>4.3566750000000001E-2</v>
          </cell>
          <cell r="E26">
            <v>1E-3</v>
          </cell>
          <cell r="F26">
            <v>4.256675E-2</v>
          </cell>
          <cell r="G26">
            <v>7.813707</v>
          </cell>
          <cell r="H26">
            <v>13.679475478944687</v>
          </cell>
          <cell r="I26">
            <v>2.4502383719954141E-2</v>
          </cell>
          <cell r="J26">
            <v>5.4802573589797503E-2</v>
          </cell>
          <cell r="K26">
            <v>3.3592440680907151E-2</v>
          </cell>
        </row>
        <row r="27">
          <cell r="B27" t="str">
            <v>US Public Corporates IG A</v>
          </cell>
          <cell r="C27" t="str">
            <v>A</v>
          </cell>
          <cell r="D27">
            <v>4.8731650000000001E-2</v>
          </cell>
          <cell r="E27">
            <v>7.000000000000001E-4</v>
          </cell>
          <cell r="F27">
            <v>4.8031650000000002E-2</v>
          </cell>
          <cell r="G27">
            <v>10.287673</v>
          </cell>
          <cell r="H27">
            <v>16.682957318530086</v>
          </cell>
          <cell r="I27">
            <v>2.8169740304252306E-2</v>
          </cell>
          <cell r="J27">
            <v>6.2742012673721509E-2</v>
          </cell>
          <cell r="K27">
            <v>3.8541422015093071E-2</v>
          </cell>
        </row>
        <row r="28">
          <cell r="B28" t="str">
            <v>US Public Corporates IG BBB</v>
          </cell>
          <cell r="C28" t="str">
            <v>BBB</v>
          </cell>
          <cell r="D28">
            <v>5.2118029999999996E-2</v>
          </cell>
          <cell r="E28">
            <v>4.8999999999999998E-3</v>
          </cell>
          <cell r="F28">
            <v>4.7218029999999994E-2</v>
          </cell>
          <cell r="G28">
            <v>10.474636</v>
          </cell>
          <cell r="H28">
            <v>16.434341773163951</v>
          </cell>
          <cell r="I28">
            <v>3.2019773508513621E-2</v>
          </cell>
          <cell r="J28">
            <v>7.2250406868455186E-2</v>
          </cell>
          <cell r="K28">
            <v>4.4088963516496091E-2</v>
          </cell>
        </row>
        <row r="29">
          <cell r="B29" t="str">
            <v>US Public Corporates, HY Intermediate</v>
          </cell>
          <cell r="C29" t="str">
            <v>BB–</v>
          </cell>
          <cell r="D29">
            <v>7.0441839999999992E-2</v>
          </cell>
          <cell r="E29">
            <v>6.7121951219512197E-3</v>
          </cell>
          <cell r="F29">
            <v>6.3729644878048775E-2</v>
          </cell>
          <cell r="G29">
            <v>4.5007529999999996</v>
          </cell>
          <cell r="H29">
            <v>7.8676220231551826</v>
          </cell>
          <cell r="I29">
            <v>0.12804464663255458</v>
          </cell>
          <cell r="J29">
            <v>0.12462091630490539</v>
          </cell>
          <cell r="K29">
            <v>0.12701752753425982</v>
          </cell>
        </row>
        <row r="30">
          <cell r="B30" t="str">
            <v>US Public Corporates, HY Long</v>
          </cell>
          <cell r="C30" t="str">
            <v>BB–</v>
          </cell>
          <cell r="D30">
            <v>7.8691419999999998E-2</v>
          </cell>
          <cell r="E30">
            <v>6.7121951219512197E-3</v>
          </cell>
          <cell r="F30">
            <v>7.1979224878048781E-2</v>
          </cell>
          <cell r="G30">
            <v>16.344062999999998</v>
          </cell>
          <cell r="H30">
            <v>19.023395042409533</v>
          </cell>
          <cell r="I30">
            <v>8.9359638512840761E-2</v>
          </cell>
          <cell r="J30">
            <v>0.18040589685072708</v>
          </cell>
          <cell r="K30">
            <v>0.11667351601420665</v>
          </cell>
        </row>
        <row r="31">
          <cell r="B31" t="str">
            <v>Global ex-US Corporates, hedged</v>
          </cell>
          <cell r="C31" t="str">
            <v>A</v>
          </cell>
          <cell r="D31">
            <v>3.9210250000000002E-2</v>
          </cell>
          <cell r="E31">
            <v>7.000000000000001E-4</v>
          </cell>
          <cell r="F31">
            <v>3.8510250000000003E-2</v>
          </cell>
          <cell r="G31">
            <v>6.9603400000000004</v>
          </cell>
          <cell r="H31">
            <v>12.377966471774867</v>
          </cell>
          <cell r="I31">
            <v>1.1198991337781239E-2</v>
          </cell>
          <cell r="J31">
            <v>5.9889059527831502E-2</v>
          </cell>
          <cell r="K31">
            <v>2.5806011794796316E-2</v>
          </cell>
        </row>
        <row r="32">
          <cell r="B32" t="str">
            <v>Residential Mortgage-Backed Securities</v>
          </cell>
          <cell r="C32" t="str">
            <v>AA</v>
          </cell>
          <cell r="D32">
            <v>4.9308810000000002E-2</v>
          </cell>
          <cell r="E32">
            <v>1E-3</v>
          </cell>
          <cell r="F32">
            <v>4.8308810000000001E-2</v>
          </cell>
          <cell r="G32">
            <v>7.7926409999999997</v>
          </cell>
          <cell r="H32">
            <v>13.412913022307603</v>
          </cell>
          <cell r="I32">
            <v>3.0900586048502696E-2</v>
          </cell>
          <cell r="J32">
            <v>8.1546210531097146E-2</v>
          </cell>
          <cell r="K32">
            <v>4.6094273393281024E-2</v>
          </cell>
        </row>
        <row r="33">
          <cell r="B33" t="str">
            <v>Commercial Mortgage-Backed Securities</v>
          </cell>
          <cell r="C33" t="str">
            <v>AA</v>
          </cell>
          <cell r="D33">
            <v>4.6924659999999993E-2</v>
          </cell>
          <cell r="E33">
            <v>1E-3</v>
          </cell>
          <cell r="F33">
            <v>4.5924659999999992E-2</v>
          </cell>
          <cell r="G33">
            <v>4.4344999999999999</v>
          </cell>
          <cell r="H33">
            <v>8.2173800420846135</v>
          </cell>
          <cell r="I33">
            <v>3.6850155664812825E-2</v>
          </cell>
          <cell r="J33">
            <v>7.7367661849708572E-2</v>
          </cell>
          <cell r="K33">
            <v>4.9005407520281548E-2</v>
          </cell>
        </row>
        <row r="34">
          <cell r="B34" t="str">
            <v>Asset-Backed Securities</v>
          </cell>
          <cell r="C34" t="str">
            <v>AA</v>
          </cell>
          <cell r="D34">
            <v>4.4074989999999994E-2</v>
          </cell>
          <cell r="E34">
            <v>1E-3</v>
          </cell>
          <cell r="F34">
            <v>4.3074989999999994E-2</v>
          </cell>
          <cell r="G34">
            <v>3.5722619999999998</v>
          </cell>
          <cell r="H34">
            <v>6.5631176741497415</v>
          </cell>
          <cell r="I34">
            <v>5.4924579308506409E-2</v>
          </cell>
          <cell r="J34">
            <v>5.8158040943127959E-2</v>
          </cell>
          <cell r="K34">
            <v>5.5894617798892876E-2</v>
          </cell>
        </row>
        <row r="35">
          <cell r="B35" t="str">
            <v>Corporate IG Private Placement A</v>
          </cell>
          <cell r="C35" t="str">
            <v>A</v>
          </cell>
          <cell r="D35">
            <v>5.523231E-2</v>
          </cell>
          <cell r="E35">
            <v>7.000000000000001E-4</v>
          </cell>
          <cell r="F35">
            <v>5.4532310000000001E-2</v>
          </cell>
          <cell r="G35">
            <v>10.287673</v>
          </cell>
          <cell r="H35">
            <v>16.210735845276194</v>
          </cell>
          <cell r="I35">
            <v>2.7835774911701208E-2</v>
          </cell>
          <cell r="J35">
            <v>5.3405781068932762E-2</v>
          </cell>
          <cell r="K35">
            <v>3.5506776758870678E-2</v>
          </cell>
        </row>
        <row r="36">
          <cell r="B36" t="str">
            <v>Corporate IG Private Placement BBB</v>
          </cell>
          <cell r="C36" t="str">
            <v>BBB</v>
          </cell>
          <cell r="D36">
            <v>5.8436709999999996E-2</v>
          </cell>
          <cell r="E36">
            <v>4.8999999999999998E-3</v>
          </cell>
          <cell r="F36">
            <v>5.3536709999999994E-2</v>
          </cell>
          <cell r="G36">
            <v>10.474636</v>
          </cell>
          <cell r="H36">
            <v>15.985561536374494</v>
          </cell>
          <cell r="I36">
            <v>3.2043871962616564E-2</v>
          </cell>
          <cell r="J36">
            <v>5.7037288149570778E-2</v>
          </cell>
          <cell r="K36">
            <v>3.9541896818702828E-2</v>
          </cell>
        </row>
        <row r="37">
          <cell r="B37" t="str">
            <v>Corporate HY Private (Leveraged Loans)</v>
          </cell>
          <cell r="C37" t="str">
            <v>B+</v>
          </cell>
          <cell r="D37">
            <v>7.9908560000000003E-2</v>
          </cell>
          <cell r="E37">
            <v>2.4160975609756094E-2</v>
          </cell>
          <cell r="F37">
            <v>5.5747584390243909E-2</v>
          </cell>
          <cell r="G37">
            <v>4.715166</v>
          </cell>
          <cell r="H37">
            <v>7.7340161311621314</v>
          </cell>
          <cell r="I37">
            <v>8.9359638512840761E-2</v>
          </cell>
          <cell r="J37">
            <v>0.14432471748058168</v>
          </cell>
          <cell r="K37">
            <v>0.10584916220316304</v>
          </cell>
        </row>
        <row r="38">
          <cell r="B38" t="str">
            <v>Residential Mortgage Whole Loans</v>
          </cell>
          <cell r="C38" t="str">
            <v>AA</v>
          </cell>
          <cell r="D38">
            <v>4.8954639999999994E-2</v>
          </cell>
          <cell r="E38">
            <v>1E-3</v>
          </cell>
          <cell r="F38">
            <v>4.7954639999999993E-2</v>
          </cell>
          <cell r="G38">
            <v>7.7222470000000003</v>
          </cell>
          <cell r="H38">
            <v>12.733348783480642</v>
          </cell>
          <cell r="I38">
            <v>3.0900586048502696E-2</v>
          </cell>
          <cell r="J38">
            <v>2.8552444354448207E-2</v>
          </cell>
          <cell r="K38">
            <v>3.0196143540286345E-2</v>
          </cell>
        </row>
        <row r="39">
          <cell r="B39" t="str">
            <v>Commercial Mortgage Whole Loans</v>
          </cell>
          <cell r="C39" t="str">
            <v>AAA</v>
          </cell>
          <cell r="D39">
            <v>4.756515E-2</v>
          </cell>
          <cell r="E39">
            <v>0</v>
          </cell>
          <cell r="F39">
            <v>4.756515E-2</v>
          </cell>
          <cell r="G39">
            <v>4.4085919999999996</v>
          </cell>
          <cell r="H39">
            <v>8.2075024610411482</v>
          </cell>
          <cell r="I39">
            <v>6.6165563409512532E-2</v>
          </cell>
          <cell r="J39">
            <v>0.13147671067656097</v>
          </cell>
          <cell r="K39">
            <v>8.5758907589627065E-2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7"/>
  <sheetViews>
    <sheetView zoomScale="80" zoomScaleNormal="80" workbookViewId="0">
      <pane xSplit="1" ySplit="1" topLeftCell="B2" activePane="bottomRight" state="frozen"/>
      <selection pane="topRight" activeCell="B1" sqref="B1"/>
      <selection pane="bottomLeft" activeCell="A2" sqref="A2"/>
      <selection pane="bottomRight" activeCell="I2" sqref="I2"/>
    </sheetView>
  </sheetViews>
  <sheetFormatPr defaultRowHeight="14.5" x14ac:dyDescent="0.35"/>
  <cols>
    <col min="1" max="1" width="15" bestFit="1" customWidth="1"/>
    <col min="2" max="9" width="11.90625" customWidth="1"/>
    <col min="10" max="10" width="16.08984375" bestFit="1" customWidth="1"/>
    <col min="11" max="13" width="11.90625" customWidth="1"/>
    <col min="14" max="14" width="18.1796875" bestFit="1" customWidth="1"/>
  </cols>
  <sheetData>
    <row r="1" spans="1:15" x14ac:dyDescent="0.35">
      <c r="A1" s="4" t="s">
        <v>23</v>
      </c>
      <c r="B1" s="5" t="s">
        <v>0</v>
      </c>
      <c r="C1" s="5" t="s">
        <v>1</v>
      </c>
      <c r="D1" s="5" t="s">
        <v>2</v>
      </c>
      <c r="E1" s="5" t="s">
        <v>3</v>
      </c>
      <c r="F1" s="5" t="s">
        <v>4</v>
      </c>
      <c r="G1" s="5" t="s">
        <v>5</v>
      </c>
      <c r="H1" s="5" t="s">
        <v>6</v>
      </c>
      <c r="I1" s="5" t="s">
        <v>7</v>
      </c>
      <c r="J1" s="5" t="s">
        <v>8</v>
      </c>
      <c r="K1" s="5" t="s">
        <v>9</v>
      </c>
      <c r="L1" s="5" t="s">
        <v>10</v>
      </c>
      <c r="M1" s="5" t="s">
        <v>11</v>
      </c>
    </row>
    <row r="2" spans="1:15" x14ac:dyDescent="0.35">
      <c r="A2" s="3">
        <v>42035</v>
      </c>
      <c r="B2" s="2">
        <v>-2.418522181316619E-2</v>
      </c>
      <c r="C2" s="2">
        <v>8.6116494165101781E-2</v>
      </c>
      <c r="D2" s="2">
        <v>0.2074986164464955</v>
      </c>
      <c r="E2" s="2">
        <v>0.23616685626819611</v>
      </c>
      <c r="F2" s="2">
        <v>-7.2663995706278281E-2</v>
      </c>
      <c r="G2" s="2">
        <v>7.9694310640553379E-2</v>
      </c>
      <c r="H2" s="2">
        <v>2.148844036509159E-2</v>
      </c>
      <c r="I2" s="2">
        <v>-1.456396652597497E-2</v>
      </c>
      <c r="J2" s="2">
        <v>0.3672610165018721</v>
      </c>
      <c r="K2" s="2">
        <v>0.19249321637232661</v>
      </c>
      <c r="L2" s="2">
        <v>1.4901424590336981E-2</v>
      </c>
      <c r="M2" s="2">
        <v>0.1235271874327845</v>
      </c>
      <c r="N2" s="2" cm="1">
        <f t="array" ref="N2">SUMPRODUCT(1+B2:K2,$B$124:$K$124)-1</f>
        <v>0.12352718743278457</v>
      </c>
      <c r="O2" s="6"/>
    </row>
    <row r="3" spans="1:15" x14ac:dyDescent="0.35">
      <c r="A3" s="3">
        <v>42063</v>
      </c>
      <c r="B3" s="2">
        <v>-0.28067556798177862</v>
      </c>
      <c r="C3" s="2">
        <v>3.4776999829436571E-2</v>
      </c>
      <c r="D3" s="2">
        <v>0.2460299734952911</v>
      </c>
      <c r="E3" s="2">
        <v>4.6934343869159852E-2</v>
      </c>
      <c r="F3" s="2">
        <v>-0.36535198568753158</v>
      </c>
      <c r="G3" s="2">
        <v>-0.21425037915024719</v>
      </c>
      <c r="H3" s="2">
        <v>8.2871639073730963E-2</v>
      </c>
      <c r="I3" s="2">
        <v>-0.22069285012007969</v>
      </c>
      <c r="J3" s="2">
        <v>-3.9100388222056082E-2</v>
      </c>
      <c r="K3" s="2">
        <v>1.0555006784166701E-2</v>
      </c>
      <c r="L3" s="2">
        <v>-4.1479290351355393E-3</v>
      </c>
      <c r="M3" s="2">
        <v>-6.5941035636373463E-2</v>
      </c>
      <c r="N3" s="2" cm="1">
        <f t="array" ref="N3">SUMPRODUCT(1+B3:K3,$B$124:$K$124)-1</f>
        <v>-6.5941035636373324E-2</v>
      </c>
    </row>
    <row r="4" spans="1:15" x14ac:dyDescent="0.35">
      <c r="A4" s="3">
        <v>42094</v>
      </c>
      <c r="B4" s="2">
        <v>2.3830450670947821E-2</v>
      </c>
      <c r="C4" s="2">
        <v>0.1709689796738143</v>
      </c>
      <c r="D4" s="2">
        <v>-0.35956126115545101</v>
      </c>
      <c r="E4" s="2">
        <v>2.8738702206618009E-2</v>
      </c>
      <c r="F4" s="2">
        <v>0.16405904263582169</v>
      </c>
      <c r="G4" s="2">
        <v>1.034250626653283E-2</v>
      </c>
      <c r="H4" s="2">
        <v>0.39191469653833488</v>
      </c>
      <c r="I4" s="2">
        <v>-6.6888532098556899E-2</v>
      </c>
      <c r="J4" s="2">
        <v>0.1071268303494967</v>
      </c>
      <c r="K4" s="2">
        <v>0.2304273848832703</v>
      </c>
      <c r="L4" s="2">
        <v>1.943065614302077E-2</v>
      </c>
      <c r="M4" s="2">
        <v>7.6414285658553405E-2</v>
      </c>
      <c r="N4" s="2" cm="1">
        <f t="array" ref="N4">SUMPRODUCT(1+B4:K4,$B$124:$K$124)-1</f>
        <v>7.641428565855346E-2</v>
      </c>
    </row>
    <row r="5" spans="1:15" x14ac:dyDescent="0.35">
      <c r="A5" s="3">
        <v>42124</v>
      </c>
      <c r="B5" s="2">
        <v>6.9780484336096599E-2</v>
      </c>
      <c r="C5" s="2">
        <v>-0.36550467470705411</v>
      </c>
      <c r="D5" s="2">
        <v>6.9709890846788289E-2</v>
      </c>
      <c r="E5" s="2">
        <v>-9.7183048998210175E-2</v>
      </c>
      <c r="F5" s="2">
        <v>-0.25072272557641861</v>
      </c>
      <c r="G5" s="2">
        <v>1.6549517252346839E-3</v>
      </c>
      <c r="H5" s="2">
        <v>-0.10887453475602669</v>
      </c>
      <c r="I5" s="2">
        <v>-0.2791565987005965</v>
      </c>
      <c r="J5" s="2">
        <v>-0.11339788017292431</v>
      </c>
      <c r="K5" s="2">
        <v>-0.1884174976969922</v>
      </c>
      <c r="L5" s="2">
        <v>4.569089569224076E-2</v>
      </c>
      <c r="M5" s="2">
        <v>-0.1392940247566978</v>
      </c>
      <c r="N5" s="2" cm="1">
        <f t="array" ref="N5">SUMPRODUCT(1+B5:K5,$B$124:$K$124)-1</f>
        <v>-0.13929402475669772</v>
      </c>
    </row>
    <row r="6" spans="1:15" x14ac:dyDescent="0.35">
      <c r="A6" s="3">
        <v>42155</v>
      </c>
      <c r="B6" s="2">
        <v>7.7519962279541665E-2</v>
      </c>
      <c r="C6" s="2">
        <v>0.17079665724993351</v>
      </c>
      <c r="D6" s="2">
        <v>0.34484241472540222</v>
      </c>
      <c r="E6" s="2">
        <v>-0.1276944037163241</v>
      </c>
      <c r="F6" s="2">
        <v>0.40627342693195673</v>
      </c>
      <c r="G6" s="2">
        <v>-0.28154044268321921</v>
      </c>
      <c r="H6" s="2">
        <v>3.936419520138066E-2</v>
      </c>
      <c r="I6" s="2">
        <v>0.16668931731697931</v>
      </c>
      <c r="J6" s="2">
        <v>0.10348170404503269</v>
      </c>
      <c r="K6" s="2">
        <v>-4.0877661272450738E-2</v>
      </c>
      <c r="L6" s="2">
        <v>-7.0246012417000793E-3</v>
      </c>
      <c r="M6" s="2">
        <v>9.4203459005481729E-2</v>
      </c>
      <c r="N6" s="2" cm="1">
        <f t="array" ref="N6">SUMPRODUCT(1+B6:K6,$B$124:$K$124)-1</f>
        <v>9.4203459005481882E-2</v>
      </c>
    </row>
    <row r="7" spans="1:15" x14ac:dyDescent="0.35">
      <c r="A7" s="3">
        <v>42185</v>
      </c>
      <c r="B7" s="2">
        <v>0.20423395981105391</v>
      </c>
      <c r="C7" s="2">
        <v>0.17836960253269249</v>
      </c>
      <c r="D7" s="2">
        <v>0.17558767443684389</v>
      </c>
      <c r="E7" s="2">
        <v>0.36229990184702809</v>
      </c>
      <c r="F7" s="2">
        <v>0.31301518310246501</v>
      </c>
      <c r="G7" s="2">
        <v>0.15058120847297329</v>
      </c>
      <c r="H7" s="2">
        <v>0.36354643116749091</v>
      </c>
      <c r="I7" s="2">
        <v>0.31397369568605837</v>
      </c>
      <c r="J7" s="2">
        <v>0.3652313931327747</v>
      </c>
      <c r="K7" s="2">
        <v>0.38415037732812829</v>
      </c>
      <c r="L7" s="2">
        <v>-7.0241087084754157E-3</v>
      </c>
      <c r="M7" s="2">
        <v>0.28452163157031779</v>
      </c>
      <c r="N7" s="2" cm="1">
        <f t="array" ref="N7">SUMPRODUCT(1+B7:K7,$B$124:$K$124)-1</f>
        <v>0.28452163157031785</v>
      </c>
    </row>
    <row r="8" spans="1:15" x14ac:dyDescent="0.35">
      <c r="A8" s="3">
        <v>42216</v>
      </c>
      <c r="B8" s="2">
        <v>-0.21185717078163241</v>
      </c>
      <c r="C8" s="2">
        <v>-0.1758639832303959</v>
      </c>
      <c r="D8" s="2">
        <v>5.287815813399064E-2</v>
      </c>
      <c r="E8" s="2">
        <v>4.0272235108874802E-2</v>
      </c>
      <c r="F8" s="2">
        <v>-4.1335708017726541E-2</v>
      </c>
      <c r="G8" s="2">
        <v>-8.3822618162380461E-4</v>
      </c>
      <c r="H8" s="2">
        <v>9.1122419705519056E-2</v>
      </c>
      <c r="I8" s="2">
        <v>-0.22904084763991059</v>
      </c>
      <c r="J8" s="2">
        <v>6.4587789529262571E-3</v>
      </c>
      <c r="K8" s="2">
        <v>-0.10108303206197559</v>
      </c>
      <c r="L8" s="2">
        <v>4.7376384465221737E-2</v>
      </c>
      <c r="M8" s="2">
        <v>-6.2757314112351248E-2</v>
      </c>
      <c r="N8" s="2" cm="1">
        <f t="array" ref="N8">SUMPRODUCT(1+B8:K8,$B$124:$K$124)-1</f>
        <v>-6.2757314112351081E-2</v>
      </c>
    </row>
    <row r="9" spans="1:15" x14ac:dyDescent="0.35">
      <c r="A9" s="3">
        <v>42247</v>
      </c>
      <c r="B9" s="2">
        <v>-8.5483630328379787E-2</v>
      </c>
      <c r="C9" s="2">
        <v>0.1226566656147773</v>
      </c>
      <c r="D9" s="2">
        <v>9.5049437292058864E-2</v>
      </c>
      <c r="E9" s="2">
        <v>8.7064071168305418E-2</v>
      </c>
      <c r="F9" s="2">
        <v>0.18355868300979811</v>
      </c>
      <c r="G9" s="2">
        <v>-1.790978565622902E-2</v>
      </c>
      <c r="H9" s="2">
        <v>4.390165531584702E-2</v>
      </c>
      <c r="I9" s="2">
        <v>-0.1251256658992769</v>
      </c>
      <c r="J9" s="2">
        <v>2.3233048051987202E-3</v>
      </c>
      <c r="K9" s="2">
        <v>-6.5671001281064997E-2</v>
      </c>
      <c r="L9" s="2">
        <v>2.3023041874587261E-2</v>
      </c>
      <c r="M9" s="2">
        <v>2.4477828047221439E-2</v>
      </c>
      <c r="N9" s="2" cm="1">
        <f t="array" ref="N9">SUMPRODUCT(1+B9:K9,$B$124:$K$124)-1</f>
        <v>2.4477828047221539E-2</v>
      </c>
    </row>
    <row r="10" spans="1:15" x14ac:dyDescent="0.35">
      <c r="A10" s="3">
        <v>42277</v>
      </c>
      <c r="B10" s="2">
        <v>2.0473565362698631E-2</v>
      </c>
      <c r="C10" s="2">
        <v>9.72565371901042E-2</v>
      </c>
      <c r="D10" s="2">
        <v>-0.14486504509819401</v>
      </c>
      <c r="E10" s="2">
        <v>0.30490780030016867</v>
      </c>
      <c r="F10" s="2">
        <v>-0.17613416053395861</v>
      </c>
      <c r="G10" s="2">
        <v>-0.23239549648834071</v>
      </c>
      <c r="H10" s="2">
        <v>0.1730829919793456</v>
      </c>
      <c r="I10" s="2">
        <v>0.14314555002464119</v>
      </c>
      <c r="J10" s="2">
        <v>9.4754847849664176E-2</v>
      </c>
      <c r="K10" s="2">
        <v>0.1031304649165479</v>
      </c>
      <c r="L10" s="2">
        <v>-1.408423157804856E-2</v>
      </c>
      <c r="M10" s="2">
        <v>3.0530986988170739E-2</v>
      </c>
      <c r="N10" s="2" cm="1">
        <f t="array" ref="N10">SUMPRODUCT(1+B10:K10,$B$124:$K$124)-1</f>
        <v>3.0530986988170694E-2</v>
      </c>
    </row>
    <row r="11" spans="1:15" x14ac:dyDescent="0.35">
      <c r="A11" s="3">
        <v>42308</v>
      </c>
      <c r="B11" s="2">
        <v>-5.1185647996384177E-2</v>
      </c>
      <c r="C11" s="2">
        <v>-0.1921041256192233</v>
      </c>
      <c r="D11" s="2">
        <v>-3.4611734664799033E-2</v>
      </c>
      <c r="E11" s="2">
        <v>-0.13646830421298189</v>
      </c>
      <c r="F11" s="2">
        <v>0.12567903284403301</v>
      </c>
      <c r="G11" s="2">
        <v>-5.4654928941956442E-2</v>
      </c>
      <c r="H11" s="2">
        <v>-0.1681472323630249</v>
      </c>
      <c r="I11" s="2">
        <v>-0.1171245275943732</v>
      </c>
      <c r="J11" s="2">
        <v>1.7700925922866401E-2</v>
      </c>
      <c r="K11" s="2">
        <v>-0.1414829068624732</v>
      </c>
      <c r="L11" s="2">
        <v>1.6276801307578938E-2</v>
      </c>
      <c r="M11" s="2">
        <v>-7.1050492544693034E-2</v>
      </c>
      <c r="N11" s="2" cm="1">
        <f t="array" ref="N11">SUMPRODUCT(1+B11:K11,$B$124:$K$124)-1</f>
        <v>-7.1050492544693089E-2</v>
      </c>
    </row>
    <row r="12" spans="1:15" x14ac:dyDescent="0.35">
      <c r="A12" s="3">
        <v>42338</v>
      </c>
      <c r="B12" s="2">
        <v>-0.28968458390099489</v>
      </c>
      <c r="C12" s="2">
        <v>-0.15562071558434371</v>
      </c>
      <c r="D12" s="2">
        <v>-0.17503819762389181</v>
      </c>
      <c r="E12" s="2">
        <v>-0.26631243861029003</v>
      </c>
      <c r="F12" s="2">
        <v>-0.2901303662111438</v>
      </c>
      <c r="G12" s="2">
        <v>-0.19538023057209039</v>
      </c>
      <c r="H12" s="2">
        <v>-0.37969626610693219</v>
      </c>
      <c r="I12" s="2">
        <v>-0.4061252247205932</v>
      </c>
      <c r="J12" s="2">
        <v>-0.29447855983263271</v>
      </c>
      <c r="K12" s="2">
        <v>-0.25664877878584408</v>
      </c>
      <c r="L12" s="2">
        <v>-1.3902530784373869E-2</v>
      </c>
      <c r="M12" s="2">
        <v>-0.26211131541006488</v>
      </c>
      <c r="N12" s="2" cm="1">
        <f t="array" ref="N12">SUMPRODUCT(1+B12:K12,$B$124:$K$124)-1</f>
        <v>-0.26211131541006505</v>
      </c>
    </row>
    <row r="13" spans="1:15" x14ac:dyDescent="0.35">
      <c r="A13" s="3">
        <v>42369</v>
      </c>
      <c r="B13" s="2">
        <v>4.7918662766490337E-2</v>
      </c>
      <c r="C13" s="2">
        <v>0.23374546493802589</v>
      </c>
      <c r="D13" s="2">
        <v>0.14281910198688549</v>
      </c>
      <c r="E13" s="2">
        <v>-3.3858951943234662E-2</v>
      </c>
      <c r="F13" s="2">
        <v>-1.917947655898327E-2</v>
      </c>
      <c r="G13" s="2">
        <v>-0.19907825481049349</v>
      </c>
      <c r="H13" s="2">
        <v>5.414145699860198E-4</v>
      </c>
      <c r="I13" s="2">
        <v>-3.3253050741555983E-2</v>
      </c>
      <c r="J13" s="2">
        <v>4.5839817471177248E-2</v>
      </c>
      <c r="K13" s="2">
        <v>-0.15275503247516989</v>
      </c>
      <c r="L13" s="2">
        <v>-1.3971892607107709E-2</v>
      </c>
      <c r="M13" s="2">
        <v>2.6585589122124359E-3</v>
      </c>
      <c r="N13" s="2" cm="1">
        <f t="array" ref="N13">SUMPRODUCT(1+B13:K13,$B$124:$K$124)-1</f>
        <v>2.6585589122123388E-3</v>
      </c>
    </row>
    <row r="14" spans="1:15" x14ac:dyDescent="0.35">
      <c r="A14" s="3">
        <v>42400</v>
      </c>
      <c r="B14" s="2">
        <v>-3.7715282714345801E-2</v>
      </c>
      <c r="C14" s="2">
        <v>0.12201073753374229</v>
      </c>
      <c r="D14" s="2">
        <v>-0.14957805532205681</v>
      </c>
      <c r="E14" s="2">
        <v>-4.9634771618454837E-2</v>
      </c>
      <c r="F14" s="2">
        <v>-4.6344655588068853E-3</v>
      </c>
      <c r="G14" s="2">
        <v>-0.19357424715994889</v>
      </c>
      <c r="H14" s="2">
        <v>-8.0178684400873335E-2</v>
      </c>
      <c r="I14" s="2">
        <v>-0.12772435902116719</v>
      </c>
      <c r="J14" s="2">
        <v>-9.9971300265695326E-2</v>
      </c>
      <c r="K14" s="2">
        <v>-0.26217961834754189</v>
      </c>
      <c r="L14" s="2">
        <v>7.2588681469810228E-3</v>
      </c>
      <c r="M14" s="2">
        <v>-9.4713324870353152E-2</v>
      </c>
      <c r="N14" s="2" cm="1">
        <f t="array" ref="N14">SUMPRODUCT(1+B14:K14,$B$124:$K$124)-1</f>
        <v>-9.4713324870353111E-2</v>
      </c>
    </row>
    <row r="15" spans="1:15" x14ac:dyDescent="0.35">
      <c r="A15" s="3">
        <v>42429</v>
      </c>
      <c r="B15" s="2">
        <v>3.7389535820229351E-2</v>
      </c>
      <c r="C15" s="2">
        <v>9.756094432010512E-2</v>
      </c>
      <c r="D15" s="2">
        <v>0.25118033098820092</v>
      </c>
      <c r="E15" s="2">
        <v>0.12305729981524149</v>
      </c>
      <c r="F15" s="2">
        <v>0.30757865002287921</v>
      </c>
      <c r="G15" s="2">
        <v>-0.204359457269252</v>
      </c>
      <c r="H15" s="2">
        <v>0.15932154103338919</v>
      </c>
      <c r="I15" s="2">
        <v>0.10519084037387399</v>
      </c>
      <c r="J15" s="2">
        <v>0.34042144863421731</v>
      </c>
      <c r="K15" s="2">
        <v>-0.1542096677060128</v>
      </c>
      <c r="L15" s="2">
        <v>-5.7398407339733927E-2</v>
      </c>
      <c r="M15" s="2">
        <v>0.10142762179960151</v>
      </c>
      <c r="N15" s="2" cm="1">
        <f t="array" ref="N15">SUMPRODUCT(1+B15:K15,$B$124:$K$124)-1</f>
        <v>0.1014276217996013</v>
      </c>
    </row>
    <row r="16" spans="1:15" x14ac:dyDescent="0.35">
      <c r="A16" s="3">
        <v>42460</v>
      </c>
      <c r="B16" s="2">
        <v>-0.2354665786001657</v>
      </c>
      <c r="C16" s="2">
        <v>-0.2396983284800864</v>
      </c>
      <c r="D16" s="2">
        <v>-0.54648958383922064</v>
      </c>
      <c r="E16" s="2">
        <v>-0.24654371736578279</v>
      </c>
      <c r="F16" s="2">
        <v>-0.32621154328837809</v>
      </c>
      <c r="G16" s="2">
        <v>-0.21365781431470601</v>
      </c>
      <c r="H16" s="2">
        <v>-6.5546571904115253E-2</v>
      </c>
      <c r="I16" s="2">
        <v>0.20686813544787791</v>
      </c>
      <c r="J16" s="2">
        <v>3.5418486775413149E-5</v>
      </c>
      <c r="K16" s="2">
        <v>-0.28756509153624299</v>
      </c>
      <c r="L16" s="2">
        <v>-5.1747534975390981E-2</v>
      </c>
      <c r="M16" s="2">
        <v>-0.20800977107613039</v>
      </c>
      <c r="N16" s="2" cm="1">
        <f t="array" ref="N16">SUMPRODUCT(1+B16:K16,$B$124:$K$124)-1</f>
        <v>-0.20800977107613028</v>
      </c>
    </row>
    <row r="17" spans="1:14" x14ac:dyDescent="0.35">
      <c r="A17" s="3">
        <v>42490</v>
      </c>
      <c r="B17" s="2">
        <v>3.2913059059474177E-2</v>
      </c>
      <c r="C17" s="2">
        <v>0.25212662409033282</v>
      </c>
      <c r="D17" s="2">
        <v>-4.601100492619728E-2</v>
      </c>
      <c r="E17" s="2">
        <v>0.42451296141003098</v>
      </c>
      <c r="F17" s="2">
        <v>0.35142429577967538</v>
      </c>
      <c r="G17" s="2">
        <v>8.2889151876863187E-2</v>
      </c>
      <c r="H17" s="2">
        <v>-8.4259859110321675E-2</v>
      </c>
      <c r="I17" s="2">
        <v>0.40773100419120678</v>
      </c>
      <c r="J17" s="2">
        <v>0.14531131767621219</v>
      </c>
      <c r="K17" s="2">
        <v>0.39328043448402189</v>
      </c>
      <c r="L17" s="2">
        <v>-1.686862587722918E-2</v>
      </c>
      <c r="M17" s="2">
        <v>0.2134979722303906</v>
      </c>
      <c r="N17" s="2" cm="1">
        <f t="array" ref="N17">SUMPRODUCT(1+B17:K17,$B$124:$K$124)-1</f>
        <v>0.21349797223039069</v>
      </c>
    </row>
    <row r="18" spans="1:14" x14ac:dyDescent="0.35">
      <c r="A18" s="3">
        <v>42521</v>
      </c>
      <c r="B18" s="2">
        <v>-0.32291143658125038</v>
      </c>
      <c r="C18" s="2">
        <v>-0.2091951835930424</v>
      </c>
      <c r="D18" s="2">
        <v>-0.13473066359475991</v>
      </c>
      <c r="E18" s="2">
        <v>-0.1189776441288746</v>
      </c>
      <c r="F18" s="2">
        <v>-0.22193976814675731</v>
      </c>
      <c r="G18" s="2">
        <v>-6.36700201502821E-2</v>
      </c>
      <c r="H18" s="2">
        <v>-0.24714608018726081</v>
      </c>
      <c r="I18" s="2">
        <v>-0.1064967462479119</v>
      </c>
      <c r="J18" s="2">
        <v>-9.3585392240905924E-2</v>
      </c>
      <c r="K18" s="2">
        <v>-5.2746457503676222E-2</v>
      </c>
      <c r="L18" s="2">
        <v>-3.0384933610032711E-2</v>
      </c>
      <c r="M18" s="2">
        <v>-0.14683555341880561</v>
      </c>
      <c r="N18" s="2" cm="1">
        <f t="array" ref="N18">SUMPRODUCT(1+B18:K18,$B$124:$K$124)-1</f>
        <v>-0.14683555341880561</v>
      </c>
    </row>
    <row r="19" spans="1:14" x14ac:dyDescent="0.35">
      <c r="A19" s="3">
        <v>42551</v>
      </c>
      <c r="B19" s="2">
        <v>7.043345936563615E-2</v>
      </c>
      <c r="C19" s="2">
        <v>-0.21120947327931169</v>
      </c>
      <c r="D19" s="2">
        <v>-0.29861024272317171</v>
      </c>
      <c r="E19" s="2">
        <v>0.16625128089402899</v>
      </c>
      <c r="F19" s="2">
        <v>3.1262768599156672E-2</v>
      </c>
      <c r="G19" s="2">
        <v>-0.15209223402801891</v>
      </c>
      <c r="H19" s="2">
        <v>0.19117559015237309</v>
      </c>
      <c r="I19" s="2">
        <v>-2.325672372956808E-2</v>
      </c>
      <c r="J19" s="2">
        <v>0.14867300213571399</v>
      </c>
      <c r="K19" s="2">
        <v>-1.7684399809293171E-2</v>
      </c>
      <c r="L19" s="2">
        <v>9.4274199778582157E-3</v>
      </c>
      <c r="M19" s="2">
        <v>-2.2075307351683272E-2</v>
      </c>
      <c r="N19" s="2" cm="1">
        <f t="array" ref="N19">SUMPRODUCT(1+B19:K19,$B$124:$K$124)-1</f>
        <v>-2.2075307351683171E-2</v>
      </c>
    </row>
    <row r="20" spans="1:14" x14ac:dyDescent="0.35">
      <c r="A20" s="3">
        <v>42582</v>
      </c>
      <c r="B20" s="2">
        <v>0.37595428367757788</v>
      </c>
      <c r="C20" s="2">
        <v>0.35841898159928892</v>
      </c>
      <c r="D20" s="2">
        <v>3.2882595541148633E-2</v>
      </c>
      <c r="E20" s="2">
        <v>0.20105736714443859</v>
      </c>
      <c r="F20" s="2">
        <v>0.156557275830012</v>
      </c>
      <c r="G20" s="2">
        <v>0.28466948019926641</v>
      </c>
      <c r="H20" s="2">
        <v>-5.9197434165398202E-2</v>
      </c>
      <c r="I20" s="2">
        <v>0.21621114033819941</v>
      </c>
      <c r="J20" s="2">
        <v>0.23108583953790179</v>
      </c>
      <c r="K20" s="2">
        <v>-0.23480977223473659</v>
      </c>
      <c r="L20" s="2">
        <v>-2.7240722265636331E-2</v>
      </c>
      <c r="M20" s="2">
        <v>0.13950709005908321</v>
      </c>
      <c r="N20" s="2" cm="1">
        <f t="array" ref="N20">SUMPRODUCT(1+B20:K20,$B$124:$K$124)-1</f>
        <v>0.13950709005908335</v>
      </c>
    </row>
    <row r="21" spans="1:14" x14ac:dyDescent="0.35">
      <c r="A21" s="3">
        <v>42613</v>
      </c>
      <c r="B21" s="2">
        <v>-0.3156539148283215</v>
      </c>
      <c r="C21" s="2">
        <v>-0.49985108153723917</v>
      </c>
      <c r="D21" s="2">
        <v>-0.25412102209301829</v>
      </c>
      <c r="E21" s="2">
        <v>-8.4288229013673444E-2</v>
      </c>
      <c r="F21" s="2">
        <v>2.007123161037996E-2</v>
      </c>
      <c r="G21" s="2">
        <v>-0.246478904694063</v>
      </c>
      <c r="H21" s="2">
        <v>8.874949549546321E-2</v>
      </c>
      <c r="I21" s="2">
        <v>-0.35393597606733829</v>
      </c>
      <c r="J21" s="2">
        <v>-0.42854828877893147</v>
      </c>
      <c r="K21" s="2">
        <v>-0.22536427703493639</v>
      </c>
      <c r="L21" s="2">
        <v>-4.2369111040058742E-2</v>
      </c>
      <c r="M21" s="2">
        <v>-0.25128145737882751</v>
      </c>
      <c r="N21" s="2" cm="1">
        <f t="array" ref="N21">SUMPRODUCT(1+B21:K21,$B$124:$K$124)-1</f>
        <v>-0.25128145737882746</v>
      </c>
    </row>
    <row r="22" spans="1:14" x14ac:dyDescent="0.35">
      <c r="A22" s="3">
        <v>42643</v>
      </c>
      <c r="B22" s="2">
        <v>9.2962035155403383E-2</v>
      </c>
      <c r="C22" s="2">
        <v>5.1266410485497217E-2</v>
      </c>
      <c r="D22" s="2">
        <v>-0.28170156430976218</v>
      </c>
      <c r="E22" s="2">
        <v>6.7828628378945058E-2</v>
      </c>
      <c r="F22" s="2">
        <v>-0.10749548400991869</v>
      </c>
      <c r="G22" s="2">
        <v>0.24861756087601899</v>
      </c>
      <c r="H22" s="2">
        <v>9.0449904010121415E-2</v>
      </c>
      <c r="I22" s="2">
        <v>-0.1375881081010287</v>
      </c>
      <c r="J22" s="2">
        <v>-1.8383507856186369E-2</v>
      </c>
      <c r="K22" s="2">
        <v>-9.5802686217179314E-2</v>
      </c>
      <c r="L22" s="2">
        <v>4.3969463067646618E-2</v>
      </c>
      <c r="M22" s="2">
        <v>-2.258048335953541E-2</v>
      </c>
      <c r="N22" s="2" cm="1">
        <f t="array" ref="N22">SUMPRODUCT(1+B22:K22,$B$124:$K$124)-1</f>
        <v>-2.2580483359535442E-2</v>
      </c>
    </row>
    <row r="23" spans="1:14" x14ac:dyDescent="0.35">
      <c r="A23" s="3">
        <v>42674</v>
      </c>
      <c r="B23" s="2">
        <v>0.12994835534844579</v>
      </c>
      <c r="C23" s="2">
        <v>0.30361208579980009</v>
      </c>
      <c r="D23" s="2">
        <v>-8.3848674448460982E-3</v>
      </c>
      <c r="E23" s="2">
        <v>0.21249120644097069</v>
      </c>
      <c r="F23" s="2">
        <v>6.1362306099125297E-2</v>
      </c>
      <c r="G23" s="2">
        <v>1.732957029448047E-2</v>
      </c>
      <c r="H23" s="2">
        <v>0.1235697617453726</v>
      </c>
      <c r="I23" s="2">
        <v>-6.5128941477552897E-3</v>
      </c>
      <c r="J23" s="2">
        <v>5.924319757668299E-2</v>
      </c>
      <c r="K23" s="2">
        <v>-4.6599104997108412E-2</v>
      </c>
      <c r="L23" s="2">
        <v>-6.7732890145960692E-3</v>
      </c>
      <c r="M23" s="2">
        <v>7.6313644485975426E-2</v>
      </c>
      <c r="N23" s="2" cm="1">
        <f t="array" ref="N23">SUMPRODUCT(1+B23:K23,$B$124:$K$124)-1</f>
        <v>7.6313644485975551E-2</v>
      </c>
    </row>
    <row r="24" spans="1:14" x14ac:dyDescent="0.35">
      <c r="A24" s="3">
        <v>42704</v>
      </c>
      <c r="B24" s="2">
        <v>0.10978325785518279</v>
      </c>
      <c r="C24" s="2">
        <v>-0.1849666241640536</v>
      </c>
      <c r="D24" s="2">
        <v>-0.32931701365983379</v>
      </c>
      <c r="E24" s="2">
        <v>-0.14511674363511309</v>
      </c>
      <c r="F24" s="2">
        <v>-0.21083795281403769</v>
      </c>
      <c r="G24" s="2">
        <v>-0.2457410972101523</v>
      </c>
      <c r="H24" s="2">
        <v>-8.4453903832563654E-2</v>
      </c>
      <c r="I24" s="2">
        <v>-7.2282359560267545E-2</v>
      </c>
      <c r="J24" s="2">
        <v>-0.260442727709502</v>
      </c>
      <c r="K24" s="2">
        <v>-0.30573664334609119</v>
      </c>
      <c r="L24" s="2">
        <v>2.025846140637715E-3</v>
      </c>
      <c r="M24" s="2">
        <v>-0.19543732178255599</v>
      </c>
      <c r="N24" s="2" cm="1">
        <f t="array" ref="N24">SUMPRODUCT(1+B24:K24,$B$124:$K$124)-1</f>
        <v>-0.19543732178255602</v>
      </c>
    </row>
    <row r="25" spans="1:14" x14ac:dyDescent="0.35">
      <c r="A25" s="3">
        <v>42735</v>
      </c>
      <c r="B25" s="2">
        <v>-3.246512222561334E-2</v>
      </c>
      <c r="C25" s="2">
        <v>-0.37291118177924881</v>
      </c>
      <c r="D25" s="2">
        <v>-0.28657724260894829</v>
      </c>
      <c r="E25" s="2">
        <v>0.1700497530535188</v>
      </c>
      <c r="F25" s="2">
        <v>0.2153050292863582</v>
      </c>
      <c r="G25" s="2">
        <v>-0.11771376150957211</v>
      </c>
      <c r="H25" s="2">
        <v>9.0013139359497243E-2</v>
      </c>
      <c r="I25" s="2">
        <v>8.6113568217215136E-2</v>
      </c>
      <c r="J25" s="2">
        <v>0.45302004151967429</v>
      </c>
      <c r="K25" s="2">
        <v>0.1613803377817758</v>
      </c>
      <c r="L25" s="2">
        <v>-4.27424455864037E-2</v>
      </c>
      <c r="M25" s="2">
        <v>4.599185480851932E-2</v>
      </c>
      <c r="N25" s="2" cm="1">
        <f t="array" ref="N25">SUMPRODUCT(1+B25:K25,$B$124:$K$124)-1</f>
        <v>4.5991854808519195E-2</v>
      </c>
    </row>
    <row r="26" spans="1:14" x14ac:dyDescent="0.35">
      <c r="A26" s="3">
        <v>42766</v>
      </c>
      <c r="B26" s="2">
        <v>4.7356975277981451E-3</v>
      </c>
      <c r="C26" s="2">
        <v>-0.1319781580899819</v>
      </c>
      <c r="D26" s="2">
        <v>-0.26358391531901709</v>
      </c>
      <c r="E26" s="2">
        <v>3.8643146375462949E-2</v>
      </c>
      <c r="F26" s="2">
        <v>-0.1199066797095997</v>
      </c>
      <c r="G26" s="2">
        <v>-0.25299131533566838</v>
      </c>
      <c r="H26" s="2">
        <v>-6.985724825542769E-2</v>
      </c>
      <c r="I26" s="2">
        <v>-0.13624047987341281</v>
      </c>
      <c r="J26" s="2">
        <v>0.27159305248934312</v>
      </c>
      <c r="K26" s="2">
        <v>0.16482083174591849</v>
      </c>
      <c r="L26" s="2">
        <v>-1.6331481735755479E-2</v>
      </c>
      <c r="M26" s="2">
        <v>-2.8483090984696511E-2</v>
      </c>
      <c r="N26" s="2" cm="1">
        <f t="array" ref="N26">SUMPRODUCT(1+B26:K26,$B$124:$K$124)-1</f>
        <v>-2.8483090984696591E-2</v>
      </c>
    </row>
    <row r="27" spans="1:14" x14ac:dyDescent="0.35">
      <c r="A27" s="3">
        <v>42794</v>
      </c>
      <c r="B27" s="2">
        <v>8.4182936946645776E-2</v>
      </c>
      <c r="C27" s="2">
        <v>0.33117105617994658</v>
      </c>
      <c r="D27" s="2">
        <v>0.11915621376136901</v>
      </c>
      <c r="E27" s="2">
        <v>-3.6728056058745427E-2</v>
      </c>
      <c r="F27" s="2">
        <v>0.3489644610550745</v>
      </c>
      <c r="G27" s="2">
        <v>0.20516772842575351</v>
      </c>
      <c r="H27" s="2">
        <v>-6.3847063756190939E-2</v>
      </c>
      <c r="I27" s="2">
        <v>6.2176074962115607E-2</v>
      </c>
      <c r="J27" s="2">
        <v>-4.1119427800342508E-2</v>
      </c>
      <c r="K27" s="2">
        <v>-0.13349011292423441</v>
      </c>
      <c r="L27" s="2">
        <v>3.3276776912959829E-3</v>
      </c>
      <c r="M27" s="2">
        <v>8.711032391340176E-2</v>
      </c>
      <c r="N27" s="2" cm="1">
        <f t="array" ref="N27">SUMPRODUCT(1+B27:K27,$B$124:$K$124)-1</f>
        <v>8.7110323913401899E-2</v>
      </c>
    </row>
    <row r="28" spans="1:14" x14ac:dyDescent="0.35">
      <c r="A28" s="3">
        <v>42825</v>
      </c>
      <c r="B28" s="2">
        <v>-1.057977556670597E-2</v>
      </c>
      <c r="C28" s="2">
        <v>0.13326536944951581</v>
      </c>
      <c r="D28" s="2">
        <v>-0.44277593469070198</v>
      </c>
      <c r="E28" s="2">
        <v>-9.8058676184129515E-2</v>
      </c>
      <c r="F28" s="2">
        <v>-0.31717085121972599</v>
      </c>
      <c r="G28" s="2">
        <v>-0.32775780548371591</v>
      </c>
      <c r="H28" s="2">
        <v>-0.22898055358356689</v>
      </c>
      <c r="I28" s="2">
        <v>-0.2748041076759824</v>
      </c>
      <c r="J28" s="2">
        <v>-0.15891407104374911</v>
      </c>
      <c r="K28" s="2">
        <v>-0.35004847217486329</v>
      </c>
      <c r="L28" s="2">
        <v>-3.4529807322669082E-2</v>
      </c>
      <c r="M28" s="2">
        <v>-0.2127729812538163</v>
      </c>
      <c r="N28" s="2" cm="1">
        <f t="array" ref="N28">SUMPRODUCT(1+B28:K28,$B$124:$K$124)-1</f>
        <v>-0.21277298125381627</v>
      </c>
    </row>
    <row r="29" spans="1:14" x14ac:dyDescent="0.35">
      <c r="A29" s="3">
        <v>42855</v>
      </c>
      <c r="B29" s="2">
        <v>-0.1001525886330418</v>
      </c>
      <c r="C29" s="2">
        <v>-0.15814437462721259</v>
      </c>
      <c r="D29" s="2">
        <v>-0.201509251917008</v>
      </c>
      <c r="E29" s="2">
        <v>-0.26837669126038821</v>
      </c>
      <c r="F29" s="2">
        <v>-0.23519088973075911</v>
      </c>
      <c r="G29" s="2">
        <v>-1.5316608158181011E-2</v>
      </c>
      <c r="H29" s="2">
        <v>-6.7007805351809696E-2</v>
      </c>
      <c r="I29" s="2">
        <v>-0.31822678708523727</v>
      </c>
      <c r="J29" s="2">
        <v>-0.1258889711927354</v>
      </c>
      <c r="K29" s="2">
        <v>-2.6491578371462769E-2</v>
      </c>
      <c r="L29" s="2">
        <v>1.1270940550370159E-2</v>
      </c>
      <c r="M29" s="2">
        <v>-0.14325914831287381</v>
      </c>
      <c r="N29" s="2" cm="1">
        <f t="array" ref="N29">SUMPRODUCT(1+B29:K29,$B$124:$K$124)-1</f>
        <v>-0.14325914831287379</v>
      </c>
    </row>
    <row r="30" spans="1:14" x14ac:dyDescent="0.35">
      <c r="A30" s="3">
        <v>42886</v>
      </c>
      <c r="B30" s="2">
        <v>-0.1892002448156109</v>
      </c>
      <c r="C30" s="2">
        <v>0.13680811272343221</v>
      </c>
      <c r="D30" s="2">
        <v>-6.7006605271713107E-2</v>
      </c>
      <c r="E30" s="2">
        <v>0.1204535727255098</v>
      </c>
      <c r="F30" s="2">
        <v>-9.2012975083354126E-2</v>
      </c>
      <c r="G30" s="2">
        <v>-0.28953539112003002</v>
      </c>
      <c r="H30" s="2">
        <v>-0.18317953541655771</v>
      </c>
      <c r="I30" s="2">
        <v>7.6245003003436174E-2</v>
      </c>
      <c r="J30" s="2">
        <v>8.4569362489278321E-2</v>
      </c>
      <c r="K30" s="2">
        <v>-0.11257442353699861</v>
      </c>
      <c r="L30" s="2">
        <v>-1.8019160697564152E-2</v>
      </c>
      <c r="M30" s="2">
        <v>-4.5076631481826453E-2</v>
      </c>
      <c r="N30" s="2" cm="1">
        <f t="array" ref="N30">SUMPRODUCT(1+B30:K30,$B$124:$K$124)-1</f>
        <v>-4.5076631481826501E-2</v>
      </c>
    </row>
    <row r="31" spans="1:14" x14ac:dyDescent="0.35">
      <c r="A31" s="3">
        <v>42916</v>
      </c>
      <c r="B31" s="2">
        <v>0.1212512784304724</v>
      </c>
      <c r="C31" s="2">
        <v>-0.23488500688355321</v>
      </c>
      <c r="D31" s="2">
        <v>1.763408962760479E-2</v>
      </c>
      <c r="E31" s="2">
        <v>-0.15826754794492681</v>
      </c>
      <c r="F31" s="2">
        <v>-8.5113212397476989E-2</v>
      </c>
      <c r="G31" s="2">
        <v>2.7288908624768939E-2</v>
      </c>
      <c r="H31" s="2">
        <v>-9.4335570336744737E-2</v>
      </c>
      <c r="I31" s="2">
        <v>-2.2941405130542589E-2</v>
      </c>
      <c r="J31" s="2">
        <v>0.17881221301624911</v>
      </c>
      <c r="K31" s="2">
        <v>-7.2863988268677168E-2</v>
      </c>
      <c r="L31" s="2">
        <v>-8.7508124937983028E-3</v>
      </c>
      <c r="M31" s="2">
        <v>-3.061596659399031E-2</v>
      </c>
      <c r="N31" s="2" cm="1">
        <f t="array" ref="N31">SUMPRODUCT(1+B31:K31,$B$124:$K$124)-1</f>
        <v>-3.061596659399024E-2</v>
      </c>
    </row>
    <row r="32" spans="1:14" x14ac:dyDescent="0.35">
      <c r="A32" s="3">
        <v>42947</v>
      </c>
      <c r="B32" s="2">
        <v>0.1417931760548416</v>
      </c>
      <c r="C32" s="2">
        <v>-0.16197272402269719</v>
      </c>
      <c r="D32" s="2">
        <v>0.10502519490094039</v>
      </c>
      <c r="E32" s="2">
        <v>0.21980572060517711</v>
      </c>
      <c r="F32" s="2">
        <v>-0.40308052149643692</v>
      </c>
      <c r="G32" s="2">
        <v>-0.14841686394175219</v>
      </c>
      <c r="H32" s="2">
        <v>0.1045984789599118</v>
      </c>
      <c r="I32" s="2">
        <v>3.5919834459204941E-3</v>
      </c>
      <c r="J32" s="2">
        <v>7.0637441924305877E-2</v>
      </c>
      <c r="K32" s="2">
        <v>-9.5867720826302003E-2</v>
      </c>
      <c r="L32" s="2">
        <v>-1.8051198366881911E-2</v>
      </c>
      <c r="M32" s="2">
        <v>-3.9493428454025863E-2</v>
      </c>
      <c r="N32" s="2" cm="1">
        <f t="array" ref="N32">SUMPRODUCT(1+B32:K32,$B$124:$K$124)-1</f>
        <v>-3.9493428454025925E-2</v>
      </c>
    </row>
    <row r="33" spans="1:14" x14ac:dyDescent="0.35">
      <c r="A33" s="3">
        <v>42978</v>
      </c>
      <c r="B33" s="2">
        <v>6.6493443990613008E-2</v>
      </c>
      <c r="C33" s="2">
        <v>5.3627454663710078E-2</v>
      </c>
      <c r="D33" s="2">
        <v>0.30954322099157522</v>
      </c>
      <c r="E33" s="2">
        <v>0.14697433967106779</v>
      </c>
      <c r="F33" s="2">
        <v>0.194427169766239</v>
      </c>
      <c r="G33" s="2">
        <v>0.10112026015383779</v>
      </c>
      <c r="H33" s="2">
        <v>-1.6087361711921471E-2</v>
      </c>
      <c r="I33" s="2">
        <v>-4.6123740733168377E-2</v>
      </c>
      <c r="J33" s="2">
        <v>0.14096511449593249</v>
      </c>
      <c r="K33" s="2">
        <v>4.5451360452146802E-2</v>
      </c>
      <c r="L33" s="2">
        <v>5.5568345535268127E-2</v>
      </c>
      <c r="M33" s="2">
        <v>0.10442764963860419</v>
      </c>
      <c r="N33" s="2" cm="1">
        <f t="array" ref="N33">SUMPRODUCT(1+B33:K33,$B$124:$K$124)-1</f>
        <v>0.10442764963860407</v>
      </c>
    </row>
    <row r="34" spans="1:14" x14ac:dyDescent="0.35">
      <c r="A34" s="3">
        <v>43008</v>
      </c>
      <c r="B34" s="2">
        <v>-3.1796896888428468E-2</v>
      </c>
      <c r="C34" s="2">
        <v>0.24893576437625939</v>
      </c>
      <c r="D34" s="2">
        <v>6.2390218226201083E-2</v>
      </c>
      <c r="E34" s="2">
        <v>-0.12502378471922121</v>
      </c>
      <c r="F34" s="2">
        <v>0.1117249000807343</v>
      </c>
      <c r="G34" s="2">
        <v>-0.1620795711700066</v>
      </c>
      <c r="H34" s="2">
        <v>-0.36659512523999471</v>
      </c>
      <c r="I34" s="2">
        <v>-0.24245799311772229</v>
      </c>
      <c r="J34" s="2">
        <v>-0.35957591984766207</v>
      </c>
      <c r="K34" s="2">
        <v>-0.1496875005803292</v>
      </c>
      <c r="L34" s="2">
        <v>-4.0491674213801761E-4</v>
      </c>
      <c r="M34" s="2">
        <v>-8.9568742166934556E-2</v>
      </c>
      <c r="N34" s="2" cm="1">
        <f t="array" ref="N34">SUMPRODUCT(1+B34:K34,$B$124:$K$124)-1</f>
        <v>-8.9568742166934667E-2</v>
      </c>
    </row>
    <row r="35" spans="1:14" x14ac:dyDescent="0.35">
      <c r="A35" s="3">
        <v>43039</v>
      </c>
      <c r="B35" s="2">
        <v>1.8181556283108521E-2</v>
      </c>
      <c r="C35" s="2">
        <v>0.27346197309820469</v>
      </c>
      <c r="D35" s="2">
        <v>5.2294387328490233E-2</v>
      </c>
      <c r="E35" s="2">
        <v>-4.6881453745307451E-2</v>
      </c>
      <c r="F35" s="2">
        <v>0.1077203974509606</v>
      </c>
      <c r="G35" s="2">
        <v>-0.4305164507808848</v>
      </c>
      <c r="H35" s="2">
        <v>4.941868627008001E-2</v>
      </c>
      <c r="I35" s="2">
        <v>0.16159685459761319</v>
      </c>
      <c r="J35" s="2">
        <v>-0.22095128966018429</v>
      </c>
      <c r="K35" s="2">
        <v>0.18628418314852449</v>
      </c>
      <c r="L35" s="2">
        <v>-3.1731327868677009E-2</v>
      </c>
      <c r="M35" s="2">
        <v>2.6295132586390609E-2</v>
      </c>
      <c r="N35" s="2" cm="1">
        <f t="array" ref="N35">SUMPRODUCT(1+B35:K35,$B$124:$K$124)-1</f>
        <v>2.6295132586390491E-2</v>
      </c>
    </row>
    <row r="36" spans="1:14" x14ac:dyDescent="0.35">
      <c r="A36" s="3">
        <v>43069</v>
      </c>
      <c r="B36" s="2">
        <v>8.7697656979667873E-2</v>
      </c>
      <c r="C36" s="2">
        <v>-1.4669691404823911E-2</v>
      </c>
      <c r="D36" s="2">
        <v>0.17550143226005899</v>
      </c>
      <c r="E36" s="2">
        <v>0.40216390718947398</v>
      </c>
      <c r="F36" s="2">
        <v>0.10852147838472601</v>
      </c>
      <c r="G36" s="2">
        <v>0.13890558926005331</v>
      </c>
      <c r="H36" s="2">
        <v>-2.7050091046735329E-2</v>
      </c>
      <c r="I36" s="2">
        <v>-0.10890576458305901</v>
      </c>
      <c r="J36" s="2">
        <v>0.1772218892187637</v>
      </c>
      <c r="K36" s="2">
        <v>-7.7583310654764745E-2</v>
      </c>
      <c r="L36" s="2">
        <v>2.4676347363095669E-2</v>
      </c>
      <c r="M36" s="2">
        <v>7.5685981239016362E-2</v>
      </c>
      <c r="N36" s="2" cm="1">
        <f t="array" ref="N36">SUMPRODUCT(1+B36:K36,$B$124:$K$124)-1</f>
        <v>7.5685981239016265E-2</v>
      </c>
    </row>
    <row r="37" spans="1:14" x14ac:dyDescent="0.35">
      <c r="A37" s="3">
        <v>43100</v>
      </c>
      <c r="B37" s="2">
        <v>-7.7748400030681203E-2</v>
      </c>
      <c r="C37" s="2">
        <v>-0.18575146079675919</v>
      </c>
      <c r="D37" s="2">
        <v>-5.0168706851008549E-2</v>
      </c>
      <c r="E37" s="2">
        <v>-7.6490821994623148E-2</v>
      </c>
      <c r="F37" s="2">
        <v>1.7527314153518651E-2</v>
      </c>
      <c r="G37" s="2">
        <v>-0.2677985442464334</v>
      </c>
      <c r="H37" s="2">
        <v>-0.12685443100124461</v>
      </c>
      <c r="I37" s="2">
        <v>-0.2298128331798375</v>
      </c>
      <c r="J37" s="2">
        <v>-0.17572740889721231</v>
      </c>
      <c r="K37" s="2">
        <v>-7.5779378860703031E-2</v>
      </c>
      <c r="L37" s="2">
        <v>-3.6625309499130669E-2</v>
      </c>
      <c r="M37" s="2">
        <v>-0.12202069623689379</v>
      </c>
      <c r="N37" s="2" cm="1">
        <f t="array" ref="N37">SUMPRODUCT(1+B37:K37,$B$124:$K$124)-1</f>
        <v>-0.12202069623689382</v>
      </c>
    </row>
    <row r="38" spans="1:14" x14ac:dyDescent="0.35">
      <c r="A38" s="3">
        <v>43131</v>
      </c>
      <c r="B38" s="2">
        <v>0.31200139995595572</v>
      </c>
      <c r="C38" s="2">
        <v>8.0141069788893932E-2</v>
      </c>
      <c r="D38" s="2">
        <v>0.40170732253777669</v>
      </c>
      <c r="E38" s="2">
        <v>0.41823149128774362</v>
      </c>
      <c r="F38" s="2">
        <v>0.30583943022207372</v>
      </c>
      <c r="G38" s="2">
        <v>0.58945311391932298</v>
      </c>
      <c r="H38" s="2">
        <v>9.1845106923052103E-2</v>
      </c>
      <c r="I38" s="2">
        <v>2.2628598262758589E-2</v>
      </c>
      <c r="J38" s="2">
        <v>-5.248838428186231E-2</v>
      </c>
      <c r="K38" s="2">
        <v>0.50953376531485384</v>
      </c>
      <c r="L38" s="2">
        <v>6.2659078501426622E-3</v>
      </c>
      <c r="M38" s="2">
        <v>0.27274000136236898</v>
      </c>
      <c r="N38" s="2" cm="1">
        <f t="array" ref="N38">SUMPRODUCT(1+B38:K38,$B$124:$K$124)-1</f>
        <v>0.27274000136236909</v>
      </c>
    </row>
    <row r="39" spans="1:14" x14ac:dyDescent="0.35">
      <c r="A39" s="3">
        <v>43159</v>
      </c>
      <c r="B39" s="2">
        <v>0.1275837118580665</v>
      </c>
      <c r="C39" s="2">
        <v>8.5325660735186999E-3</v>
      </c>
      <c r="D39" s="2">
        <v>4.5886173056817858E-2</v>
      </c>
      <c r="E39" s="2">
        <v>-0.18915980751911171</v>
      </c>
      <c r="F39" s="2">
        <v>0.35276343017337242</v>
      </c>
      <c r="G39" s="2">
        <v>-5.0158638589226062E-2</v>
      </c>
      <c r="H39" s="2">
        <v>4.9206063907280072E-2</v>
      </c>
      <c r="I39" s="2">
        <v>0.19236294799722939</v>
      </c>
      <c r="J39" s="2">
        <v>8.1531219658653675E-2</v>
      </c>
      <c r="K39" s="2">
        <v>2.268141545065475E-2</v>
      </c>
      <c r="L39" s="2">
        <v>-5.8790103716393267E-2</v>
      </c>
      <c r="M39" s="2">
        <v>6.9437220204797048E-2</v>
      </c>
      <c r="N39" s="2" cm="1">
        <f t="array" ref="N39">SUMPRODUCT(1+B39:K39,$B$124:$K$124)-1</f>
        <v>6.9437220204797034E-2</v>
      </c>
    </row>
    <row r="40" spans="1:14" x14ac:dyDescent="0.35">
      <c r="A40" s="3">
        <v>43190</v>
      </c>
      <c r="B40" s="2">
        <v>-0.25413947266620912</v>
      </c>
      <c r="C40" s="2">
        <v>-9.3746747822728543E-2</v>
      </c>
      <c r="D40" s="2">
        <v>0.12818565175318319</v>
      </c>
      <c r="E40" s="2">
        <v>1.6836252611135621E-2</v>
      </c>
      <c r="F40" s="2">
        <v>4.4088607816820162E-2</v>
      </c>
      <c r="G40" s="2">
        <v>-0.33820336614708979</v>
      </c>
      <c r="H40" s="2">
        <v>-0.28277837930344091</v>
      </c>
      <c r="I40" s="2">
        <v>-0.14959648591509969</v>
      </c>
      <c r="J40" s="2">
        <v>-0.15670089276950711</v>
      </c>
      <c r="K40" s="2">
        <v>-1.7847509456492341E-2</v>
      </c>
      <c r="L40" s="2">
        <v>-3.9845581466952912E-2</v>
      </c>
      <c r="M40" s="2">
        <v>-9.533335999180334E-2</v>
      </c>
      <c r="N40" s="2" cm="1">
        <f t="array" ref="N40">SUMPRODUCT(1+B40:K40,$B$124:$K$124)-1</f>
        <v>-9.5333359991803368E-2</v>
      </c>
    </row>
    <row r="41" spans="1:14" x14ac:dyDescent="0.35">
      <c r="A41" s="3">
        <v>43220</v>
      </c>
      <c r="B41" s="2">
        <v>-0.17081922175289391</v>
      </c>
      <c r="C41" s="2">
        <v>0.32583007216842019</v>
      </c>
      <c r="D41" s="2">
        <v>6.4686213543566184E-2</v>
      </c>
      <c r="E41" s="2">
        <v>1.7240658832850871E-2</v>
      </c>
      <c r="F41" s="2">
        <v>-7.420017994500229E-2</v>
      </c>
      <c r="G41" s="2">
        <v>-0.19045389563170709</v>
      </c>
      <c r="H41" s="2">
        <v>0.19097915131481749</v>
      </c>
      <c r="I41" s="2">
        <v>8.8435477987599334E-2</v>
      </c>
      <c r="J41" s="2">
        <v>-0.11586251015988649</v>
      </c>
      <c r="K41" s="2">
        <v>-0.13116568442798621</v>
      </c>
      <c r="L41" s="2">
        <v>5.9058370760737052E-3</v>
      </c>
      <c r="M41" s="2">
        <v>-9.7083805195348413E-3</v>
      </c>
      <c r="N41" s="2" cm="1">
        <f t="array" ref="N41">SUMPRODUCT(1+B41:K41,$B$124:$K$124)-1</f>
        <v>-9.7083805195347095E-3</v>
      </c>
    </row>
    <row r="42" spans="1:14" x14ac:dyDescent="0.35">
      <c r="A42" s="3">
        <v>43251</v>
      </c>
      <c r="B42" s="2">
        <v>-0.14678027442621999</v>
      </c>
      <c r="C42" s="2">
        <v>0.16409868154115029</v>
      </c>
      <c r="D42" s="2">
        <v>-0.1480041092848598</v>
      </c>
      <c r="E42" s="2">
        <v>-0.30466856886137839</v>
      </c>
      <c r="F42" s="2">
        <v>-0.1201145390398639</v>
      </c>
      <c r="G42" s="2">
        <v>-0.12522617304779751</v>
      </c>
      <c r="H42" s="2">
        <v>-0.48635369000565221</v>
      </c>
      <c r="I42" s="2">
        <v>-0.13287648536008401</v>
      </c>
      <c r="J42" s="2">
        <v>-0.12832215006102349</v>
      </c>
      <c r="K42" s="2">
        <v>2.32176691018985E-2</v>
      </c>
      <c r="L42" s="2">
        <v>2.2153997399862312E-2</v>
      </c>
      <c r="M42" s="2">
        <v>-0.10543913846740401</v>
      </c>
      <c r="N42" s="2" cm="1">
        <f t="array" ref="N42">SUMPRODUCT(1+B42:K42,$B$124:$K$124)-1</f>
        <v>-0.10543913846740405</v>
      </c>
    </row>
    <row r="43" spans="1:14" x14ac:dyDescent="0.35">
      <c r="A43" s="3">
        <v>43281</v>
      </c>
      <c r="B43" s="2">
        <v>0.3523577861270456</v>
      </c>
      <c r="C43" s="2">
        <v>0.27675096898084001</v>
      </c>
      <c r="D43" s="2">
        <v>6.1585869689136152E-2</v>
      </c>
      <c r="E43" s="2">
        <v>-7.0366997962065511E-2</v>
      </c>
      <c r="F43" s="2">
        <v>0.52361669577154779</v>
      </c>
      <c r="G43" s="2">
        <v>0.1258333744133969</v>
      </c>
      <c r="H43" s="2">
        <v>8.8444438013895815E-2</v>
      </c>
      <c r="I43" s="2">
        <v>8.876314716430353E-2</v>
      </c>
      <c r="J43" s="2">
        <v>0.12287777353902821</v>
      </c>
      <c r="K43" s="2">
        <v>8.399194835615513E-2</v>
      </c>
      <c r="L43" s="2">
        <v>5.1410484356991144E-3</v>
      </c>
      <c r="M43" s="2">
        <v>0.173375016862546</v>
      </c>
      <c r="N43" s="2" cm="1">
        <f t="array" ref="N43">SUMPRODUCT(1+B43:K43,$B$124:$K$124)-1</f>
        <v>0.17337501686254608</v>
      </c>
    </row>
    <row r="44" spans="1:14" x14ac:dyDescent="0.35">
      <c r="A44" s="3">
        <v>43312</v>
      </c>
      <c r="B44" s="2">
        <v>4.1426974497508283E-2</v>
      </c>
      <c r="C44" s="2">
        <v>4.8962755623612887E-2</v>
      </c>
      <c r="D44" s="2">
        <v>0.14168856521881459</v>
      </c>
      <c r="E44" s="2">
        <v>4.4085010573619833E-2</v>
      </c>
      <c r="F44" s="2">
        <v>1.9320665244542009E-2</v>
      </c>
      <c r="G44" s="2">
        <v>0.16322311864852801</v>
      </c>
      <c r="H44" s="2">
        <v>8.726018502063243E-2</v>
      </c>
      <c r="I44" s="2">
        <v>0.38035194555462221</v>
      </c>
      <c r="J44" s="2">
        <v>-0.27154697770433572</v>
      </c>
      <c r="K44" s="2">
        <v>0.3348244804655866</v>
      </c>
      <c r="L44" s="2">
        <v>-3.4694484716472161E-3</v>
      </c>
      <c r="M44" s="2">
        <v>9.719442627047413E-2</v>
      </c>
      <c r="N44" s="2" cm="1">
        <f t="array" ref="N44">SUMPRODUCT(1+B44:K44,$B$124:$K$124)-1</f>
        <v>9.7194426270474255E-2</v>
      </c>
    </row>
    <row r="45" spans="1:14" x14ac:dyDescent="0.35">
      <c r="A45" s="3">
        <v>43343</v>
      </c>
      <c r="B45" s="2">
        <v>8.7979069827371414E-2</v>
      </c>
      <c r="C45" s="2">
        <v>-0.43408986286015372</v>
      </c>
      <c r="D45" s="2">
        <v>-0.17667147613614759</v>
      </c>
      <c r="E45" s="2">
        <v>-0.15842778157627341</v>
      </c>
      <c r="F45" s="2">
        <v>-0.34488365882662492</v>
      </c>
      <c r="G45" s="2">
        <v>-0.26533986656374681</v>
      </c>
      <c r="H45" s="2">
        <v>-0.25095565519624208</v>
      </c>
      <c r="I45" s="2">
        <v>0.18466493568780071</v>
      </c>
      <c r="J45" s="2">
        <v>4.1448506250243412E-2</v>
      </c>
      <c r="K45" s="2">
        <v>0.10165401186200811</v>
      </c>
      <c r="L45" s="2">
        <v>-9.0331108676786637E-3</v>
      </c>
      <c r="M45" s="2">
        <v>-0.1142585374889461</v>
      </c>
      <c r="N45" s="2" cm="1">
        <f t="array" ref="N45">SUMPRODUCT(1+B45:K45,$B$124:$K$124)-1</f>
        <v>-0.1142585374889461</v>
      </c>
    </row>
    <row r="46" spans="1:14" x14ac:dyDescent="0.35">
      <c r="A46" s="3">
        <v>43373</v>
      </c>
      <c r="B46" s="2">
        <v>0.1943985818419528</v>
      </c>
      <c r="C46" s="2">
        <v>-9.4287554823227454E-2</v>
      </c>
      <c r="D46" s="2">
        <v>-1.433543743331998E-2</v>
      </c>
      <c r="E46" s="2">
        <v>0.12430418241132279</v>
      </c>
      <c r="F46" s="2">
        <v>-0.15888929112890329</v>
      </c>
      <c r="G46" s="2">
        <v>0.14995321007781709</v>
      </c>
      <c r="H46" s="2">
        <v>5.6044215188358872E-2</v>
      </c>
      <c r="I46" s="2">
        <v>7.0349440428854451E-2</v>
      </c>
      <c r="J46" s="2">
        <v>0.18260599004158881</v>
      </c>
      <c r="K46" s="2">
        <v>0.1434523615977385</v>
      </c>
      <c r="L46" s="2">
        <v>-4.4355659711022823E-2</v>
      </c>
      <c r="M46" s="2">
        <v>6.3204860583508299E-2</v>
      </c>
      <c r="N46" s="2" cm="1">
        <f t="array" ref="N46">SUMPRODUCT(1+B46:K46,$B$124:$K$124)-1</f>
        <v>6.3204860583508271E-2</v>
      </c>
    </row>
    <row r="47" spans="1:14" x14ac:dyDescent="0.35">
      <c r="A47" s="3">
        <v>43404</v>
      </c>
      <c r="B47" s="2">
        <v>-1.386813137210743E-2</v>
      </c>
      <c r="C47" s="2">
        <v>0.21945151059130519</v>
      </c>
      <c r="D47" s="2">
        <v>-0.1579987060898641</v>
      </c>
      <c r="E47" s="2">
        <v>0.1104828602102006</v>
      </c>
      <c r="F47" s="2">
        <v>0.1090440235909782</v>
      </c>
      <c r="G47" s="2">
        <v>-4.9662359996764868E-2</v>
      </c>
      <c r="H47" s="2">
        <v>8.4950396459420846E-2</v>
      </c>
      <c r="I47" s="2">
        <v>-0.1432575954907559</v>
      </c>
      <c r="J47" s="2">
        <v>0.16974172333558721</v>
      </c>
      <c r="K47" s="2">
        <v>-6.9199492203969636E-3</v>
      </c>
      <c r="L47" s="2">
        <v>-2.1595326251841261E-2</v>
      </c>
      <c r="M47" s="2">
        <v>3.9279538868882032E-2</v>
      </c>
      <c r="N47" s="2" cm="1">
        <f t="array" ref="N47">SUMPRODUCT(1+B47:K47,$B$124:$K$124)-1</f>
        <v>3.9279538868882025E-2</v>
      </c>
    </row>
    <row r="48" spans="1:14" x14ac:dyDescent="0.35">
      <c r="A48" s="3">
        <v>43434</v>
      </c>
      <c r="B48" s="2">
        <v>9.3477348399187317E-3</v>
      </c>
      <c r="C48" s="2">
        <v>0.25594012856831272</v>
      </c>
      <c r="D48" s="2">
        <v>-3.0478797673598769E-2</v>
      </c>
      <c r="E48" s="2">
        <v>-0.13544353880680149</v>
      </c>
      <c r="F48" s="2">
        <v>-0.17710259057605721</v>
      </c>
      <c r="G48" s="2">
        <v>0.18280467515742549</v>
      </c>
      <c r="H48" s="2">
        <v>-9.9625504476366866E-2</v>
      </c>
      <c r="I48" s="2">
        <v>0.38354611137752448</v>
      </c>
      <c r="J48" s="2">
        <v>-0.23163144384627921</v>
      </c>
      <c r="K48" s="2">
        <v>0.3821978353384422</v>
      </c>
      <c r="L48" s="2">
        <v>-1.381916312879362E-2</v>
      </c>
      <c r="M48" s="2">
        <v>7.1648567128111434E-2</v>
      </c>
      <c r="N48" s="2" cm="1">
        <f t="array" ref="N48">SUMPRODUCT(1+B48:K48,$B$124:$K$124)-1</f>
        <v>7.1648567128111518E-2</v>
      </c>
    </row>
    <row r="49" spans="1:14" x14ac:dyDescent="0.35">
      <c r="A49" s="3">
        <v>43465</v>
      </c>
      <c r="B49" s="2">
        <v>0.2444600232315596</v>
      </c>
      <c r="C49" s="2">
        <v>0.2322201341379746</v>
      </c>
      <c r="D49" s="2">
        <v>0.18760826345601209</v>
      </c>
      <c r="E49" s="2">
        <v>0.31147915549241068</v>
      </c>
      <c r="F49" s="2">
        <v>0.28078385713598258</v>
      </c>
      <c r="G49" s="2">
        <v>0.5162989654710054</v>
      </c>
      <c r="H49" s="2">
        <v>0.2305397224315405</v>
      </c>
      <c r="I49" s="2">
        <v>0.2407774413322824</v>
      </c>
      <c r="J49" s="2">
        <v>0.18390457751389799</v>
      </c>
      <c r="K49" s="2">
        <v>0.2782904845346692</v>
      </c>
      <c r="L49" s="2">
        <v>3.1713666786567472E-2</v>
      </c>
      <c r="M49" s="2">
        <v>0.26686936761732899</v>
      </c>
      <c r="N49" s="2" cm="1">
        <f t="array" ref="N49">SUMPRODUCT(1+B49:K49,$B$124:$K$124)-1</f>
        <v>0.26686936761732927</v>
      </c>
    </row>
    <row r="50" spans="1:14" x14ac:dyDescent="0.35">
      <c r="A50" s="3">
        <v>43496</v>
      </c>
      <c r="B50" s="2">
        <v>2.089181193501468E-2</v>
      </c>
      <c r="C50" s="2">
        <v>-0.29468197589003109</v>
      </c>
      <c r="D50" s="2">
        <v>-0.25528139366023761</v>
      </c>
      <c r="E50" s="2">
        <v>9.6342004996815639E-2</v>
      </c>
      <c r="F50" s="2">
        <v>1.5896739318401801E-2</v>
      </c>
      <c r="G50" s="2">
        <v>-4.0887756130911598E-2</v>
      </c>
      <c r="H50" s="2">
        <v>-2.072503761893885E-2</v>
      </c>
      <c r="I50" s="2">
        <v>2.2697587449995879E-2</v>
      </c>
      <c r="J50" s="2">
        <v>-0.1013882196916116</v>
      </c>
      <c r="K50" s="2">
        <v>-0.15299914572170359</v>
      </c>
      <c r="L50" s="2">
        <v>1.030854868705384E-2</v>
      </c>
      <c r="M50" s="2">
        <v>-9.1493975031525815E-2</v>
      </c>
      <c r="N50" s="2" cm="1">
        <f t="array" ref="N50">SUMPRODUCT(1+B50:K50,$B$124:$K$124)-1</f>
        <v>-9.1493975031525787E-2</v>
      </c>
    </row>
    <row r="51" spans="1:14" x14ac:dyDescent="0.35">
      <c r="A51" s="3">
        <v>43524</v>
      </c>
      <c r="B51" s="2">
        <v>-6.9002606562602778E-2</v>
      </c>
      <c r="C51" s="2">
        <v>-0.28101074444414109</v>
      </c>
      <c r="D51" s="2">
        <v>-8.5508286972377279E-2</v>
      </c>
      <c r="E51" s="2">
        <v>-0.40474942580546053</v>
      </c>
      <c r="F51" s="2">
        <v>-1.7106736885510811E-2</v>
      </c>
      <c r="G51" s="2">
        <v>-0.13792173547597661</v>
      </c>
      <c r="H51" s="2">
        <v>-6.0346881540960351E-2</v>
      </c>
      <c r="I51" s="2">
        <v>8.4329089250948674E-2</v>
      </c>
      <c r="J51" s="2">
        <v>0.12582048269589549</v>
      </c>
      <c r="K51" s="2">
        <v>7.928642488625388E-3</v>
      </c>
      <c r="L51" s="2">
        <v>-5.289120466088202E-2</v>
      </c>
      <c r="M51" s="2">
        <v>-6.9668723815904457E-2</v>
      </c>
      <c r="N51" s="2" cm="1">
        <f t="array" ref="N51">SUMPRODUCT(1+B51:K51,$B$124:$K$124)-1</f>
        <v>-6.9668723815904388E-2</v>
      </c>
    </row>
    <row r="52" spans="1:14" x14ac:dyDescent="0.35">
      <c r="A52" s="3">
        <v>43555</v>
      </c>
      <c r="B52" s="2">
        <v>-0.35778496767274909</v>
      </c>
      <c r="C52" s="2">
        <v>-0.30343108359848192</v>
      </c>
      <c r="D52" s="2">
        <v>-0.21411658035029441</v>
      </c>
      <c r="E52" s="2">
        <v>-8.3154950859905083E-2</v>
      </c>
      <c r="F52" s="2">
        <v>-7.3002804873045102E-3</v>
      </c>
      <c r="G52" s="2">
        <v>-0.22212314372661721</v>
      </c>
      <c r="H52" s="2">
        <v>-6.6169868050733868E-2</v>
      </c>
      <c r="I52" s="2">
        <v>-0.23055915863716711</v>
      </c>
      <c r="J52" s="2">
        <v>-0.18556180371061279</v>
      </c>
      <c r="K52" s="2">
        <v>-0.34619303707732502</v>
      </c>
      <c r="L52" s="2">
        <v>9.7225190818438501E-3</v>
      </c>
      <c r="M52" s="2">
        <v>-0.2149899910186287</v>
      </c>
      <c r="N52" s="2" cm="1">
        <f t="array" ref="N52">SUMPRODUCT(1+B52:K52,$B$124:$K$124)-1</f>
        <v>-0.2149899910186287</v>
      </c>
    </row>
    <row r="53" spans="1:14" x14ac:dyDescent="0.35">
      <c r="A53" s="3">
        <v>43585</v>
      </c>
      <c r="B53" s="2">
        <v>-0.22424234945327109</v>
      </c>
      <c r="C53" s="2">
        <v>-0.32029363600367122</v>
      </c>
      <c r="D53" s="2">
        <v>-0.28898677294536768</v>
      </c>
      <c r="E53" s="2">
        <v>5.1161324580737633E-2</v>
      </c>
      <c r="F53" s="2">
        <v>-0.27417909419780212</v>
      </c>
      <c r="G53" s="2">
        <v>0.32808148166506679</v>
      </c>
      <c r="H53" s="2">
        <v>-2.051412305442965E-2</v>
      </c>
      <c r="I53" s="2">
        <v>-6.4387173837978443E-2</v>
      </c>
      <c r="J53" s="2">
        <v>-0.23063779273220231</v>
      </c>
      <c r="K53" s="2">
        <v>6.4051484543265199E-5</v>
      </c>
      <c r="L53" s="2">
        <v>-1.1552468412489501E-2</v>
      </c>
      <c r="M53" s="2">
        <v>-0.11867886197045301</v>
      </c>
      <c r="N53" s="2" cm="1">
        <f t="array" ref="N53">SUMPRODUCT(1+B53:K53,$B$124:$K$124)-1</f>
        <v>-0.11867886197045296</v>
      </c>
    </row>
    <row r="54" spans="1:14" x14ac:dyDescent="0.35">
      <c r="A54" s="3">
        <v>43616</v>
      </c>
      <c r="B54" s="2">
        <v>-9.7197034704290142E-2</v>
      </c>
      <c r="C54" s="2">
        <v>-3.3205506315619319E-3</v>
      </c>
      <c r="D54" s="2">
        <v>0.41307636882920767</v>
      </c>
      <c r="E54" s="2">
        <v>-4.8641147541036628E-2</v>
      </c>
      <c r="F54" s="2">
        <v>0.14200215645708389</v>
      </c>
      <c r="G54" s="2">
        <v>-0.18028247593871591</v>
      </c>
      <c r="H54" s="2">
        <v>-1.944090813724459E-2</v>
      </c>
      <c r="I54" s="2">
        <v>0.28050230731446829</v>
      </c>
      <c r="J54" s="2">
        <v>-0.1187702538545633</v>
      </c>
      <c r="K54" s="2">
        <v>0.27696343774227689</v>
      </c>
      <c r="L54" s="2">
        <v>-2.030766000917876E-2</v>
      </c>
      <c r="M54" s="2">
        <v>7.9271089213306251E-2</v>
      </c>
      <c r="N54" s="2" cm="1">
        <f t="array" ref="N54">SUMPRODUCT(1+B54:K54,$B$124:$K$124)-1</f>
        <v>7.9271089213306389E-2</v>
      </c>
    </row>
    <row r="55" spans="1:14" x14ac:dyDescent="0.35">
      <c r="A55" s="3">
        <v>43646</v>
      </c>
      <c r="B55" s="2">
        <v>0.14409221917786039</v>
      </c>
      <c r="C55" s="2">
        <v>-3.6577022861527433E-2</v>
      </c>
      <c r="D55" s="2">
        <v>0.17475235626123289</v>
      </c>
      <c r="E55" s="2">
        <v>0.2061907984091968</v>
      </c>
      <c r="F55" s="2">
        <v>0.17488010093261919</v>
      </c>
      <c r="G55" s="2">
        <v>-0.18849725903833109</v>
      </c>
      <c r="H55" s="2">
        <v>-6.2273371179356572E-2</v>
      </c>
      <c r="I55" s="2">
        <v>-4.7831777122385672E-3</v>
      </c>
      <c r="J55" s="2">
        <v>4.1324385694589301E-2</v>
      </c>
      <c r="K55" s="2">
        <v>0.17597297312246529</v>
      </c>
      <c r="L55" s="2">
        <v>1.835028866522604E-2</v>
      </c>
      <c r="M55" s="2">
        <v>7.0727573446901504E-2</v>
      </c>
      <c r="N55" s="2" cm="1">
        <f t="array" ref="N55">SUMPRODUCT(1+B55:K55,$B$124:$K$124)-1</f>
        <v>7.0727573446901282E-2</v>
      </c>
    </row>
    <row r="56" spans="1:14" x14ac:dyDescent="0.35">
      <c r="A56" s="3">
        <v>43677</v>
      </c>
      <c r="B56" s="2">
        <v>6.4681163335011602E-2</v>
      </c>
      <c r="C56" s="2">
        <v>-0.15892768301495749</v>
      </c>
      <c r="D56" s="2">
        <v>0.13629069357147269</v>
      </c>
      <c r="E56" s="2">
        <v>0.1610173500153069</v>
      </c>
      <c r="F56" s="2">
        <v>0.17894195040596</v>
      </c>
      <c r="G56" s="2">
        <v>0.29726737748583948</v>
      </c>
      <c r="H56" s="2">
        <v>0.1590588157307091</v>
      </c>
      <c r="I56" s="2">
        <v>9.6228290293840474E-2</v>
      </c>
      <c r="J56" s="2">
        <v>4.4233488563235342E-2</v>
      </c>
      <c r="K56" s="2">
        <v>-0.21080017958213801</v>
      </c>
      <c r="L56" s="2">
        <v>3.0929985674878532E-2</v>
      </c>
      <c r="M56" s="2">
        <v>4.6705250429034242E-2</v>
      </c>
      <c r="N56" s="2" cm="1">
        <f t="array" ref="N56">SUMPRODUCT(1+B56:K56,$B$124:$K$124)-1</f>
        <v>4.6705250429034395E-2</v>
      </c>
    </row>
    <row r="57" spans="1:14" x14ac:dyDescent="0.35">
      <c r="A57" s="3">
        <v>43708</v>
      </c>
      <c r="B57" s="2">
        <v>0.15939321623144051</v>
      </c>
      <c r="C57" s="2">
        <v>0.15045349763047369</v>
      </c>
      <c r="D57" s="2">
        <v>0.18594216729573529</v>
      </c>
      <c r="E57" s="2">
        <v>-6.236254803458445E-2</v>
      </c>
      <c r="F57" s="2">
        <v>-2.6042671938396149E-2</v>
      </c>
      <c r="G57" s="2">
        <v>0.35800617479014141</v>
      </c>
      <c r="H57" s="2">
        <v>9.1916754576213136E-2</v>
      </c>
      <c r="I57" s="2">
        <v>0.19872875970619569</v>
      </c>
      <c r="J57" s="2">
        <v>0.1191239522699878</v>
      </c>
      <c r="K57" s="2">
        <v>0.14943500961123499</v>
      </c>
      <c r="L57" s="2">
        <v>2.7938403573485961E-2</v>
      </c>
      <c r="M57" s="2">
        <v>0.13519959858317829</v>
      </c>
      <c r="N57" s="2" cm="1">
        <f t="array" ref="N57">SUMPRODUCT(1+B57:K57,$B$124:$K$124)-1</f>
        <v>0.1351995985831782</v>
      </c>
    </row>
    <row r="58" spans="1:14" x14ac:dyDescent="0.35">
      <c r="A58" s="3">
        <v>43738</v>
      </c>
      <c r="B58" s="2">
        <v>0.12879336154638571</v>
      </c>
      <c r="C58" s="2">
        <v>-9.7385227625018389E-2</v>
      </c>
      <c r="D58" s="2">
        <v>-9.2714913512026969E-3</v>
      </c>
      <c r="E58" s="2">
        <v>-9.9284182590286471E-2</v>
      </c>
      <c r="F58" s="2">
        <v>-0.1131501619008333</v>
      </c>
      <c r="G58" s="2">
        <v>-0.11046177229680119</v>
      </c>
      <c r="H58" s="2">
        <v>2.5796744275023441E-2</v>
      </c>
      <c r="I58" s="2">
        <v>-6.6553519069984288E-2</v>
      </c>
      <c r="J58" s="2">
        <v>0.17183299365301671</v>
      </c>
      <c r="K58" s="2">
        <v>-0.18642397487422149</v>
      </c>
      <c r="L58" s="2">
        <v>-2.517652569667915E-2</v>
      </c>
      <c r="M58" s="2">
        <v>-4.2913901297616047E-2</v>
      </c>
      <c r="N58" s="2" cm="1">
        <f t="array" ref="N58">SUMPRODUCT(1+B58:K58,$B$124:$K$124)-1</f>
        <v>-4.2913901297616075E-2</v>
      </c>
    </row>
    <row r="59" spans="1:14" x14ac:dyDescent="0.35">
      <c r="A59" s="3">
        <v>43769</v>
      </c>
      <c r="B59" s="2">
        <v>0.12712656024052621</v>
      </c>
      <c r="C59" s="2">
        <v>9.7361229434178576E-2</v>
      </c>
      <c r="D59" s="2">
        <v>0.43127850340803697</v>
      </c>
      <c r="E59" s="2">
        <v>0.17987763804531981</v>
      </c>
      <c r="F59" s="2">
        <v>0.32894132052198932</v>
      </c>
      <c r="G59" s="2">
        <v>-9.0739887823642854E-2</v>
      </c>
      <c r="H59" s="2">
        <v>0.1924095582109821</v>
      </c>
      <c r="I59" s="2">
        <v>0.31946093626394773</v>
      </c>
      <c r="J59" s="2">
        <v>0.16987224386282379</v>
      </c>
      <c r="K59" s="2">
        <v>0.3609494922967611</v>
      </c>
      <c r="L59" s="2">
        <v>-9.2763712755364377E-3</v>
      </c>
      <c r="M59" s="2">
        <v>0.2225264715720342</v>
      </c>
      <c r="N59" s="2" cm="1">
        <f t="array" ref="N59">SUMPRODUCT(1+B59:K59,$B$124:$K$124)-1</f>
        <v>0.22252647157203409</v>
      </c>
    </row>
    <row r="60" spans="1:14" x14ac:dyDescent="0.35">
      <c r="A60" s="3">
        <v>43799</v>
      </c>
      <c r="B60" s="2">
        <v>-9.9962182701830382E-2</v>
      </c>
      <c r="C60" s="2">
        <v>0.1993909213226128</v>
      </c>
      <c r="D60" s="2">
        <v>0.37642059791782267</v>
      </c>
      <c r="E60" s="2">
        <v>-7.1010468443168273E-2</v>
      </c>
      <c r="F60" s="2">
        <v>-8.7364333875718014E-2</v>
      </c>
      <c r="G60" s="2">
        <v>0.24312183453377931</v>
      </c>
      <c r="H60" s="2">
        <v>0.2016080719984466</v>
      </c>
      <c r="I60" s="2">
        <v>-0.11858469783472771</v>
      </c>
      <c r="J60" s="2">
        <v>-8.5806930962786659E-2</v>
      </c>
      <c r="K60" s="2">
        <v>-7.0030119534526425E-2</v>
      </c>
      <c r="L60" s="2">
        <v>9.9379029421069187E-3</v>
      </c>
      <c r="M60" s="2">
        <v>4.112213966748085E-2</v>
      </c>
      <c r="N60" s="2" cm="1">
        <f t="array" ref="N60">SUMPRODUCT(1+B60:K60,$B$124:$K$124)-1</f>
        <v>4.1122139667481017E-2</v>
      </c>
    </row>
    <row r="61" spans="1:14" x14ac:dyDescent="0.35">
      <c r="A61" s="3">
        <v>43830</v>
      </c>
      <c r="B61" s="2">
        <v>0.10883200243976721</v>
      </c>
      <c r="C61" s="2">
        <v>0.19804745691777059</v>
      </c>
      <c r="D61" s="2">
        <v>0.21246362178654701</v>
      </c>
      <c r="E61" s="2">
        <v>0.22655741653920969</v>
      </c>
      <c r="F61" s="2">
        <v>0.3774319427965902</v>
      </c>
      <c r="G61" s="2">
        <v>0.46651599926036058</v>
      </c>
      <c r="H61" s="2">
        <v>0.52518352972350979</v>
      </c>
      <c r="I61" s="2">
        <v>0.1567197172498474</v>
      </c>
      <c r="J61" s="2">
        <v>0.47863675875288431</v>
      </c>
      <c r="K61" s="2">
        <v>0.354782324162496</v>
      </c>
      <c r="L61" s="2">
        <v>2.9266353813670778E-2</v>
      </c>
      <c r="M61" s="2">
        <v>0.31611812967004332</v>
      </c>
      <c r="N61" s="2" cm="1">
        <f t="array" ref="N61">SUMPRODUCT(1+B61:K61,$B$124:$K$124)-1</f>
        <v>0.31611812967004327</v>
      </c>
    </row>
    <row r="62" spans="1:14" x14ac:dyDescent="0.35">
      <c r="A62" s="3">
        <v>43861</v>
      </c>
      <c r="B62" s="2">
        <v>5.6061122318711819E-2</v>
      </c>
      <c r="C62" s="2">
        <v>0.17255016006644461</v>
      </c>
      <c r="D62" s="2">
        <v>-0.12952250106087221</v>
      </c>
      <c r="E62" s="2">
        <v>0.1086282692455826</v>
      </c>
      <c r="F62" s="2">
        <v>7.8250126359792588E-2</v>
      </c>
      <c r="G62" s="2">
        <v>0.13573950183620559</v>
      </c>
      <c r="H62" s="2">
        <v>0.10476318926391261</v>
      </c>
      <c r="I62" s="2">
        <v>0.47213457033934209</v>
      </c>
      <c r="J62" s="2">
        <v>-3.6350509059606559E-2</v>
      </c>
      <c r="K62" s="2">
        <v>-2.9665172935380801E-2</v>
      </c>
      <c r="L62" s="2">
        <v>-1.4375227135358701E-2</v>
      </c>
      <c r="M62" s="2">
        <v>7.5251269934981893E-2</v>
      </c>
      <c r="N62" s="2" cm="1">
        <f t="array" ref="N62">SUMPRODUCT(1+B62:K62,$B$124:$K$124)-1</f>
        <v>7.5251269934981879E-2</v>
      </c>
    </row>
    <row r="63" spans="1:14" x14ac:dyDescent="0.35">
      <c r="A63" s="3">
        <v>43890</v>
      </c>
      <c r="B63" s="2">
        <v>-0.18374815851893711</v>
      </c>
      <c r="C63" s="2">
        <v>-0.1944873403902424</v>
      </c>
      <c r="D63" s="2">
        <v>-0.2289023510521932</v>
      </c>
      <c r="E63" s="2">
        <v>7.4282275648168583E-2</v>
      </c>
      <c r="F63" s="2">
        <v>0.11674731049987939</v>
      </c>
      <c r="G63" s="2">
        <v>-0.22582992079544029</v>
      </c>
      <c r="H63" s="2">
        <v>-0.21383744296621801</v>
      </c>
      <c r="I63" s="2">
        <v>-2.554151600089815E-2</v>
      </c>
      <c r="J63" s="2">
        <v>-0.18457423833078371</v>
      </c>
      <c r="K63" s="2">
        <v>-9.0723292062389067E-3</v>
      </c>
      <c r="L63" s="2">
        <v>-5.569769299914513E-3</v>
      </c>
      <c r="M63" s="2">
        <v>-0.1035310895688395</v>
      </c>
      <c r="N63" s="2" cm="1">
        <f t="array" ref="N63">SUMPRODUCT(1+B63:K63,$B$124:$K$124)-1</f>
        <v>-0.1035310895688395</v>
      </c>
    </row>
    <row r="64" spans="1:14" x14ac:dyDescent="0.35">
      <c r="A64" s="3">
        <v>43921</v>
      </c>
      <c r="B64" s="2">
        <v>-9.6284377598325768E-2</v>
      </c>
      <c r="C64" s="2">
        <v>-0.39129306569411049</v>
      </c>
      <c r="D64" s="2">
        <v>9.3011881973055793E-2</v>
      </c>
      <c r="E64" s="2">
        <v>0.1058023018649905</v>
      </c>
      <c r="F64" s="2">
        <v>-0.28840983017383631</v>
      </c>
      <c r="G64" s="2">
        <v>-0.28536451118525491</v>
      </c>
      <c r="H64" s="2">
        <v>-8.4355615305802489E-2</v>
      </c>
      <c r="I64" s="2">
        <v>-6.3836862450213513E-2</v>
      </c>
      <c r="J64" s="2">
        <v>-4.7048601090023637E-2</v>
      </c>
      <c r="K64" s="2">
        <v>0.16515748835512731</v>
      </c>
      <c r="L64" s="2">
        <v>-3.3190049220180852E-2</v>
      </c>
      <c r="M64" s="2">
        <v>-8.5217862008347273E-2</v>
      </c>
      <c r="N64" s="2" cm="1">
        <f t="array" ref="N64">SUMPRODUCT(1+B64:K64,$B$124:$K$124)-1</f>
        <v>-8.5217862008347356E-2</v>
      </c>
    </row>
    <row r="65" spans="1:14" x14ac:dyDescent="0.35">
      <c r="A65" s="3">
        <v>43951</v>
      </c>
      <c r="B65" s="2">
        <v>1.582745636719576E-2</v>
      </c>
      <c r="C65" s="2">
        <v>-9.3404970154333328E-2</v>
      </c>
      <c r="D65" s="2">
        <v>-0.21652260205612159</v>
      </c>
      <c r="E65" s="2">
        <v>-0.1004219221617603</v>
      </c>
      <c r="F65" s="2">
        <v>-9.3283164416536404E-3</v>
      </c>
      <c r="G65" s="2">
        <v>0.29596558682841989</v>
      </c>
      <c r="H65" s="2">
        <v>-3.3166812029303307E-2</v>
      </c>
      <c r="I65" s="2">
        <v>0.1055476265826658</v>
      </c>
      <c r="J65" s="2">
        <v>2.4852653132260129E-2</v>
      </c>
      <c r="K65" s="2">
        <v>0.22101733215836419</v>
      </c>
      <c r="L65" s="2">
        <v>-3.5886198722420118E-2</v>
      </c>
      <c r="M65" s="2">
        <v>3.2034012797283323E-2</v>
      </c>
      <c r="N65" s="2" cm="1">
        <f t="array" ref="N65">SUMPRODUCT(1+B65:K65,$B$124:$K$124)-1</f>
        <v>3.2034012797283351E-2</v>
      </c>
    </row>
    <row r="66" spans="1:14" x14ac:dyDescent="0.35">
      <c r="A66" s="3">
        <v>43982</v>
      </c>
      <c r="B66" s="2">
        <v>0.34663207479399288</v>
      </c>
      <c r="C66" s="2">
        <v>-9.4943844808593247E-2</v>
      </c>
      <c r="D66" s="2">
        <v>-8.7516743829585172E-2</v>
      </c>
      <c r="E66" s="2">
        <v>0.16142172892425319</v>
      </c>
      <c r="F66" s="2">
        <v>0.1263154589208923</v>
      </c>
      <c r="G66" s="2">
        <v>0.35078979215761502</v>
      </c>
      <c r="H66" s="2">
        <v>6.718942378006848E-2</v>
      </c>
      <c r="I66" s="2">
        <v>-9.2322083209414568E-2</v>
      </c>
      <c r="J66" s="2">
        <v>8.2365692206421884E-2</v>
      </c>
      <c r="K66" s="2">
        <v>0.1951053882705123</v>
      </c>
      <c r="L66" s="2">
        <v>2.4375774671825941E-2</v>
      </c>
      <c r="M66" s="2">
        <v>0.1029209339038787</v>
      </c>
      <c r="N66" s="2" cm="1">
        <f t="array" ref="N66">SUMPRODUCT(1+B66:K66,$B$124:$K$124)-1</f>
        <v>0.10292093390387858</v>
      </c>
    </row>
    <row r="67" spans="1:14" x14ac:dyDescent="0.35">
      <c r="A67" s="3">
        <v>44012</v>
      </c>
      <c r="B67" s="2">
        <v>0.20722341811316519</v>
      </c>
      <c r="C67" s="2">
        <v>0.19313238927611359</v>
      </c>
      <c r="D67" s="2">
        <v>0.32354837707107198</v>
      </c>
      <c r="E67" s="2">
        <v>0.30543063846435442</v>
      </c>
      <c r="F67" s="2">
        <v>0.3831392378904141</v>
      </c>
      <c r="G67" s="2">
        <v>0.30143884615927918</v>
      </c>
      <c r="H67" s="2">
        <v>6.518685974631841E-2</v>
      </c>
      <c r="I67" s="2">
        <v>9.5455320639754065E-2</v>
      </c>
      <c r="J67" s="2">
        <v>0.29379432376603548</v>
      </c>
      <c r="K67" s="2">
        <v>4.983527732247083E-3</v>
      </c>
      <c r="L67" s="2">
        <v>4.0687200857124677E-2</v>
      </c>
      <c r="M67" s="2">
        <v>0.2133018186467831</v>
      </c>
      <c r="N67" s="2" cm="1">
        <f t="array" ref="N67">SUMPRODUCT(1+B67:K67,$B$124:$K$124)-1</f>
        <v>0.21330181864678321</v>
      </c>
    </row>
    <row r="68" spans="1:14" x14ac:dyDescent="0.35">
      <c r="A68" s="3">
        <v>44043</v>
      </c>
      <c r="B68" s="2">
        <v>0.1034201990554155</v>
      </c>
      <c r="C68" s="2">
        <v>-7.5550917723299221E-3</v>
      </c>
      <c r="D68" s="2">
        <v>6.4386126727793466E-2</v>
      </c>
      <c r="E68" s="2">
        <v>0.24052123885765789</v>
      </c>
      <c r="F68" s="2">
        <v>8.5039161270860961E-2</v>
      </c>
      <c r="G68" s="2">
        <v>6.5480777235177284E-2</v>
      </c>
      <c r="H68" s="2">
        <v>-0.14517671171939911</v>
      </c>
      <c r="I68" s="2">
        <v>0.17668881255204061</v>
      </c>
      <c r="J68" s="2">
        <v>0.14932203253136089</v>
      </c>
      <c r="K68" s="2">
        <v>0.43310963533663688</v>
      </c>
      <c r="L68" s="2">
        <v>-2.1603036474100151E-3</v>
      </c>
      <c r="M68" s="2">
        <v>0.14002359017946781</v>
      </c>
      <c r="N68" s="2" cm="1">
        <f t="array" ref="N68">SUMPRODUCT(1+B68:K68,$B$124:$K$124)-1</f>
        <v>0.14002359017946775</v>
      </c>
    </row>
    <row r="69" spans="1:14" x14ac:dyDescent="0.35">
      <c r="A69" s="3">
        <v>44074</v>
      </c>
      <c r="B69" s="2">
        <v>-4.308851951261275E-2</v>
      </c>
      <c r="C69" s="2">
        <v>4.6263287237780608E-2</v>
      </c>
      <c r="D69" s="2">
        <v>6.7006874820868603E-2</v>
      </c>
      <c r="E69" s="2">
        <v>0.26492800077409961</v>
      </c>
      <c r="F69" s="2">
        <v>2.8299147999383011E-2</v>
      </c>
      <c r="G69" s="2">
        <v>0.1086315101456701</v>
      </c>
      <c r="H69" s="2">
        <v>8.8603719123383412E-2</v>
      </c>
      <c r="I69" s="2">
        <v>1.1056247200454431E-2</v>
      </c>
      <c r="J69" s="2">
        <v>-5.2729512043060131E-2</v>
      </c>
      <c r="K69" s="2">
        <v>6.3885398752355355E-2</v>
      </c>
      <c r="L69" s="2">
        <v>3.0105986936760719E-2</v>
      </c>
      <c r="M69" s="2">
        <v>4.9807452795059319E-2</v>
      </c>
      <c r="N69" s="2" cm="1">
        <f t="array" ref="N69">SUMPRODUCT(1+B69:K69,$B$124:$K$124)-1</f>
        <v>4.9807452795059382E-2</v>
      </c>
    </row>
    <row r="70" spans="1:14" x14ac:dyDescent="0.35">
      <c r="A70" s="3">
        <v>44104</v>
      </c>
      <c r="B70" s="2">
        <v>6.6324988693695019E-2</v>
      </c>
      <c r="C70" s="2">
        <v>-0.25729234516079069</v>
      </c>
      <c r="D70" s="2">
        <v>-7.5440254354372821E-2</v>
      </c>
      <c r="E70" s="2">
        <v>-0.1851101985620397</v>
      </c>
      <c r="F70" s="2">
        <v>0.1100705443850367</v>
      </c>
      <c r="G70" s="2">
        <v>-0.35387919278912933</v>
      </c>
      <c r="H70" s="2">
        <v>-0.16846868575352039</v>
      </c>
      <c r="I70" s="2">
        <v>-4.4826097449880177E-2</v>
      </c>
      <c r="J70" s="2">
        <v>0.14864851636744331</v>
      </c>
      <c r="K70" s="2">
        <v>-0.10701332583550401</v>
      </c>
      <c r="L70" s="2">
        <v>1.084908075142902E-2</v>
      </c>
      <c r="M70" s="2">
        <v>-7.7304223074361578E-2</v>
      </c>
      <c r="N70" s="2" cm="1">
        <f t="array" ref="N70">SUMPRODUCT(1+B70:K70,$B$124:$K$124)-1</f>
        <v>-7.7304223074361578E-2</v>
      </c>
    </row>
    <row r="71" spans="1:14" x14ac:dyDescent="0.35">
      <c r="A71" s="3">
        <v>44135</v>
      </c>
      <c r="B71" s="2">
        <v>-0.2490536790978051</v>
      </c>
      <c r="C71" s="2">
        <v>0.1057035541949366</v>
      </c>
      <c r="D71" s="2">
        <v>-0.47095350700722199</v>
      </c>
      <c r="E71" s="2">
        <v>-0.52118395589844291</v>
      </c>
      <c r="F71" s="2">
        <v>-0.14710351366417951</v>
      </c>
      <c r="G71" s="2">
        <v>-0.3320561938899898</v>
      </c>
      <c r="H71" s="2">
        <v>-0.3160785344341448</v>
      </c>
      <c r="I71" s="2">
        <v>-6.1907828514796467E-2</v>
      </c>
      <c r="J71" s="2">
        <v>-0.14936349322627021</v>
      </c>
      <c r="K71" s="2">
        <v>-0.31989684939662588</v>
      </c>
      <c r="L71" s="2">
        <v>-1.9353592638153731E-2</v>
      </c>
      <c r="M71" s="2">
        <v>-0.23140262776131171</v>
      </c>
      <c r="N71" s="2" cm="1">
        <f t="array" ref="N71">SUMPRODUCT(1+B71:K71,$B$124:$K$124)-1</f>
        <v>-0.2314026277613116</v>
      </c>
    </row>
    <row r="72" spans="1:14" x14ac:dyDescent="0.35">
      <c r="A72" s="3">
        <v>44165</v>
      </c>
      <c r="B72" s="2">
        <v>-0.2290439715355459</v>
      </c>
      <c r="C72" s="2">
        <v>9.2808152943790245E-2</v>
      </c>
      <c r="D72" s="2">
        <v>6.6793613108244762E-2</v>
      </c>
      <c r="E72" s="2">
        <v>-5.0911387919072848E-2</v>
      </c>
      <c r="F72" s="2">
        <v>0.26488266458545451</v>
      </c>
      <c r="G72" s="2">
        <v>-0.22167097190622401</v>
      </c>
      <c r="H72" s="2">
        <v>-0.26431159537921878</v>
      </c>
      <c r="I72" s="2">
        <v>-0.16769555411736631</v>
      </c>
      <c r="J72" s="2">
        <v>-4.9174060516493E-2</v>
      </c>
      <c r="K72" s="2">
        <v>-1.5377972709292179E-3</v>
      </c>
      <c r="L72" s="2">
        <v>1.084186816525242E-2</v>
      </c>
      <c r="M72" s="2">
        <v>-3.0797285062894829E-2</v>
      </c>
      <c r="N72" s="2" cm="1">
        <f t="array" ref="N72">SUMPRODUCT(1+B72:K72,$B$124:$K$124)-1</f>
        <v>-3.0797285062894808E-2</v>
      </c>
    </row>
    <row r="73" spans="1:14" x14ac:dyDescent="0.35">
      <c r="A73" s="3">
        <v>44196</v>
      </c>
      <c r="B73" s="2">
        <v>7.1523170030918154E-2</v>
      </c>
      <c r="C73" s="2">
        <v>0.18905996778150311</v>
      </c>
      <c r="D73" s="2">
        <v>-5.5257932422377358E-2</v>
      </c>
      <c r="E73" s="2">
        <v>0.36912072096357701</v>
      </c>
      <c r="F73" s="2">
        <v>0.17186354906246051</v>
      </c>
      <c r="G73" s="2">
        <v>0.41497709376846631</v>
      </c>
      <c r="H73" s="2">
        <v>0.15550843340995091</v>
      </c>
      <c r="I73" s="2">
        <v>0.16024805670224809</v>
      </c>
      <c r="J73" s="2">
        <v>0.21797002737903901</v>
      </c>
      <c r="K73" s="2">
        <v>0.249614175936552</v>
      </c>
      <c r="L73" s="2">
        <v>4.6141096993979072E-2</v>
      </c>
      <c r="M73" s="2">
        <v>0.19539935804739941</v>
      </c>
      <c r="N73" s="2" cm="1">
        <f t="array" ref="N73">SUMPRODUCT(1+B73:K73,$B$124:$K$124)-1</f>
        <v>0.19539935804739916</v>
      </c>
    </row>
    <row r="74" spans="1:14" x14ac:dyDescent="0.35">
      <c r="A74" s="3">
        <v>44227</v>
      </c>
      <c r="B74" s="2">
        <v>0.115207084199155</v>
      </c>
      <c r="C74" s="2">
        <v>0.23644436062736121</v>
      </c>
      <c r="D74" s="2">
        <v>6.0954777187924122E-2</v>
      </c>
      <c r="E74" s="2">
        <v>0.12814338598672431</v>
      </c>
      <c r="F74" s="2">
        <v>9.6414666908857631E-3</v>
      </c>
      <c r="G74" s="2">
        <v>0.27848838164064621</v>
      </c>
      <c r="H74" s="2">
        <v>-7.4507895420923967E-2</v>
      </c>
      <c r="I74" s="2">
        <v>0.31380743130844452</v>
      </c>
      <c r="J74" s="2">
        <v>1.7353587505003092E-2</v>
      </c>
      <c r="K74" s="2">
        <v>-0.2213233268891277</v>
      </c>
      <c r="L74" s="2">
        <v>-1.074781173298546E-3</v>
      </c>
      <c r="M74" s="2">
        <v>6.6258275285544538E-2</v>
      </c>
      <c r="N74" s="2" cm="1">
        <f t="array" ref="N74">SUMPRODUCT(1+B74:K74,$B$124:$K$124)-1</f>
        <v>6.625827528554451E-2</v>
      </c>
    </row>
    <row r="75" spans="1:14" x14ac:dyDescent="0.35">
      <c r="A75" s="3">
        <v>44255</v>
      </c>
      <c r="B75" s="2">
        <v>-0.1018657526999607</v>
      </c>
      <c r="C75" s="2">
        <v>-0.22586851396522001</v>
      </c>
      <c r="D75" s="2">
        <v>3.5335489380538813E-2</v>
      </c>
      <c r="E75" s="2">
        <v>-0.176883113110644</v>
      </c>
      <c r="F75" s="2">
        <v>-0.14241362495573659</v>
      </c>
      <c r="G75" s="2">
        <v>-0.38769442101059198</v>
      </c>
      <c r="H75" s="2">
        <v>-0.18534035910887711</v>
      </c>
      <c r="I75" s="2">
        <v>-0.55228372528361536</v>
      </c>
      <c r="J75" s="2">
        <v>-0.34432765553549899</v>
      </c>
      <c r="K75" s="2">
        <v>3.1855225332172957E-2</v>
      </c>
      <c r="L75" s="2">
        <v>4.6939309674420178E-2</v>
      </c>
      <c r="M75" s="2">
        <v>-0.1896286262432878</v>
      </c>
      <c r="N75" s="2" cm="1">
        <f t="array" ref="N75">SUMPRODUCT(1+B75:K75,$B$124:$K$124)-1</f>
        <v>-0.1896286262432878</v>
      </c>
    </row>
    <row r="76" spans="1:14" x14ac:dyDescent="0.35">
      <c r="A76" s="3">
        <v>44286</v>
      </c>
      <c r="B76" s="2">
        <v>0.1081161303036644</v>
      </c>
      <c r="C76" s="2">
        <v>3.601462802610398E-2</v>
      </c>
      <c r="D76" s="2">
        <v>-0.2321126388465779</v>
      </c>
      <c r="E76" s="2">
        <v>-8.7312173877212532E-2</v>
      </c>
      <c r="F76" s="2">
        <v>-0.11699473055496271</v>
      </c>
      <c r="G76" s="2">
        <v>-0.36128599548206708</v>
      </c>
      <c r="H76" s="2">
        <v>0.21132101441579201</v>
      </c>
      <c r="I76" s="2">
        <v>0.18715555297452691</v>
      </c>
      <c r="J76" s="2">
        <v>-7.3474079518684551E-2</v>
      </c>
      <c r="K76" s="2">
        <v>-7.6600783706188516E-2</v>
      </c>
      <c r="L76" s="2">
        <v>-7.8592353122692332E-2</v>
      </c>
      <c r="M76" s="2">
        <v>-5.5893280850578438E-2</v>
      </c>
      <c r="N76" s="2" cm="1">
        <f t="array" ref="N76">SUMPRODUCT(1+B76:K76,$B$124:$K$124)-1</f>
        <v>-5.5893280850578431E-2</v>
      </c>
    </row>
    <row r="77" spans="1:14" x14ac:dyDescent="0.35">
      <c r="A77" s="3">
        <v>44316</v>
      </c>
      <c r="B77" s="2">
        <v>7.8928941118572932E-2</v>
      </c>
      <c r="C77" s="2">
        <v>-0.2625957226945646</v>
      </c>
      <c r="D77" s="2">
        <v>3.4398201373723368E-2</v>
      </c>
      <c r="E77" s="2">
        <v>-2.7296228579626582E-2</v>
      </c>
      <c r="F77" s="2">
        <v>-7.2770612924584616E-2</v>
      </c>
      <c r="G77" s="2">
        <v>5.8095767226232463E-2</v>
      </c>
      <c r="H77" s="2">
        <v>0.3075024229505402</v>
      </c>
      <c r="I77" s="2">
        <v>0.14036783577284151</v>
      </c>
      <c r="J77" s="2">
        <v>-2.3843698412147792E-2</v>
      </c>
      <c r="K77" s="2">
        <v>0.18170706534585301</v>
      </c>
      <c r="L77" s="2">
        <v>2.4657075131256711E-2</v>
      </c>
      <c r="M77" s="2">
        <v>2.9208786232210179E-2</v>
      </c>
      <c r="N77" s="2" cm="1">
        <f t="array" ref="N77">SUMPRODUCT(1+B77:K77,$B$124:$K$124)-1</f>
        <v>2.9208786232210349E-2</v>
      </c>
    </row>
    <row r="78" spans="1:14" x14ac:dyDescent="0.35">
      <c r="A78" s="3">
        <v>44347</v>
      </c>
      <c r="B78" s="2">
        <v>0.10670135719236459</v>
      </c>
      <c r="C78" s="2">
        <v>4.3409519686969211E-2</v>
      </c>
      <c r="D78" s="2">
        <v>-0.1021004275551186</v>
      </c>
      <c r="E78" s="2">
        <v>-0.19176383089807841</v>
      </c>
      <c r="F78" s="2">
        <v>1.031697461489004E-2</v>
      </c>
      <c r="G78" s="2">
        <v>-4.1281487019436021E-2</v>
      </c>
      <c r="H78" s="2">
        <v>3.4192803996212398E-2</v>
      </c>
      <c r="I78" s="2">
        <v>-5.3003270328111068E-3</v>
      </c>
      <c r="J78" s="2">
        <v>6.0332243404283732E-2</v>
      </c>
      <c r="K78" s="2">
        <v>-0.20397928354747361</v>
      </c>
      <c r="L78" s="2">
        <v>2.6114120471451372E-3</v>
      </c>
      <c r="M78" s="2">
        <v>-3.5634678252554237E-2</v>
      </c>
      <c r="N78" s="2" cm="1">
        <f t="array" ref="N78">SUMPRODUCT(1+B78:K78,$B$124:$K$124)-1</f>
        <v>-3.5634678252554175E-2</v>
      </c>
    </row>
    <row r="79" spans="1:14" x14ac:dyDescent="0.35">
      <c r="A79" s="3">
        <v>44377</v>
      </c>
      <c r="B79" s="2">
        <v>0.20335794553897499</v>
      </c>
      <c r="C79" s="2">
        <v>4.3831858772112313E-2</v>
      </c>
      <c r="D79" s="2">
        <v>0.37130841099713791</v>
      </c>
      <c r="E79" s="2">
        <v>-9.6831723584287752E-2</v>
      </c>
      <c r="F79" s="2">
        <v>0.28543749328967533</v>
      </c>
      <c r="G79" s="2">
        <v>3.4343673950707532E-2</v>
      </c>
      <c r="H79" s="2">
        <v>-7.9796384491728337E-2</v>
      </c>
      <c r="I79" s="2">
        <v>-5.5910882697967172E-2</v>
      </c>
      <c r="J79" s="2">
        <v>-3.7760272083738021E-2</v>
      </c>
      <c r="K79" s="2">
        <v>8.1553457075121141E-2</v>
      </c>
      <c r="L79" s="2">
        <v>-8.9702205139760242E-3</v>
      </c>
      <c r="M79" s="2">
        <v>8.524919813780546E-2</v>
      </c>
      <c r="N79" s="2" cm="1">
        <f t="array" ref="N79">SUMPRODUCT(1+B79:K79,$B$124:$K$124)-1</f>
        <v>8.5249198137805404E-2</v>
      </c>
    </row>
    <row r="80" spans="1:14" x14ac:dyDescent="0.35">
      <c r="A80" s="3">
        <v>44408</v>
      </c>
      <c r="B80" s="2">
        <v>8.2298666483122188E-2</v>
      </c>
      <c r="C80" s="2">
        <v>-8.254663869313314E-2</v>
      </c>
      <c r="D80" s="2">
        <v>6.3868129399368267E-3</v>
      </c>
      <c r="E80" s="2">
        <v>0.32903476474548748</v>
      </c>
      <c r="F80" s="2">
        <v>0.29293017373968078</v>
      </c>
      <c r="G80" s="2">
        <v>9.057992995225421E-2</v>
      </c>
      <c r="H80" s="2">
        <v>1.2570181435894541E-2</v>
      </c>
      <c r="I80" s="2">
        <v>2.5239692663376771E-2</v>
      </c>
      <c r="J80" s="2">
        <v>0.1012608517035356</v>
      </c>
      <c r="K80" s="2">
        <v>-0.16587951445937779</v>
      </c>
      <c r="L80" s="2">
        <v>2.7528232960650689E-3</v>
      </c>
      <c r="M80" s="2">
        <v>5.0120499015902382E-2</v>
      </c>
      <c r="N80" s="2" cm="1">
        <f t="array" ref="N80">SUMPRODUCT(1+B80:K80,$B$124:$K$124)-1</f>
        <v>5.0120499015902542E-2</v>
      </c>
    </row>
    <row r="81" spans="1:14" x14ac:dyDescent="0.35">
      <c r="A81" s="3">
        <v>44439</v>
      </c>
      <c r="B81" s="2">
        <v>-0.1781903794691678</v>
      </c>
      <c r="C81" s="2">
        <v>-0.44185553937361738</v>
      </c>
      <c r="D81" s="2">
        <v>-0.14528657557470939</v>
      </c>
      <c r="E81" s="2">
        <v>-0.1068074373001614</v>
      </c>
      <c r="F81" s="2">
        <v>-0.32238624437797142</v>
      </c>
      <c r="G81" s="2">
        <v>-1.1333258616438951E-2</v>
      </c>
      <c r="H81" s="2">
        <v>-0.31746399442976952</v>
      </c>
      <c r="I81" s="2">
        <v>-0.35111611634287693</v>
      </c>
      <c r="J81" s="2">
        <v>-0.14080348768537471</v>
      </c>
      <c r="K81" s="2">
        <v>-4.5836323584556901E-2</v>
      </c>
      <c r="L81" s="2">
        <v>-5.962706743802678E-2</v>
      </c>
      <c r="M81" s="2">
        <v>-0.19854094755375021</v>
      </c>
      <c r="N81" s="2" cm="1">
        <f t="array" ref="N81">SUMPRODUCT(1+B81:K81,$B$124:$K$124)-1</f>
        <v>-0.19854094755375018</v>
      </c>
    </row>
    <row r="82" spans="1:14" x14ac:dyDescent="0.35">
      <c r="A82" s="3">
        <v>44469</v>
      </c>
      <c r="B82" s="2">
        <v>0.2787979473137594</v>
      </c>
      <c r="C82" s="2">
        <v>-3.4727618574984853E-2</v>
      </c>
      <c r="D82" s="2">
        <v>0.2271443100315812</v>
      </c>
      <c r="E82" s="2">
        <v>2.5881120316935902E-2</v>
      </c>
      <c r="F82" s="2">
        <v>4.0364456376666552E-3</v>
      </c>
      <c r="G82" s="2">
        <v>0.18704730473127079</v>
      </c>
      <c r="H82" s="2">
        <v>0.13043265930254469</v>
      </c>
      <c r="I82" s="2">
        <v>-0.2068297689588087</v>
      </c>
      <c r="J82" s="2">
        <v>0.25829685107300382</v>
      </c>
      <c r="K82" s="2">
        <v>0.27668629459029292</v>
      </c>
      <c r="L82" s="2">
        <v>-6.5901566351253566E-3</v>
      </c>
      <c r="M82" s="2">
        <v>0.12906887324278929</v>
      </c>
      <c r="N82" s="2" cm="1">
        <f t="array" ref="N82">SUMPRODUCT(1+B82:K82,$B$124:$K$124)-1</f>
        <v>0.12906887324278937</v>
      </c>
    </row>
    <row r="83" spans="1:14" x14ac:dyDescent="0.35">
      <c r="A83" s="3">
        <v>44500</v>
      </c>
      <c r="B83" s="2">
        <v>-2.6265368562306071E-2</v>
      </c>
      <c r="C83" s="2">
        <v>0.1371102054026776</v>
      </c>
      <c r="D83" s="2">
        <v>0.17093633753509921</v>
      </c>
      <c r="E83" s="2">
        <v>0.11502995392924791</v>
      </c>
      <c r="F83" s="2">
        <v>-2.3520055947990099E-3</v>
      </c>
      <c r="G83" s="2">
        <v>-1.9422099301630118E-2</v>
      </c>
      <c r="H83" s="2">
        <v>6.002780509332558E-2</v>
      </c>
      <c r="I83" s="2">
        <v>0.25104079763373971</v>
      </c>
      <c r="J83" s="2">
        <v>0.15363979183809739</v>
      </c>
      <c r="K83" s="2">
        <v>2.2793433596355529E-2</v>
      </c>
      <c r="L83" s="2">
        <v>1.0713377145352389E-2</v>
      </c>
      <c r="M83" s="2">
        <v>8.4796070569987753E-2</v>
      </c>
      <c r="N83" s="2" cm="1">
        <f t="array" ref="N83">SUMPRODUCT(1+B83:K83,$B$124:$K$124)-1</f>
        <v>8.4796070569987725E-2</v>
      </c>
    </row>
    <row r="84" spans="1:14" x14ac:dyDescent="0.35">
      <c r="A84" s="3">
        <v>44530</v>
      </c>
      <c r="B84" s="2">
        <v>0.24110989889156939</v>
      </c>
      <c r="C84" s="2">
        <v>-0.29460969287526778</v>
      </c>
      <c r="D84" s="2">
        <v>0.39001105319317753</v>
      </c>
      <c r="E84" s="2">
        <v>-8.1960533790121567E-2</v>
      </c>
      <c r="F84" s="2">
        <v>0.15076401466640391</v>
      </c>
      <c r="G84" s="2">
        <v>4.8021615388335923E-2</v>
      </c>
      <c r="H84" s="2">
        <v>-5.6076666753245692E-2</v>
      </c>
      <c r="I84" s="2">
        <v>0.30052462472204489</v>
      </c>
      <c r="J84" s="2">
        <v>8.5694759594717909E-2</v>
      </c>
      <c r="K84" s="2">
        <v>0.25914089829798842</v>
      </c>
      <c r="L84" s="2">
        <v>4.433682134224548E-2</v>
      </c>
      <c r="M84" s="2">
        <v>0.1113857161661177</v>
      </c>
      <c r="N84" s="2" cm="1">
        <f t="array" ref="N84">SUMPRODUCT(1+B84:K84,$B$124:$K$124)-1</f>
        <v>0.11138571616611781</v>
      </c>
    </row>
    <row r="85" spans="1:14" x14ac:dyDescent="0.35">
      <c r="A85" s="3">
        <v>44561</v>
      </c>
      <c r="B85" s="2">
        <v>0.10225572498318609</v>
      </c>
      <c r="C85" s="2">
        <v>0.19140091280298849</v>
      </c>
      <c r="D85" s="2">
        <v>0.13379283474998499</v>
      </c>
      <c r="E85" s="2">
        <v>-9.3062741249522407E-2</v>
      </c>
      <c r="F85" s="2">
        <v>0.26341162577324828</v>
      </c>
      <c r="G85" s="2">
        <v>1.6299129122050612E-2</v>
      </c>
      <c r="H85" s="2">
        <v>-0.1148635959781282</v>
      </c>
      <c r="I85" s="2">
        <v>6.3068030060531466E-2</v>
      </c>
      <c r="J85" s="2">
        <v>0.33391587669802181</v>
      </c>
      <c r="K85" s="2">
        <v>0.26350127920391181</v>
      </c>
      <c r="L85" s="2">
        <v>-1.554810654820942E-2</v>
      </c>
      <c r="M85" s="2">
        <v>0.15217855486811091</v>
      </c>
      <c r="N85" s="2" cm="1">
        <f t="array" ref="N85">SUMPRODUCT(1+B85:K85,$B$124:$K$124)-1</f>
        <v>0.15217855486811094</v>
      </c>
    </row>
    <row r="86" spans="1:14" x14ac:dyDescent="0.35">
      <c r="A86" s="3">
        <v>44592</v>
      </c>
      <c r="B86" s="2">
        <v>-0.20602174311241611</v>
      </c>
      <c r="C86" s="2">
        <v>-0.23626264218786019</v>
      </c>
      <c r="D86" s="2">
        <v>-0.26244247582376529</v>
      </c>
      <c r="E86" s="2">
        <v>0.1246840278914559</v>
      </c>
      <c r="F86" s="2">
        <v>-0.14839252036584841</v>
      </c>
      <c r="G86" s="2">
        <v>-0.16166444757070361</v>
      </c>
      <c r="H86" s="2">
        <v>-7.7033821074882968E-3</v>
      </c>
      <c r="I86" s="2">
        <v>-0.1188701306761011</v>
      </c>
      <c r="J86" s="2">
        <v>-0.21344295309234571</v>
      </c>
      <c r="K86" s="2">
        <v>-0.24489156893797051</v>
      </c>
      <c r="L86" s="2">
        <v>-2.4254808086795629E-2</v>
      </c>
      <c r="M86" s="2">
        <v>-0.1701246479757354</v>
      </c>
      <c r="N86" s="2" cm="1">
        <f t="array" ref="N86">SUMPRODUCT(1+B86:K86,$B$124:$K$124)-1</f>
        <v>-0.17012464797573545</v>
      </c>
    </row>
    <row r="87" spans="1:14" x14ac:dyDescent="0.35">
      <c r="A87" s="3">
        <v>44620</v>
      </c>
      <c r="B87" s="2">
        <v>-0.1159719171583561</v>
      </c>
      <c r="C87" s="2">
        <v>-0.1279357420553667</v>
      </c>
      <c r="D87" s="2">
        <v>-1.2336397626590291E-2</v>
      </c>
      <c r="E87" s="2">
        <v>-0.11608251245711231</v>
      </c>
      <c r="F87" s="2">
        <v>-2.1580820419044529E-2</v>
      </c>
      <c r="G87" s="2">
        <v>-0.17224767225286411</v>
      </c>
      <c r="H87" s="2">
        <v>-9.4364927880925889E-2</v>
      </c>
      <c r="I87" s="2">
        <v>-0.42669289186724879</v>
      </c>
      <c r="J87" s="2">
        <v>2.069578407642636E-2</v>
      </c>
      <c r="K87" s="2">
        <v>-8.1654596975250335E-2</v>
      </c>
      <c r="L87" s="2">
        <v>-1.5052711307536101E-2</v>
      </c>
      <c r="M87" s="2">
        <v>-0.1020372494111621</v>
      </c>
      <c r="N87" s="2" cm="1">
        <f t="array" ref="N87">SUMPRODUCT(1+B87:K87,$B$124:$K$124)-1</f>
        <v>-0.1020372494111621</v>
      </c>
    </row>
    <row r="88" spans="1:14" x14ac:dyDescent="0.35">
      <c r="A88" s="3">
        <v>44651</v>
      </c>
      <c r="B88" s="2">
        <v>0.2073265562295879</v>
      </c>
      <c r="C88" s="2">
        <v>-0.38127555773405503</v>
      </c>
      <c r="D88" s="2">
        <v>0.4608191879863931</v>
      </c>
      <c r="E88" s="2">
        <v>7.1524096392369604E-2</v>
      </c>
      <c r="F88" s="2">
        <v>0.29115527701519089</v>
      </c>
      <c r="G88" s="2">
        <v>-5.1565445590640642E-2</v>
      </c>
      <c r="H88" s="2">
        <v>0.15192192864900311</v>
      </c>
      <c r="I88" s="2">
        <v>-0.11576276790042039</v>
      </c>
      <c r="J88" s="2">
        <v>-1.496683899645151E-2</v>
      </c>
      <c r="K88" s="2">
        <v>0.43449145637971509</v>
      </c>
      <c r="L88" s="2">
        <v>2.746206353106222E-2</v>
      </c>
      <c r="M88" s="2">
        <v>0.1167350917230212</v>
      </c>
      <c r="N88" s="2" cm="1">
        <f t="array" ref="N88">SUMPRODUCT(1+B88:K88,$B$124:$K$124)-1</f>
        <v>0.11673509172302121</v>
      </c>
    </row>
    <row r="89" spans="1:14" x14ac:dyDescent="0.35">
      <c r="A89" s="3">
        <v>44681</v>
      </c>
      <c r="B89" s="2">
        <v>3.0954316777962041E-2</v>
      </c>
      <c r="C89" s="2">
        <v>0.1025351665319882</v>
      </c>
      <c r="D89" s="2">
        <v>0.22930060485286441</v>
      </c>
      <c r="E89" s="2">
        <v>0.14370215014722101</v>
      </c>
      <c r="F89" s="2">
        <v>0.10440872925836529</v>
      </c>
      <c r="G89" s="2">
        <v>0.15438017553917119</v>
      </c>
      <c r="H89" s="2">
        <v>0.40403719692332579</v>
      </c>
      <c r="I89" s="2">
        <v>4.9082210337894658E-2</v>
      </c>
      <c r="J89" s="2">
        <v>9.5990053239118814E-2</v>
      </c>
      <c r="K89" s="2">
        <v>0.26162544520574738</v>
      </c>
      <c r="L89" s="2">
        <v>9.8625332897905333E-3</v>
      </c>
      <c r="M89" s="2">
        <v>0.1556565391350492</v>
      </c>
      <c r="N89" s="2" cm="1">
        <f t="array" ref="N89">SUMPRODUCT(1+B89:K89,$B$124:$K$124)-1</f>
        <v>0.15565653913504929</v>
      </c>
    </row>
    <row r="90" spans="1:14" x14ac:dyDescent="0.35">
      <c r="A90" s="3">
        <v>44712</v>
      </c>
      <c r="B90" s="2">
        <v>0.20978434848858529</v>
      </c>
      <c r="C90" s="2">
        <v>0.23987355185048689</v>
      </c>
      <c r="D90" s="2">
        <v>0.16087964890958839</v>
      </c>
      <c r="E90" s="2">
        <v>-0.1328282958478611</v>
      </c>
      <c r="F90" s="2">
        <v>0.30072551043099172</v>
      </c>
      <c r="G90" s="2">
        <v>-0.16996277823037789</v>
      </c>
      <c r="H90" s="2">
        <v>9.4312731859506699E-2</v>
      </c>
      <c r="I90" s="2">
        <v>-5.3507167535294081E-2</v>
      </c>
      <c r="J90" s="2">
        <v>3.6534038345783913E-2</v>
      </c>
      <c r="K90" s="2">
        <v>0.10281444247513349</v>
      </c>
      <c r="L90" s="2">
        <v>-1.5892806113011169E-2</v>
      </c>
      <c r="M90" s="2">
        <v>9.2718640679149048E-2</v>
      </c>
      <c r="N90" s="2" cm="1">
        <f t="array" ref="N90">SUMPRODUCT(1+B90:K90,$B$124:$K$124)-1</f>
        <v>9.2718640679148923E-2</v>
      </c>
    </row>
    <row r="91" spans="1:14" x14ac:dyDescent="0.35">
      <c r="A91" s="3">
        <v>44742</v>
      </c>
      <c r="B91" s="2">
        <v>0.46641152218440329</v>
      </c>
      <c r="C91" s="2">
        <v>0.53744461645883346</v>
      </c>
      <c r="D91" s="2">
        <v>0.8005443834739393</v>
      </c>
      <c r="E91" s="2">
        <v>0.51738607955085969</v>
      </c>
      <c r="F91" s="2">
        <v>0.45726002215239908</v>
      </c>
      <c r="G91" s="2">
        <v>0.71182415387560594</v>
      </c>
      <c r="H91" s="2">
        <v>0.59126347539047408</v>
      </c>
      <c r="I91" s="2">
        <v>0.26044525796225831</v>
      </c>
      <c r="J91" s="2">
        <v>0.53788874354987115</v>
      </c>
      <c r="K91" s="2">
        <v>0.64197018706843223</v>
      </c>
      <c r="L91" s="2">
        <v>1.539802299340068E-2</v>
      </c>
      <c r="M91" s="2">
        <v>0.56139271170417637</v>
      </c>
      <c r="N91" s="2" cm="1">
        <f t="array" ref="N91">SUMPRODUCT(1+B91:K91,$B$124:$K$124)-1</f>
        <v>0.56139271170417615</v>
      </c>
    </row>
    <row r="92" spans="1:14" x14ac:dyDescent="0.35">
      <c r="A92" s="3">
        <v>44773</v>
      </c>
      <c r="B92" s="2">
        <v>1.965720511542907E-2</v>
      </c>
      <c r="C92" s="2">
        <v>0.28911477674125791</v>
      </c>
      <c r="D92" s="2">
        <v>5.1597528056024668E-2</v>
      </c>
      <c r="E92" s="2">
        <v>8.6157524074713776E-2</v>
      </c>
      <c r="F92" s="2">
        <v>4.6591848401815461E-2</v>
      </c>
      <c r="G92" s="2">
        <v>8.4586947945082883E-2</v>
      </c>
      <c r="H92" s="2">
        <v>-9.5213404861057033E-2</v>
      </c>
      <c r="I92" s="2">
        <v>-0.1626695521817435</v>
      </c>
      <c r="J92" s="2">
        <v>0.30743801577569141</v>
      </c>
      <c r="K92" s="2">
        <v>-6.8659483160571008E-2</v>
      </c>
      <c r="L92" s="2">
        <v>2.9123264804412109E-3</v>
      </c>
      <c r="M92" s="2">
        <v>7.0450114027220484E-2</v>
      </c>
      <c r="N92" s="2" cm="1">
        <f t="array" ref="N92">SUMPRODUCT(1+B92:K92,$B$124:$K$124)-1</f>
        <v>7.0450114027220456E-2</v>
      </c>
    </row>
    <row r="93" spans="1:14" x14ac:dyDescent="0.35">
      <c r="A93" s="3">
        <v>44804</v>
      </c>
      <c r="B93" s="2">
        <v>-1.137643926796275E-2</v>
      </c>
      <c r="C93" s="2">
        <v>-0.18785765230663329</v>
      </c>
      <c r="D93" s="2">
        <v>6.8979114764545324E-2</v>
      </c>
      <c r="E93" s="2">
        <v>-3.3398927638603117E-2</v>
      </c>
      <c r="F93" s="2">
        <v>0.4564905961267256</v>
      </c>
      <c r="G93" s="2">
        <v>0.39357442021230932</v>
      </c>
      <c r="H93" s="2">
        <v>3.2235791629947483E-2</v>
      </c>
      <c r="I93" s="2">
        <v>0.48634994526480568</v>
      </c>
      <c r="J93" s="2">
        <v>0.2987541504201458</v>
      </c>
      <c r="K93" s="2">
        <v>0.12956817982476571</v>
      </c>
      <c r="L93" s="2">
        <v>2.9059349715986671E-2</v>
      </c>
      <c r="M93" s="2">
        <v>0.16715370796212969</v>
      </c>
      <c r="N93" s="2" cm="1">
        <f t="array" ref="N93">SUMPRODUCT(1+B93:K93,$B$124:$K$124)-1</f>
        <v>0.16715370796212969</v>
      </c>
    </row>
    <row r="94" spans="1:14" x14ac:dyDescent="0.35">
      <c r="A94" s="3">
        <v>44834</v>
      </c>
      <c r="B94" s="2">
        <v>-0.26287940659832082</v>
      </c>
      <c r="C94" s="2">
        <v>0.46457876309853002</v>
      </c>
      <c r="D94" s="2">
        <v>-0.14046201946872999</v>
      </c>
      <c r="E94" s="2">
        <v>-0.1651666890947798</v>
      </c>
      <c r="F94" s="2">
        <v>0.24586617689957529</v>
      </c>
      <c r="G94" s="2">
        <v>0.50538365745715519</v>
      </c>
      <c r="H94" s="2">
        <v>0.29567080261214701</v>
      </c>
      <c r="I94" s="2">
        <v>0.21147015955127471</v>
      </c>
      <c r="J94" s="2">
        <v>0.1817129069285324</v>
      </c>
      <c r="K94" s="2">
        <v>0.2438179399519185</v>
      </c>
      <c r="L94" s="2">
        <v>-2.1061592816320571E-2</v>
      </c>
      <c r="M94" s="2">
        <v>0.17893244670439459</v>
      </c>
      <c r="N94" s="2" cm="1">
        <f t="array" ref="N94">SUMPRODUCT(1+B94:K94,$B$124:$K$124)-1</f>
        <v>0.17893244670439468</v>
      </c>
    </row>
    <row r="95" spans="1:14" x14ac:dyDescent="0.35">
      <c r="A95" s="3">
        <v>44865</v>
      </c>
      <c r="B95" s="2">
        <v>0.176462327269549</v>
      </c>
      <c r="C95" s="2">
        <v>0.11598699995436031</v>
      </c>
      <c r="D95" s="2">
        <v>9.2329877413634812E-2</v>
      </c>
      <c r="E95" s="2">
        <v>5.0985182164680863E-2</v>
      </c>
      <c r="F95" s="2">
        <v>-6.0377073893998892E-2</v>
      </c>
      <c r="G95" s="2">
        <v>1.3877367198038851E-2</v>
      </c>
      <c r="H95" s="2">
        <v>-0.17616755534871981</v>
      </c>
      <c r="I95" s="2">
        <v>6.5631141736635298E-2</v>
      </c>
      <c r="J95" s="2">
        <v>-8.2928705990366405E-2</v>
      </c>
      <c r="K95" s="2">
        <v>-0.1194554376631695</v>
      </c>
      <c r="L95" s="2">
        <v>-9.8298643979330465E-3</v>
      </c>
      <c r="M95" s="2">
        <v>2.316978016148018E-4</v>
      </c>
      <c r="N95" s="2" cm="1">
        <f t="array" ref="N95">SUMPRODUCT(1+B95:K95,$B$124:$K$124)-1</f>
        <v>2.3169780161502729E-4</v>
      </c>
    </row>
    <row r="96" spans="1:14" x14ac:dyDescent="0.35">
      <c r="A96" s="3">
        <v>44895</v>
      </c>
      <c r="B96" s="2">
        <v>-1.1663107261710619E-2</v>
      </c>
      <c r="C96" s="2">
        <v>0.17611913038441929</v>
      </c>
      <c r="D96" s="2">
        <v>0.1057108403349391</v>
      </c>
      <c r="E96" s="2">
        <v>-0.2840077015031412</v>
      </c>
      <c r="F96" s="2">
        <v>-0.2200263611211952</v>
      </c>
      <c r="G96" s="2">
        <v>9.657004291645449E-2</v>
      </c>
      <c r="H96" s="2">
        <v>-0.17883669008764411</v>
      </c>
      <c r="I96" s="2">
        <v>-6.9760257100555625E-2</v>
      </c>
      <c r="J96" s="2">
        <v>3.8382710738944698E-2</v>
      </c>
      <c r="K96" s="2">
        <v>-0.22410824721902931</v>
      </c>
      <c r="L96" s="2">
        <v>-1.1763244593964731E-2</v>
      </c>
      <c r="M96" s="2">
        <v>-5.1798392999668041E-2</v>
      </c>
      <c r="N96" s="2" cm="1">
        <f t="array" ref="N96">SUMPRODUCT(1+B96:K96,$B$124:$K$124)-1</f>
        <v>-5.1798392999668041E-2</v>
      </c>
    </row>
    <row r="97" spans="1:14" x14ac:dyDescent="0.35">
      <c r="A97" s="3">
        <v>44926</v>
      </c>
      <c r="B97" s="2">
        <v>8.3849609741442302E-2</v>
      </c>
      <c r="C97" s="2">
        <v>-0.1510246955334425</v>
      </c>
      <c r="D97" s="2">
        <v>-5.388876082403507E-2</v>
      </c>
      <c r="E97" s="2">
        <v>7.6785609904937685E-2</v>
      </c>
      <c r="F97" s="2">
        <v>-0.24336587193682019</v>
      </c>
      <c r="G97" s="2">
        <v>7.6245162526791338E-2</v>
      </c>
      <c r="H97" s="2">
        <v>6.5870210287499398E-2</v>
      </c>
      <c r="I97" s="2">
        <v>0.1938853648831482</v>
      </c>
      <c r="J97" s="2">
        <v>8.6318137579850102E-2</v>
      </c>
      <c r="K97" s="2">
        <v>0.2767596549544647</v>
      </c>
      <c r="L97" s="2">
        <v>-4.3905448443963553E-2</v>
      </c>
      <c r="M97" s="2">
        <v>4.362888512660211E-2</v>
      </c>
      <c r="N97" s="2" cm="1">
        <f t="array" ref="N97">SUMPRODUCT(1+B97:K97,$B$124:$K$124)-1</f>
        <v>4.3628885126602013E-2</v>
      </c>
    </row>
    <row r="98" spans="1:14" x14ac:dyDescent="0.35">
      <c r="A98" s="3">
        <v>44957</v>
      </c>
      <c r="B98" s="2">
        <v>-6.2685870118321801E-2</v>
      </c>
      <c r="C98" s="2">
        <v>-0.15471225901897739</v>
      </c>
      <c r="D98" s="2">
        <v>-6.9805950717734905E-2</v>
      </c>
      <c r="E98" s="2">
        <v>5.8433387714960294E-3</v>
      </c>
      <c r="F98" s="2">
        <v>-7.0789731771284226E-2</v>
      </c>
      <c r="G98" s="2">
        <v>-7.4180352854901835E-2</v>
      </c>
      <c r="H98" s="2">
        <v>-0.1816560094511806</v>
      </c>
      <c r="I98" s="2">
        <v>-0.20151571584818909</v>
      </c>
      <c r="J98" s="2">
        <v>-0.29236932092141632</v>
      </c>
      <c r="K98" s="2">
        <v>0.21427569104229019</v>
      </c>
      <c r="L98" s="2">
        <v>8.883608311937281E-3</v>
      </c>
      <c r="M98" s="2">
        <v>-7.5359523289237867E-2</v>
      </c>
      <c r="N98" s="2" cm="1">
        <f t="array" ref="N98">SUMPRODUCT(1+B98:K98,$B$124:$K$124)-1</f>
        <v>-7.5359523289237784E-2</v>
      </c>
    </row>
    <row r="99" spans="1:14" x14ac:dyDescent="0.35">
      <c r="A99" s="3">
        <v>44985</v>
      </c>
      <c r="B99" s="2">
        <v>-0.20208719196397459</v>
      </c>
      <c r="C99" s="2">
        <v>-0.1333637938919793</v>
      </c>
      <c r="D99" s="2">
        <v>-0.14730069552201311</v>
      </c>
      <c r="E99" s="2">
        <v>0.1167484072080622</v>
      </c>
      <c r="F99" s="2">
        <v>-6.3164303653561765E-2</v>
      </c>
      <c r="G99" s="2">
        <v>0.20584685157645749</v>
      </c>
      <c r="H99" s="2">
        <v>-0.1200562672760061</v>
      </c>
      <c r="I99" s="2">
        <v>1.358999169538325E-2</v>
      </c>
      <c r="J99" s="2">
        <v>-0.14690540863058721</v>
      </c>
      <c r="K99" s="2">
        <v>0.35096795184268859</v>
      </c>
      <c r="L99" s="2">
        <v>7.831658165396679E-3</v>
      </c>
      <c r="M99" s="2">
        <v>3.7908240401210778E-3</v>
      </c>
      <c r="N99" s="2" cm="1">
        <f t="array" ref="N99">SUMPRODUCT(1+B99:K99,$B$124:$K$124)-1</f>
        <v>3.7908240401212101E-3</v>
      </c>
    </row>
    <row r="100" spans="1:14" x14ac:dyDescent="0.35">
      <c r="A100" s="3">
        <v>45016</v>
      </c>
      <c r="B100" s="2">
        <v>-0.22310794782571891</v>
      </c>
      <c r="C100" s="2">
        <v>-8.5265724604706369E-3</v>
      </c>
      <c r="D100" s="2">
        <v>4.7108334774184711E-2</v>
      </c>
      <c r="E100" s="2">
        <v>7.6074650991329136E-3</v>
      </c>
      <c r="F100" s="2">
        <v>-8.9085271778443387E-2</v>
      </c>
      <c r="G100" s="2">
        <v>-8.6328935043184132E-2</v>
      </c>
      <c r="H100" s="2">
        <v>-4.6006716007909607E-2</v>
      </c>
      <c r="I100" s="2">
        <v>-8.1712811675919747E-2</v>
      </c>
      <c r="J100" s="2">
        <v>9.0635904697193279E-2</v>
      </c>
      <c r="K100" s="2">
        <v>0.31987846151576249</v>
      </c>
      <c r="L100" s="2">
        <v>1.534036992738267E-4</v>
      </c>
      <c r="M100" s="2">
        <v>2.246834102213742E-2</v>
      </c>
      <c r="N100" s="2" cm="1">
        <f t="array" ref="N100">SUMPRODUCT(1+B100:K100,$B$124:$K$124)-1</f>
        <v>2.2468341022137572E-2</v>
      </c>
    </row>
    <row r="101" spans="1:14" x14ac:dyDescent="0.35">
      <c r="A101" s="3">
        <v>45046</v>
      </c>
      <c r="B101" s="2">
        <v>-7.3458342795730658E-2</v>
      </c>
      <c r="C101" s="2">
        <v>-0.2129859748126898</v>
      </c>
      <c r="D101" s="2">
        <v>-1.2418111401417331E-2</v>
      </c>
      <c r="E101" s="2">
        <v>0.38442423372502132</v>
      </c>
      <c r="F101" s="2">
        <v>-0.13305722852057669</v>
      </c>
      <c r="G101" s="2">
        <v>0.28229736591508459</v>
      </c>
      <c r="H101" s="2">
        <v>0.24800680503058631</v>
      </c>
      <c r="I101" s="2">
        <v>-7.6304852485881758E-2</v>
      </c>
      <c r="J101" s="2">
        <v>8.977809423450972E-2</v>
      </c>
      <c r="K101" s="2">
        <v>0.28325790665396461</v>
      </c>
      <c r="L101" s="2">
        <v>-7.0376140012544074E-3</v>
      </c>
      <c r="M101" s="2">
        <v>7.0771806032607937E-2</v>
      </c>
      <c r="N101" s="2" cm="1">
        <f t="array" ref="N101">SUMPRODUCT(1+B101:K101,$B$124:$K$124)-1</f>
        <v>7.0771806032607909E-2</v>
      </c>
    </row>
    <row r="102" spans="1:14" x14ac:dyDescent="0.35">
      <c r="A102" s="3">
        <v>45077</v>
      </c>
      <c r="B102" s="2">
        <v>0.1824060050684102</v>
      </c>
      <c r="C102" s="2">
        <v>0.21564974444379589</v>
      </c>
      <c r="D102" s="2">
        <v>0.15415331283694381</v>
      </c>
      <c r="E102" s="2">
        <v>5.3629028864646142E-2</v>
      </c>
      <c r="F102" s="2">
        <v>0.1024640825876649</v>
      </c>
      <c r="G102" s="2">
        <v>-7.7824585613411757E-3</v>
      </c>
      <c r="H102" s="2">
        <v>0.24183399463781269</v>
      </c>
      <c r="I102" s="2">
        <v>0.1685236934093895</v>
      </c>
      <c r="J102" s="2">
        <v>0.26497253821898492</v>
      </c>
      <c r="K102" s="2">
        <v>-2.486910862512736E-2</v>
      </c>
      <c r="L102" s="2">
        <v>-4.2461122261512427E-2</v>
      </c>
      <c r="M102" s="2">
        <v>0.1286697485965379</v>
      </c>
      <c r="N102" s="2" cm="1">
        <f t="array" ref="N102">SUMPRODUCT(1+B102:K102,$B$124:$K$124)-1</f>
        <v>0.12866974859653801</v>
      </c>
    </row>
    <row r="103" spans="1:14" x14ac:dyDescent="0.35">
      <c r="A103" s="3">
        <v>45107</v>
      </c>
      <c r="B103" s="2">
        <v>-0.15761105242959589</v>
      </c>
      <c r="C103" s="2">
        <v>-9.8665420217873667E-2</v>
      </c>
      <c r="D103" s="2">
        <v>-0.60449905469533571</v>
      </c>
      <c r="E103" s="2">
        <v>-0.1688440805122117</v>
      </c>
      <c r="F103" s="2">
        <v>-5.018917412661044E-2</v>
      </c>
      <c r="G103" s="2">
        <v>-0.48716007134549921</v>
      </c>
      <c r="H103" s="2">
        <v>3.5350962118981241E-2</v>
      </c>
      <c r="I103" s="2">
        <v>-0.1526259195754493</v>
      </c>
      <c r="J103" s="2">
        <v>-0.32730817569799409</v>
      </c>
      <c r="K103" s="2">
        <v>-0.26876576213257292</v>
      </c>
      <c r="L103" s="2">
        <v>-1.261935968296077E-2</v>
      </c>
      <c r="M103" s="2">
        <v>-0.24172454192177101</v>
      </c>
      <c r="N103" s="2" cm="1">
        <f t="array" ref="N103">SUMPRODUCT(1+B103:K103,$B$124:$K$124)-1</f>
        <v>-0.24172454192177084</v>
      </c>
    </row>
    <row r="104" spans="1:14" x14ac:dyDescent="0.35">
      <c r="A104" s="3">
        <v>45138</v>
      </c>
      <c r="B104" s="2">
        <v>0.151237480478769</v>
      </c>
      <c r="C104" s="2">
        <v>8.718404736778454E-2</v>
      </c>
      <c r="D104" s="2">
        <v>0.1720001208148052</v>
      </c>
      <c r="E104" s="2">
        <v>-7.3485106655683363E-2</v>
      </c>
      <c r="F104" s="2">
        <v>9.3279657311292882E-2</v>
      </c>
      <c r="G104" s="2">
        <v>-0.18144750571094631</v>
      </c>
      <c r="H104" s="2">
        <v>5.4942447195737577E-2</v>
      </c>
      <c r="I104" s="2">
        <v>-5.8768963411948302E-2</v>
      </c>
      <c r="J104" s="2">
        <v>-4.1138222567730608E-2</v>
      </c>
      <c r="K104" s="2">
        <v>0.28953429889082388</v>
      </c>
      <c r="L104" s="2">
        <v>-1.0281435495803079E-2</v>
      </c>
      <c r="M104" s="2">
        <v>6.8120174175790638E-2</v>
      </c>
      <c r="N104" s="2" cm="1">
        <f t="array" ref="N104">SUMPRODUCT(1+B104:K104,$B$124:$K$124)-1</f>
        <v>6.8120174175790638E-2</v>
      </c>
    </row>
    <row r="105" spans="1:14" x14ac:dyDescent="0.35">
      <c r="A105" s="3">
        <v>45169</v>
      </c>
      <c r="B105" s="2">
        <v>-2.4223858007833839E-2</v>
      </c>
      <c r="C105" s="2">
        <v>-0.1116278247167118</v>
      </c>
      <c r="D105" s="2">
        <v>-0.42701709973489821</v>
      </c>
      <c r="E105" s="2">
        <v>-0.2577440156488307</v>
      </c>
      <c r="F105" s="2">
        <v>-4.1540338587155293E-2</v>
      </c>
      <c r="G105" s="2">
        <v>-0.2427860356600679</v>
      </c>
      <c r="H105" s="2">
        <v>0.15238975656332049</v>
      </c>
      <c r="I105" s="2">
        <v>-0.12240893157952611</v>
      </c>
      <c r="J105" s="2">
        <v>-0.17183248884898561</v>
      </c>
      <c r="K105" s="2">
        <v>-0.2946875352481873</v>
      </c>
      <c r="L105" s="2">
        <v>-2.4068318076648571E-2</v>
      </c>
      <c r="M105" s="2">
        <v>-0.17263477745217429</v>
      </c>
      <c r="N105" s="2" cm="1">
        <f t="array" ref="N105">SUMPRODUCT(1+B105:K105,$B$124:$K$124)-1</f>
        <v>-0.17263477745217415</v>
      </c>
    </row>
    <row r="106" spans="1:14" x14ac:dyDescent="0.35">
      <c r="A106" s="3">
        <v>45199</v>
      </c>
      <c r="B106" s="2">
        <v>-3.3150624355640701E-2</v>
      </c>
      <c r="C106" s="2">
        <v>-8.384655902682793E-2</v>
      </c>
      <c r="D106" s="2">
        <v>5.6304466505206513E-2</v>
      </c>
      <c r="E106" s="2">
        <v>8.3638592416119276E-2</v>
      </c>
      <c r="F106" s="2">
        <v>-0.1938959157653555</v>
      </c>
      <c r="G106" s="2">
        <v>-0.30691994380851573</v>
      </c>
      <c r="H106" s="2">
        <v>-0.31643931216725929</v>
      </c>
      <c r="I106" s="2">
        <v>2.6228817763010729E-2</v>
      </c>
      <c r="J106" s="2">
        <v>-0.22358860166995759</v>
      </c>
      <c r="K106" s="2">
        <v>-0.44038431198031408</v>
      </c>
      <c r="L106" s="2">
        <v>-4.8385713499802738E-3</v>
      </c>
      <c r="M106" s="2">
        <v>-0.16659589603191649</v>
      </c>
      <c r="N106" s="2" cm="1">
        <f t="array" ref="N106">SUMPRODUCT(1+B106:K106,$B$124:$K$124)-1</f>
        <v>-0.16659589603191649</v>
      </c>
    </row>
    <row r="107" spans="1:14" x14ac:dyDescent="0.35">
      <c r="A107" s="3">
        <v>45230</v>
      </c>
      <c r="B107" s="2">
        <v>0.17698135299180001</v>
      </c>
      <c r="C107" s="2">
        <v>0.53498058885912358</v>
      </c>
      <c r="D107" s="2">
        <v>0.15439247386408761</v>
      </c>
      <c r="E107" s="2">
        <v>0.26186172857207451</v>
      </c>
      <c r="F107" s="2">
        <v>0.1673743242812194</v>
      </c>
      <c r="G107" s="2">
        <v>0.15387530870397931</v>
      </c>
      <c r="H107" s="2">
        <v>0.25327749811572831</v>
      </c>
      <c r="I107" s="2">
        <v>8.0084282429861778E-2</v>
      </c>
      <c r="J107" s="2">
        <v>0.17280561229655131</v>
      </c>
      <c r="K107" s="2">
        <v>0.2130881438568184</v>
      </c>
      <c r="L107" s="2">
        <v>1.2121525704436149E-2</v>
      </c>
      <c r="M107" s="2">
        <v>0.22254792584016031</v>
      </c>
      <c r="N107" s="2" cm="1">
        <f t="array" ref="N107">SUMPRODUCT(1+B107:K107,$B$124:$K$124)-1</f>
        <v>0.22254792584016059</v>
      </c>
    </row>
    <row r="108" spans="1:14" x14ac:dyDescent="0.35">
      <c r="A108" s="3">
        <v>45260</v>
      </c>
      <c r="B108" s="2">
        <v>-7.217546184845984E-2</v>
      </c>
      <c r="C108" s="2">
        <v>0.2033298033776976</v>
      </c>
      <c r="D108" s="2">
        <v>4.0188572355568448E-2</v>
      </c>
      <c r="E108" s="2">
        <v>-3.3697420663939E-2</v>
      </c>
      <c r="F108" s="2">
        <v>0.19413839122967719</v>
      </c>
      <c r="G108" s="2">
        <v>-1.9094543609932992E-2</v>
      </c>
      <c r="H108" s="2">
        <v>2.796224281868875E-2</v>
      </c>
      <c r="I108" s="2">
        <v>-1.2615119279752561E-2</v>
      </c>
      <c r="J108" s="2">
        <v>0.2141434209259441</v>
      </c>
      <c r="K108" s="2">
        <v>0.16522162108967661</v>
      </c>
      <c r="L108" s="2">
        <v>5.6585577036315907E-2</v>
      </c>
      <c r="M108" s="2">
        <v>9.4864920478360676E-2</v>
      </c>
      <c r="N108" s="2" cm="1">
        <f t="array" ref="N108">SUMPRODUCT(1+B108:K108,$B$124:$K$124)-1</f>
        <v>9.4864920478360482E-2</v>
      </c>
    </row>
    <row r="109" spans="1:14" x14ac:dyDescent="0.35">
      <c r="A109" s="3">
        <v>45291</v>
      </c>
      <c r="B109" s="2">
        <v>-0.1182790234949649</v>
      </c>
      <c r="C109" s="2">
        <v>4.9972055939593984E-3</v>
      </c>
      <c r="D109" s="2">
        <v>0.1070165709604248</v>
      </c>
      <c r="E109" s="2">
        <v>-3.067249510041448E-2</v>
      </c>
      <c r="F109" s="2">
        <v>-0.1206344114641609</v>
      </c>
      <c r="G109" s="2">
        <v>-0.36009215336904637</v>
      </c>
      <c r="H109" s="2">
        <v>-0.26786417615549302</v>
      </c>
      <c r="I109" s="2">
        <v>-0.17968825815309869</v>
      </c>
      <c r="J109" s="2">
        <v>-0.20997109564000729</v>
      </c>
      <c r="K109" s="2">
        <v>-0.16539487081722001</v>
      </c>
      <c r="L109" s="2">
        <v>5.2373343849551682E-3</v>
      </c>
      <c r="M109" s="2">
        <v>-0.13019248681911411</v>
      </c>
      <c r="N109" s="2" cm="1">
        <f t="array" ref="N109">SUMPRODUCT(1+B109:K109,$B$124:$K$124)-1</f>
        <v>-0.13019248681911411</v>
      </c>
    </row>
    <row r="110" spans="1:14" x14ac:dyDescent="0.35">
      <c r="A110" s="3">
        <v>45322</v>
      </c>
      <c r="B110" s="2">
        <v>-6.6690834835904308E-2</v>
      </c>
      <c r="C110" s="2">
        <v>4.0708450607391464E-3</v>
      </c>
      <c r="D110" s="2">
        <v>-9.7120060737734618E-2</v>
      </c>
      <c r="E110" s="2">
        <v>2.3440197549492009E-3</v>
      </c>
      <c r="F110" s="2">
        <v>-6.3257174058273996E-2</v>
      </c>
      <c r="G110" s="2">
        <v>-0.42313758519421157</v>
      </c>
      <c r="H110" s="2">
        <v>-0.2099333311849915</v>
      </c>
      <c r="I110" s="2">
        <v>-0.11132975968917699</v>
      </c>
      <c r="J110" s="2">
        <v>-0.25762813402376572</v>
      </c>
      <c r="K110" s="2">
        <v>2.1183961373595499E-2</v>
      </c>
      <c r="L110" s="2">
        <v>7.7265117216829306E-3</v>
      </c>
      <c r="M110" s="2">
        <v>-0.1110399661339478</v>
      </c>
      <c r="N110" s="2" cm="1">
        <f t="array" ref="N110">SUMPRODUCT(1+B110:K110,$B$124:$K$124)-1</f>
        <v>-0.11103996613394773</v>
      </c>
    </row>
    <row r="111" spans="1:14" x14ac:dyDescent="0.35">
      <c r="A111" s="3">
        <v>45351</v>
      </c>
      <c r="B111" s="2">
        <v>0.29278715281669793</v>
      </c>
      <c r="C111" s="2">
        <v>0.27367846538397073</v>
      </c>
      <c r="D111" s="2">
        <v>4.9094319387437337E-2</v>
      </c>
      <c r="E111" s="2">
        <v>0.29509222061153251</v>
      </c>
      <c r="F111" s="2">
        <v>0.10318485508661859</v>
      </c>
      <c r="G111" s="2">
        <v>2.516098062493282E-2</v>
      </c>
      <c r="H111" s="2">
        <v>-1.558476144216883E-2</v>
      </c>
      <c r="I111" s="2">
        <v>3.3859567530671347E-2</v>
      </c>
      <c r="J111" s="2">
        <v>1.6640424704941481E-2</v>
      </c>
      <c r="K111" s="2">
        <v>0.1147969903920683</v>
      </c>
      <c r="L111" s="2">
        <v>-2.233377472985017E-3</v>
      </c>
      <c r="M111" s="2">
        <v>0.1177495511590322</v>
      </c>
      <c r="N111" s="2" cm="1">
        <f t="array" ref="N111">SUMPRODUCT(1+B111:K111,$B$124:$K$124)-1</f>
        <v>0.1177495511590323</v>
      </c>
    </row>
    <row r="112" spans="1:14" x14ac:dyDescent="0.35">
      <c r="A112" s="3">
        <v>45382</v>
      </c>
      <c r="B112" s="2">
        <v>-7.2956144098621722E-2</v>
      </c>
      <c r="C112" s="2">
        <v>-0.1250951787851009</v>
      </c>
      <c r="D112" s="2">
        <v>-8.2606022213338709E-2</v>
      </c>
      <c r="E112" s="2">
        <v>2.2828858608345329E-2</v>
      </c>
      <c r="F112" s="2">
        <v>-3.5379960721842643E-2</v>
      </c>
      <c r="G112" s="2">
        <v>-0.48917975205549558</v>
      </c>
      <c r="H112" s="2">
        <v>-0.46335452591178838</v>
      </c>
      <c r="I112" s="2">
        <v>8.0957544779118165E-2</v>
      </c>
      <c r="J112" s="2">
        <v>-0.33267234666924772</v>
      </c>
      <c r="K112" s="2">
        <v>-0.20972964249983889</v>
      </c>
      <c r="L112" s="2">
        <v>-5.7563136458971237E-2</v>
      </c>
      <c r="M112" s="2">
        <v>-0.1735572843046031</v>
      </c>
      <c r="N112" s="2" cm="1">
        <f t="array" ref="N112">SUMPRODUCT(1+B112:K112,$B$124:$K$124)-1</f>
        <v>-0.17355728430460304</v>
      </c>
    </row>
    <row r="113" spans="1:14" x14ac:dyDescent="0.35">
      <c r="A113" s="3">
        <v>45412</v>
      </c>
      <c r="B113" s="2">
        <v>-0.145175861005679</v>
      </c>
      <c r="C113" s="2">
        <v>-0.26155711180307989</v>
      </c>
      <c r="D113" s="2">
        <v>0.12159355080013121</v>
      </c>
      <c r="E113" s="2">
        <v>0.13623039078441601</v>
      </c>
      <c r="F113" s="2">
        <v>-6.8762489913413896E-2</v>
      </c>
      <c r="G113" s="2">
        <v>-0.42812628126332353</v>
      </c>
      <c r="H113" s="2">
        <v>-5.545115241857787E-2</v>
      </c>
      <c r="I113" s="2">
        <v>8.8817911424004192E-2</v>
      </c>
      <c r="J113" s="2">
        <v>-0.19927671923880841</v>
      </c>
      <c r="K113" s="2">
        <v>5.8800143433289973E-2</v>
      </c>
      <c r="L113" s="2">
        <v>-7.9541626347650631E-4</v>
      </c>
      <c r="M113" s="2">
        <v>-8.0120265848989347E-2</v>
      </c>
      <c r="N113" s="2" cm="1">
        <f t="array" ref="N113">SUMPRODUCT(1+B113:K113,$B$124:$K$124)-1</f>
        <v>-8.0120265848989236E-2</v>
      </c>
    </row>
    <row r="114" spans="1:14" x14ac:dyDescent="0.35">
      <c r="A114" s="3">
        <v>45443</v>
      </c>
      <c r="B114" s="2">
        <v>3.2558137672103189E-3</v>
      </c>
      <c r="C114" s="2">
        <v>9.8867855505753999E-2</v>
      </c>
      <c r="D114" s="2">
        <v>2.874304929008719E-2</v>
      </c>
      <c r="E114" s="2">
        <v>-0.13753918771579571</v>
      </c>
      <c r="F114" s="2">
        <v>0.20336246673421909</v>
      </c>
      <c r="G114" s="2">
        <v>-1.767074767426112E-2</v>
      </c>
      <c r="H114" s="2">
        <v>1.5307387540441969E-3</v>
      </c>
      <c r="I114" s="2">
        <v>-0.1442766244199975</v>
      </c>
      <c r="J114" s="2">
        <v>-6.0361117403599999E-2</v>
      </c>
      <c r="K114" s="2">
        <v>-0.1448794100506953</v>
      </c>
      <c r="L114" s="2">
        <v>1.806906298230793E-3</v>
      </c>
      <c r="M114" s="2">
        <v>-1.6327262897885459E-2</v>
      </c>
      <c r="N114" s="2" cm="1">
        <f t="array" ref="N114">SUMPRODUCT(1+B114:K114,$B$124:$K$124)-1</f>
        <v>-1.6327262897885553E-2</v>
      </c>
    </row>
    <row r="115" spans="1:14" x14ac:dyDescent="0.35">
      <c r="A115" s="3">
        <v>45473</v>
      </c>
      <c r="B115" s="2">
        <v>-7.2988720291919842E-2</v>
      </c>
      <c r="C115" s="2">
        <v>0.24396529246073409</v>
      </c>
      <c r="D115" s="2">
        <v>-0.24247390764212171</v>
      </c>
      <c r="E115" s="2">
        <v>-0.21948447658147771</v>
      </c>
      <c r="F115" s="2">
        <v>0.28913399959200309</v>
      </c>
      <c r="G115" s="2">
        <v>4.7443184557363932E-2</v>
      </c>
      <c r="H115" s="2">
        <v>-0.14434160334367399</v>
      </c>
      <c r="I115" s="2">
        <v>6.3449977273669161E-2</v>
      </c>
      <c r="J115" s="2">
        <v>-0.1089721195367184</v>
      </c>
      <c r="K115" s="2">
        <v>0.32906651915457091</v>
      </c>
      <c r="L115" s="2">
        <v>7.3897263374558583E-2</v>
      </c>
      <c r="M115" s="2">
        <v>5.4799829418533022E-2</v>
      </c>
      <c r="N115" s="2" cm="1">
        <f t="array" ref="N115">SUMPRODUCT(1+B115:K115,$B$124:$K$124)-1</f>
        <v>5.4799829418533008E-2</v>
      </c>
    </row>
    <row r="116" spans="1:14" x14ac:dyDescent="0.35">
      <c r="A116" s="3">
        <v>45504</v>
      </c>
      <c r="B116" s="2">
        <v>0.32702432184416108</v>
      </c>
      <c r="C116" s="2">
        <v>0.1744619574287446</v>
      </c>
      <c r="D116" s="2">
        <v>0.64884131208304852</v>
      </c>
      <c r="E116" s="2">
        <v>0.14195332883789369</v>
      </c>
      <c r="F116" s="2">
        <v>0.37217319829119572</v>
      </c>
      <c r="G116" s="2">
        <v>0.3214969067750062</v>
      </c>
      <c r="H116" s="2">
        <v>0.41674138500238672</v>
      </c>
      <c r="I116" s="2">
        <v>0.50840440131073983</v>
      </c>
      <c r="J116" s="2">
        <v>0.24308714406257059</v>
      </c>
      <c r="K116" s="2">
        <v>0.14032505369180831</v>
      </c>
      <c r="L116" s="2">
        <v>-5.7708289434336753E-3</v>
      </c>
      <c r="M116" s="2">
        <v>0.31152219081154758</v>
      </c>
      <c r="N116" s="2" cm="1">
        <f t="array" ref="N116">SUMPRODUCT(1+B116:K116,$B$124:$K$124)-1</f>
        <v>0.31152219081154775</v>
      </c>
    </row>
    <row r="117" spans="1:14" x14ac:dyDescent="0.35">
      <c r="A117" s="3">
        <v>45535</v>
      </c>
      <c r="B117" s="2">
        <v>0.13724468965530681</v>
      </c>
      <c r="C117" s="2">
        <v>-2.6171002165394031E-2</v>
      </c>
      <c r="D117" s="2">
        <v>0.44302861670640481</v>
      </c>
      <c r="E117" s="2">
        <v>0.10259954942126299</v>
      </c>
      <c r="F117" s="2">
        <v>3.3743566747206508E-2</v>
      </c>
      <c r="G117" s="2">
        <v>0.13667413119995511</v>
      </c>
      <c r="H117" s="2">
        <v>-0.1226520033492632</v>
      </c>
      <c r="I117" s="2">
        <v>-8.2304139853029479E-2</v>
      </c>
      <c r="J117" s="2">
        <v>0.2597642576783874</v>
      </c>
      <c r="K117" s="2">
        <v>-1.9473182917724589E-2</v>
      </c>
      <c r="L117" s="2">
        <v>9.0464202700083745E-3</v>
      </c>
      <c r="M117" s="2">
        <v>9.204654203505111E-2</v>
      </c>
      <c r="N117" s="2" cm="1">
        <f t="array" ref="N117">SUMPRODUCT(1+B117:K117,$B$124:$K$124)-1</f>
        <v>9.2046542035051138E-2</v>
      </c>
    </row>
    <row r="118" spans="1:14" x14ac:dyDescent="0.35">
      <c r="A118" s="3">
        <v>45565</v>
      </c>
      <c r="B118" s="2">
        <v>-0.36932085955621929</v>
      </c>
      <c r="C118" s="2">
        <v>-0.15705916774644171</v>
      </c>
      <c r="D118" s="2">
        <v>-5.9116983274871138E-2</v>
      </c>
      <c r="E118" s="2">
        <v>-0.1204478759522614</v>
      </c>
      <c r="F118" s="2">
        <v>-8.6865292367382108E-2</v>
      </c>
      <c r="G118" s="2">
        <v>-0.40182850901436751</v>
      </c>
      <c r="H118" s="2">
        <v>-0.42323888988869762</v>
      </c>
      <c r="I118" s="2">
        <v>-2.453101538221683E-3</v>
      </c>
      <c r="J118" s="2">
        <v>-0.27868233280769922</v>
      </c>
      <c r="K118" s="2">
        <v>-0.30775273209612902</v>
      </c>
      <c r="L118" s="2">
        <v>-1.041353091157299E-3</v>
      </c>
      <c r="M118" s="2">
        <v>-0.21951528842668219</v>
      </c>
      <c r="N118" s="2" cm="1">
        <f t="array" ref="N118">SUMPRODUCT(1+B118:K118,$B$124:$K$124)-1</f>
        <v>-0.21951528842668222</v>
      </c>
    </row>
    <row r="119" spans="1:14" x14ac:dyDescent="0.35">
      <c r="A119" s="3">
        <v>45596</v>
      </c>
      <c r="B119" s="2">
        <v>0.20061450844407069</v>
      </c>
      <c r="C119" s="2">
        <v>8.743950278165441E-2</v>
      </c>
      <c r="D119" s="2">
        <v>6.5095589112666302E-2</v>
      </c>
      <c r="E119" s="2">
        <v>0.29884815529376851</v>
      </c>
      <c r="F119" s="2">
        <v>-0.1432864479614272</v>
      </c>
      <c r="G119" s="2">
        <v>0.1067656994941452</v>
      </c>
      <c r="H119" s="2">
        <v>1.7793397772941959E-2</v>
      </c>
      <c r="I119" s="2">
        <v>7.6954325045615266E-2</v>
      </c>
      <c r="J119" s="2">
        <v>0.22510471526716019</v>
      </c>
      <c r="K119" s="2">
        <v>6.5849551905423812E-2</v>
      </c>
      <c r="L119" s="2">
        <v>-3.5060341128585963E-2</v>
      </c>
      <c r="M119" s="2">
        <v>9.4841725629495055E-2</v>
      </c>
      <c r="N119" s="2" cm="1">
        <f t="array" ref="N119">SUMPRODUCT(1+B119:K119,$B$124:$K$124)-1</f>
        <v>9.4841725629494888E-2</v>
      </c>
    </row>
    <row r="120" spans="1:14" x14ac:dyDescent="0.35">
      <c r="A120" s="3">
        <v>45626</v>
      </c>
      <c r="B120" s="2">
        <v>1.6319545671325968E-2</v>
      </c>
      <c r="C120" s="2">
        <v>0.11458116236375861</v>
      </c>
      <c r="D120" s="2">
        <v>-0.1121592794600469</v>
      </c>
      <c r="E120" s="2">
        <v>-0.15547475533341371</v>
      </c>
      <c r="F120" s="2">
        <v>-0.19069327443008499</v>
      </c>
      <c r="G120" s="2">
        <v>-0.35340955769533589</v>
      </c>
      <c r="H120" s="2">
        <v>0.23462534203164129</v>
      </c>
      <c r="I120" s="2">
        <v>-0.26703583259611913</v>
      </c>
      <c r="J120" s="2">
        <v>-8.2229665557357001E-2</v>
      </c>
      <c r="K120" s="2">
        <v>-8.8596605405715567E-2</v>
      </c>
      <c r="L120" s="2">
        <v>3.4284684435450623E-2</v>
      </c>
      <c r="M120" s="2">
        <v>-9.1977637535038057E-2</v>
      </c>
      <c r="N120" s="2" cm="1">
        <f t="array" ref="N120">SUMPRODUCT(1+B120:K120,$B$124:$K$124)-1</f>
        <v>-9.197763753503807E-2</v>
      </c>
    </row>
    <row r="121" spans="1:14" x14ac:dyDescent="0.35">
      <c r="A121" s="3">
        <v>45657</v>
      </c>
      <c r="B121" s="2">
        <v>0.14292624359022191</v>
      </c>
      <c r="C121" s="2">
        <v>0.2466816402980285</v>
      </c>
      <c r="D121" s="2">
        <v>0.28579182860325308</v>
      </c>
      <c r="E121" s="2">
        <v>3.6950347152240187E-2</v>
      </c>
      <c r="F121" s="2">
        <v>0.1162875738627718</v>
      </c>
      <c r="G121" s="2">
        <v>0.21370057354217689</v>
      </c>
      <c r="H121" s="2">
        <v>6.2948317182928121E-2</v>
      </c>
      <c r="I121" s="2">
        <v>0.35149834671104069</v>
      </c>
      <c r="J121" s="2">
        <v>0.18770818013724791</v>
      </c>
      <c r="K121" s="2">
        <v>0.26768585002705447</v>
      </c>
      <c r="L121" s="2">
        <v>2.255799098060322E-2</v>
      </c>
      <c r="M121" s="2">
        <v>0.20335485441769399</v>
      </c>
      <c r="N121" s="2" cm="1">
        <f t="array" ref="N121">SUMPRODUCT(1+B121:K121,$B$124:$K$124)-1</f>
        <v>0.20335485441769419</v>
      </c>
    </row>
    <row r="123" spans="1:14" x14ac:dyDescent="0.35">
      <c r="A123" t="s">
        <v>25</v>
      </c>
      <c r="B123" s="2">
        <f>CORREL(B2:B121,$L$2:$L$121)</f>
        <v>0.13339308859081794</v>
      </c>
      <c r="C123" s="2">
        <f t="shared" ref="C123:M123" si="0">CORREL(C2:C121,$L$2:$L$121)</f>
        <v>0.14166518976819331</v>
      </c>
      <c r="D123" s="2">
        <f t="shared" si="0"/>
        <v>0.24900995059142828</v>
      </c>
      <c r="E123" s="2">
        <f t="shared" si="0"/>
        <v>0.1700652828275224</v>
      </c>
      <c r="F123" s="2">
        <f t="shared" si="0"/>
        <v>0.25087744731159223</v>
      </c>
      <c r="G123" s="2">
        <f t="shared" si="0"/>
        <v>0.32978253662132467</v>
      </c>
      <c r="H123" s="2">
        <f t="shared" si="0"/>
        <v>0.13837369120623416</v>
      </c>
      <c r="I123" s="2">
        <f t="shared" si="0"/>
        <v>-7.9159384763407989E-2</v>
      </c>
      <c r="J123" s="2">
        <f t="shared" si="0"/>
        <v>8.8893246772369081E-2</v>
      </c>
      <c r="K123" s="2">
        <f t="shared" si="0"/>
        <v>0.19779887674568145</v>
      </c>
      <c r="L123" s="2"/>
      <c r="M123" s="7">
        <f t="shared" si="0"/>
        <v>0.25266587492046672</v>
      </c>
    </row>
    <row r="124" spans="1:14" x14ac:dyDescent="0.35">
      <c r="A124" t="s">
        <v>24</v>
      </c>
      <c r="B124">
        <v>0.08</v>
      </c>
      <c r="C124">
        <v>0.12</v>
      </c>
      <c r="D124">
        <v>0.1</v>
      </c>
      <c r="E124">
        <v>7.0000000000000007E-2</v>
      </c>
      <c r="F124">
        <v>0.11</v>
      </c>
      <c r="G124">
        <v>0.09</v>
      </c>
      <c r="H124">
        <v>0.06</v>
      </c>
      <c r="I124">
        <v>0.08</v>
      </c>
      <c r="J124">
        <v>0.13</v>
      </c>
      <c r="K124">
        <v>0.16</v>
      </c>
    </row>
    <row r="125" spans="1:14" x14ac:dyDescent="0.35">
      <c r="J125" t="s">
        <v>26</v>
      </c>
      <c r="K125" s="2">
        <f>AVERAGE(B123:K123)</f>
        <v>0.16206999256717555</v>
      </c>
      <c r="L125" s="8" t="s">
        <v>29</v>
      </c>
    </row>
    <row r="126" spans="1:14" x14ac:dyDescent="0.35">
      <c r="J126" t="s">
        <v>27</v>
      </c>
      <c r="K126" s="7">
        <f>SUMPRODUCT(B123:K123,B124:K124)</f>
        <v>0.16692739526773082</v>
      </c>
      <c r="L126" s="2">
        <f>Summary!B4</f>
        <v>1.4623507560732361</v>
      </c>
      <c r="M126" s="7">
        <f>K126*Summary!B4</f>
        <v>0.24410640267910208</v>
      </c>
    </row>
    <row r="127" spans="1:14" x14ac:dyDescent="0.35">
      <c r="L127"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zoomScale="80" zoomScaleNormal="80" workbookViewId="0">
      <selection activeCell="B2" sqref="B2:B11"/>
    </sheetView>
  </sheetViews>
  <sheetFormatPr defaultRowHeight="14.5" x14ac:dyDescent="0.35"/>
  <cols>
    <col min="2" max="2" width="14" customWidth="1"/>
    <col min="3" max="3" width="10.08984375" bestFit="1" customWidth="1"/>
    <col min="4" max="4" width="23.36328125" bestFit="1" customWidth="1"/>
    <col min="5" max="5" width="8.6328125" bestFit="1" customWidth="1"/>
    <col min="6" max="6" width="19.7265625" bestFit="1" customWidth="1"/>
  </cols>
  <sheetData>
    <row r="1" spans="1:6" x14ac:dyDescent="0.35">
      <c r="B1" s="1" t="s">
        <v>12</v>
      </c>
      <c r="C1" s="1" t="s">
        <v>13</v>
      </c>
      <c r="D1" s="1" t="s">
        <v>14</v>
      </c>
      <c r="E1" s="1" t="s">
        <v>15</v>
      </c>
      <c r="F1" s="1" t="s">
        <v>16</v>
      </c>
    </row>
    <row r="2" spans="1:6" x14ac:dyDescent="0.35">
      <c r="A2" s="1" t="s">
        <v>0</v>
      </c>
      <c r="B2" s="2">
        <v>0.08</v>
      </c>
      <c r="C2" s="2">
        <v>0.16737884776158851</v>
      </c>
      <c r="D2" s="2">
        <v>1.183083027308258</v>
      </c>
      <c r="E2" s="2">
        <v>6.4722257496422853E-2</v>
      </c>
      <c r="F2" s="2">
        <v>0.13339308859081789</v>
      </c>
    </row>
    <row r="3" spans="1:6" x14ac:dyDescent="0.35">
      <c r="A3" s="1" t="s">
        <v>1</v>
      </c>
      <c r="B3" s="2">
        <v>0.12</v>
      </c>
      <c r="C3" s="2">
        <v>0.2166716309176768</v>
      </c>
      <c r="D3" s="2">
        <v>1.531498946647246</v>
      </c>
      <c r="E3" s="2">
        <v>0.12567427673177589</v>
      </c>
      <c r="F3" s="2">
        <v>0.14166518976819331</v>
      </c>
    </row>
    <row r="4" spans="1:6" x14ac:dyDescent="0.35">
      <c r="A4" s="1" t="s">
        <v>2</v>
      </c>
      <c r="B4" s="2">
        <v>0.1</v>
      </c>
      <c r="C4" s="2">
        <v>0.23146252999742409</v>
      </c>
      <c r="D4" s="2">
        <v>1.636045380643514</v>
      </c>
      <c r="E4" s="2">
        <v>0.1118777676182621</v>
      </c>
      <c r="F4" s="2">
        <v>0.24900995059142811</v>
      </c>
    </row>
    <row r="5" spans="1:6" x14ac:dyDescent="0.35">
      <c r="A5" s="1" t="s">
        <v>3</v>
      </c>
      <c r="B5" s="2">
        <v>7.0000000000000007E-2</v>
      </c>
      <c r="C5" s="2">
        <v>0.1857729169526621</v>
      </c>
      <c r="D5" s="2">
        <v>1.313097729608574</v>
      </c>
      <c r="E5" s="2">
        <v>6.2855536327973097E-2</v>
      </c>
      <c r="F5" s="2">
        <v>0.1700652828275224</v>
      </c>
    </row>
    <row r="6" spans="1:6" x14ac:dyDescent="0.35">
      <c r="A6" s="1" t="s">
        <v>4</v>
      </c>
      <c r="B6" s="2">
        <v>0.11</v>
      </c>
      <c r="C6" s="2">
        <v>0.20343513943519731</v>
      </c>
      <c r="D6" s="2">
        <v>1.4379395236768031</v>
      </c>
      <c r="E6" s="2">
        <v>0.10816375411134729</v>
      </c>
      <c r="F6" s="2">
        <v>0.25087744731159228</v>
      </c>
    </row>
    <row r="7" spans="1:6" x14ac:dyDescent="0.35">
      <c r="A7" s="1" t="s">
        <v>5</v>
      </c>
      <c r="B7" s="2">
        <v>0.09</v>
      </c>
      <c r="C7" s="2">
        <v>0.2458091918866718</v>
      </c>
      <c r="D7" s="2">
        <v>1.737451815247937</v>
      </c>
      <c r="E7" s="2">
        <v>0.1069310237115802</v>
      </c>
      <c r="F7" s="2">
        <v>0.32978253662132478</v>
      </c>
    </row>
    <row r="8" spans="1:6" x14ac:dyDescent="0.35">
      <c r="A8" s="1" t="s">
        <v>6</v>
      </c>
      <c r="B8" s="2">
        <v>0.06</v>
      </c>
      <c r="C8" s="2">
        <v>0.1925496809923547</v>
      </c>
      <c r="D8" s="2">
        <v>1.360997895147132</v>
      </c>
      <c r="E8" s="2">
        <v>5.5841509548710727E-2</v>
      </c>
      <c r="F8" s="2">
        <v>0.13837369120623419</v>
      </c>
    </row>
    <row r="9" spans="1:6" x14ac:dyDescent="0.35">
      <c r="A9" s="1" t="s">
        <v>7</v>
      </c>
      <c r="B9" s="2">
        <v>0.08</v>
      </c>
      <c r="C9" s="2">
        <v>0.1969562882356474</v>
      </c>
      <c r="D9" s="2">
        <v>1.3921450938958</v>
      </c>
      <c r="E9" s="2">
        <v>7.6159298341475626E-2</v>
      </c>
      <c r="F9" s="2">
        <v>-7.9159384763407961E-2</v>
      </c>
    </row>
    <row r="10" spans="1:6" x14ac:dyDescent="0.35">
      <c r="A10" s="1" t="s">
        <v>8</v>
      </c>
      <c r="B10" s="2">
        <v>0.13</v>
      </c>
      <c r="C10" s="2">
        <v>0.193249310877987</v>
      </c>
      <c r="D10" s="2">
        <v>1.365943085379701</v>
      </c>
      <c r="E10" s="2">
        <v>0.1214295546823433</v>
      </c>
      <c r="F10" s="2">
        <v>8.8893246772369025E-2</v>
      </c>
    </row>
    <row r="11" spans="1:6" x14ac:dyDescent="0.35">
      <c r="A11" s="1" t="s">
        <v>9</v>
      </c>
      <c r="B11" s="2">
        <v>0.16</v>
      </c>
      <c r="C11" s="2">
        <v>0.2150932236826506</v>
      </c>
      <c r="D11" s="2">
        <v>1.520342299108365</v>
      </c>
      <c r="E11" s="2">
        <v>0.1663450214301089</v>
      </c>
      <c r="F11" s="2">
        <v>0.19779887674568139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zoomScale="80" zoomScaleNormal="80" workbookViewId="0">
      <selection activeCell="B16" sqref="B16"/>
    </sheetView>
  </sheetViews>
  <sheetFormatPr defaultRowHeight="14.5" x14ac:dyDescent="0.35"/>
  <cols>
    <col min="1" max="1" width="45.36328125" bestFit="1" customWidth="1"/>
  </cols>
  <sheetData>
    <row r="1" spans="1:2" x14ac:dyDescent="0.35">
      <c r="B1" s="1" t="s">
        <v>17</v>
      </c>
    </row>
    <row r="2" spans="1:2" x14ac:dyDescent="0.35">
      <c r="A2" s="1" t="s">
        <v>18</v>
      </c>
      <c r="B2" s="2">
        <v>0.25266587492046672</v>
      </c>
    </row>
    <row r="3" spans="1:2" x14ac:dyDescent="0.35">
      <c r="A3" s="1" t="s">
        <v>19</v>
      </c>
      <c r="B3" s="2">
        <v>0.25266587492046672</v>
      </c>
    </row>
    <row r="4" spans="1:2" x14ac:dyDescent="0.35">
      <c r="A4" s="1" t="s">
        <v>20</v>
      </c>
      <c r="B4" s="2">
        <v>1.4623507560732361</v>
      </c>
    </row>
    <row r="5" spans="1:2" x14ac:dyDescent="0.35">
      <c r="A5" s="1" t="s">
        <v>21</v>
      </c>
      <c r="B5" s="2">
        <v>0.1414768396622236</v>
      </c>
    </row>
    <row r="6" spans="1:2" x14ac:dyDescent="0.35">
      <c r="A6" s="1" t="s">
        <v>22</v>
      </c>
      <c r="B6" s="2">
        <v>0.16692739526773079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CCD8F-AFA4-46D6-8169-BB20A2905515}">
  <dimension ref="B2:BI88"/>
  <sheetViews>
    <sheetView zoomScale="36" zoomScaleNormal="60" workbookViewId="0">
      <selection activeCell="B3" sqref="B3"/>
    </sheetView>
  </sheetViews>
  <sheetFormatPr defaultRowHeight="14.5" x14ac:dyDescent="0.35"/>
  <cols>
    <col min="1" max="1" width="3.90625" customWidth="1"/>
    <col min="2" max="2" width="35.08984375" bestFit="1" customWidth="1"/>
    <col min="3" max="3" width="34.26953125" bestFit="1" customWidth="1"/>
    <col min="4" max="4" width="21.7265625" bestFit="1" customWidth="1"/>
    <col min="5" max="5" width="23.90625" bestFit="1" customWidth="1"/>
    <col min="6" max="6" width="36" bestFit="1" customWidth="1"/>
    <col min="7" max="7" width="28.453125" bestFit="1" customWidth="1"/>
    <col min="8" max="8" width="16.7265625" bestFit="1" customWidth="1"/>
    <col min="9" max="9" width="34.26953125" bestFit="1" customWidth="1"/>
    <col min="10" max="10" width="23.90625" bestFit="1" customWidth="1"/>
    <col min="11" max="11" width="32.26953125" bestFit="1" customWidth="1"/>
    <col min="12" max="12" width="33.1796875" bestFit="1" customWidth="1"/>
    <col min="13" max="13" width="28.54296875" bestFit="1" customWidth="1"/>
    <col min="14" max="14" width="14.90625" bestFit="1" customWidth="1"/>
    <col min="15" max="15" width="30.6328125" bestFit="1" customWidth="1"/>
    <col min="16" max="16" width="29.7265625" bestFit="1" customWidth="1"/>
    <col min="17" max="17" width="11.7265625" bestFit="1" customWidth="1"/>
    <col min="18" max="18" width="30.26953125" bestFit="1" customWidth="1"/>
    <col min="24" max="24" width="36" bestFit="1" customWidth="1"/>
    <col min="25" max="45" width="7.36328125" customWidth="1"/>
  </cols>
  <sheetData>
    <row r="2" spans="2:61" ht="147.5" x14ac:dyDescent="0.35">
      <c r="C2" s="9" t="s">
        <v>30</v>
      </c>
      <c r="D2" s="9" t="s">
        <v>31</v>
      </c>
      <c r="E2" s="10" t="s">
        <v>32</v>
      </c>
      <c r="F2" s="10" t="s">
        <v>33</v>
      </c>
      <c r="G2" s="9" t="s">
        <v>34</v>
      </c>
      <c r="H2" s="9" t="s">
        <v>35</v>
      </c>
      <c r="I2" s="10" t="s">
        <v>36</v>
      </c>
      <c r="J2" s="9" t="s">
        <v>37</v>
      </c>
      <c r="K2" s="9" t="s">
        <v>38</v>
      </c>
      <c r="L2" s="10" t="s">
        <v>39</v>
      </c>
      <c r="M2" s="9" t="s">
        <v>40</v>
      </c>
      <c r="N2" s="10" t="s">
        <v>41</v>
      </c>
      <c r="O2" s="10" t="s">
        <v>42</v>
      </c>
      <c r="P2" s="9" t="s">
        <v>43</v>
      </c>
      <c r="Q2" s="9" t="s">
        <v>44</v>
      </c>
      <c r="R2" s="10" t="s">
        <v>45</v>
      </c>
      <c r="S2" s="9" t="s">
        <v>46</v>
      </c>
      <c r="T2" s="9" t="s">
        <v>47</v>
      </c>
      <c r="U2" s="9" t="s">
        <v>48</v>
      </c>
      <c r="V2" s="9" t="s">
        <v>49</v>
      </c>
      <c r="W2" s="10" t="s">
        <v>50</v>
      </c>
      <c r="X2" s="9" t="s">
        <v>51</v>
      </c>
      <c r="Y2" s="9" t="s">
        <v>52</v>
      </c>
      <c r="Z2" s="9" t="s">
        <v>53</v>
      </c>
      <c r="AA2" s="9" t="s">
        <v>54</v>
      </c>
      <c r="AB2" s="9" t="s">
        <v>55</v>
      </c>
      <c r="AC2" s="9" t="s">
        <v>56</v>
      </c>
      <c r="AD2" s="9" t="s">
        <v>57</v>
      </c>
      <c r="AE2" s="9" t="s">
        <v>58</v>
      </c>
      <c r="AF2" s="9" t="s">
        <v>59</v>
      </c>
      <c r="AG2" s="9" t="s">
        <v>60</v>
      </c>
      <c r="AH2" s="9" t="s">
        <v>61</v>
      </c>
      <c r="AI2" s="9" t="s">
        <v>62</v>
      </c>
      <c r="AJ2" s="9" t="s">
        <v>63</v>
      </c>
      <c r="AK2" s="9" t="s">
        <v>64</v>
      </c>
      <c r="AL2" s="9" t="s">
        <v>65</v>
      </c>
      <c r="AM2" s="9" t="s">
        <v>66</v>
      </c>
      <c r="AN2" s="9" t="s">
        <v>67</v>
      </c>
      <c r="AO2" s="9" t="s">
        <v>68</v>
      </c>
      <c r="AP2" s="9" t="s">
        <v>69</v>
      </c>
      <c r="AQ2" s="10" t="s">
        <v>70</v>
      </c>
      <c r="AR2" s="9" t="s">
        <v>71</v>
      </c>
      <c r="AS2" s="9" t="s">
        <v>72</v>
      </c>
      <c r="AT2" s="9" t="s">
        <v>73</v>
      </c>
      <c r="AU2" s="9" t="s">
        <v>74</v>
      </c>
      <c r="AV2" s="10" t="s">
        <v>75</v>
      </c>
      <c r="AW2" s="9" t="s">
        <v>76</v>
      </c>
      <c r="AX2" s="9" t="s">
        <v>77</v>
      </c>
      <c r="AY2" s="9" t="s">
        <v>78</v>
      </c>
      <c r="AZ2" s="9" t="s">
        <v>79</v>
      </c>
      <c r="BA2" s="9" t="s">
        <v>80</v>
      </c>
      <c r="BB2" s="10" t="s">
        <v>81</v>
      </c>
      <c r="BC2" s="9" t="s">
        <v>82</v>
      </c>
      <c r="BD2" s="9" t="s">
        <v>83</v>
      </c>
      <c r="BE2" s="9" t="s">
        <v>84</v>
      </c>
      <c r="BF2" s="9" t="s">
        <v>85</v>
      </c>
      <c r="BG2" s="9" t="s">
        <v>86</v>
      </c>
      <c r="BH2" s="9" t="s">
        <v>87</v>
      </c>
      <c r="BI2" s="10" t="s">
        <v>88</v>
      </c>
    </row>
    <row r="3" spans="2:61" x14ac:dyDescent="0.35">
      <c r="B3" t="s">
        <v>30</v>
      </c>
      <c r="C3" s="2">
        <v>1</v>
      </c>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row>
    <row r="4" spans="2:61" x14ac:dyDescent="0.35">
      <c r="B4" t="s">
        <v>31</v>
      </c>
      <c r="C4" s="2">
        <v>-0.03</v>
      </c>
      <c r="D4" s="2">
        <v>1</v>
      </c>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row>
    <row r="5" spans="2:61" x14ac:dyDescent="0.35">
      <c r="B5" s="11" t="s">
        <v>32</v>
      </c>
      <c r="C5" s="2">
        <v>-0.27</v>
      </c>
      <c r="D5" s="2">
        <v>0.17</v>
      </c>
      <c r="E5" s="2">
        <v>1</v>
      </c>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row>
    <row r="6" spans="2:61" x14ac:dyDescent="0.35">
      <c r="B6" s="11" t="s">
        <v>33</v>
      </c>
      <c r="C6" s="2">
        <v>-0.22</v>
      </c>
      <c r="D6" s="2">
        <v>0.03</v>
      </c>
      <c r="E6" s="2">
        <v>0.83</v>
      </c>
      <c r="F6" s="2">
        <v>1</v>
      </c>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row>
    <row r="7" spans="2:61" x14ac:dyDescent="0.35">
      <c r="B7" t="s">
        <v>34</v>
      </c>
      <c r="C7" s="2">
        <v>-0.02</v>
      </c>
      <c r="D7" s="2">
        <v>0.02</v>
      </c>
      <c r="E7" s="2">
        <v>0.62</v>
      </c>
      <c r="F7" s="2">
        <v>0.6</v>
      </c>
      <c r="G7" s="2">
        <v>1</v>
      </c>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row>
    <row r="8" spans="2:61" x14ac:dyDescent="0.35">
      <c r="B8" t="s">
        <v>35</v>
      </c>
      <c r="C8" s="2">
        <v>-0.24</v>
      </c>
      <c r="D8" s="2">
        <v>0.08</v>
      </c>
      <c r="E8" s="2">
        <v>0.84</v>
      </c>
      <c r="F8" s="2">
        <v>0.85</v>
      </c>
      <c r="G8" s="2">
        <v>0.76</v>
      </c>
      <c r="H8" s="2">
        <v>1</v>
      </c>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row>
    <row r="9" spans="2:61" x14ac:dyDescent="0.35">
      <c r="B9" s="11" t="s">
        <v>36</v>
      </c>
      <c r="C9" s="2">
        <v>-0.23</v>
      </c>
      <c r="D9" s="2">
        <v>0.1</v>
      </c>
      <c r="E9" s="2">
        <v>0.78</v>
      </c>
      <c r="F9" s="2">
        <v>0.74</v>
      </c>
      <c r="G9" s="2">
        <v>0.69</v>
      </c>
      <c r="H9" s="2">
        <v>0.93</v>
      </c>
      <c r="I9" s="2">
        <v>1</v>
      </c>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row>
    <row r="10" spans="2:61" x14ac:dyDescent="0.35">
      <c r="B10" t="s">
        <v>37</v>
      </c>
      <c r="C10" s="2">
        <v>-0.3</v>
      </c>
      <c r="D10" s="2">
        <v>0.28000000000000003</v>
      </c>
      <c r="E10" s="2">
        <v>0.84</v>
      </c>
      <c r="F10" s="2">
        <v>0.59</v>
      </c>
      <c r="G10" s="2">
        <v>0.63</v>
      </c>
      <c r="H10" s="2">
        <v>0.82</v>
      </c>
      <c r="I10" s="2">
        <v>0.76</v>
      </c>
      <c r="J10" s="2">
        <v>1</v>
      </c>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row>
    <row r="11" spans="2:61" x14ac:dyDescent="0.35">
      <c r="B11" t="s">
        <v>38</v>
      </c>
      <c r="C11" s="2">
        <v>-0.22</v>
      </c>
      <c r="D11" s="2">
        <v>0.02</v>
      </c>
      <c r="E11" s="2">
        <v>0.74</v>
      </c>
      <c r="F11" s="2">
        <v>0.9</v>
      </c>
      <c r="G11" s="2">
        <v>0.69</v>
      </c>
      <c r="H11" s="2">
        <v>0.94</v>
      </c>
      <c r="I11" s="2">
        <v>0.81</v>
      </c>
      <c r="J11" s="2">
        <v>0.66</v>
      </c>
      <c r="K11" s="2">
        <v>1</v>
      </c>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row>
    <row r="12" spans="2:61" x14ac:dyDescent="0.35">
      <c r="B12" s="11" t="s">
        <v>39</v>
      </c>
      <c r="C12" s="2">
        <v>-0.19</v>
      </c>
      <c r="D12" s="2">
        <v>0.01</v>
      </c>
      <c r="E12" s="2">
        <v>0.52</v>
      </c>
      <c r="F12" s="2">
        <v>0.6</v>
      </c>
      <c r="G12" s="2">
        <v>0.72</v>
      </c>
      <c r="H12" s="2">
        <v>0.87</v>
      </c>
      <c r="I12" s="2">
        <v>0.75</v>
      </c>
      <c r="J12" s="2">
        <v>0.66</v>
      </c>
      <c r="K12" s="2">
        <v>0.85</v>
      </c>
      <c r="L12" s="2">
        <v>1</v>
      </c>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row>
    <row r="13" spans="2:61" x14ac:dyDescent="0.35">
      <c r="B13" t="s">
        <v>40</v>
      </c>
      <c r="C13" s="2">
        <v>-0.19</v>
      </c>
      <c r="D13" s="2">
        <v>0</v>
      </c>
      <c r="E13" s="2">
        <v>0.51</v>
      </c>
      <c r="F13" s="2">
        <v>0.67</v>
      </c>
      <c r="G13" s="2">
        <v>0.67</v>
      </c>
      <c r="H13" s="2">
        <v>0.87</v>
      </c>
      <c r="I13" s="2">
        <v>0.74</v>
      </c>
      <c r="J13" s="2">
        <v>0.6</v>
      </c>
      <c r="K13" s="2">
        <v>0.91</v>
      </c>
      <c r="L13" s="2">
        <v>0.97</v>
      </c>
      <c r="M13" s="2">
        <v>1</v>
      </c>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row>
    <row r="14" spans="2:61" x14ac:dyDescent="0.35">
      <c r="B14" s="11" t="s">
        <v>41</v>
      </c>
      <c r="C14" s="2">
        <v>0</v>
      </c>
      <c r="D14" s="2">
        <v>0.05</v>
      </c>
      <c r="E14" s="2">
        <v>-0.02</v>
      </c>
      <c r="F14" s="2">
        <v>0</v>
      </c>
      <c r="G14" s="2">
        <v>0.48</v>
      </c>
      <c r="H14" s="2">
        <v>0.38</v>
      </c>
      <c r="I14" s="2">
        <v>0.38</v>
      </c>
      <c r="J14" s="2">
        <v>0.28000000000000003</v>
      </c>
      <c r="K14" s="2">
        <v>0.33</v>
      </c>
      <c r="L14" s="2">
        <v>0.66</v>
      </c>
      <c r="M14" s="2">
        <v>0.6</v>
      </c>
      <c r="N14" s="2">
        <v>1</v>
      </c>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row>
    <row r="15" spans="2:61" x14ac:dyDescent="0.35">
      <c r="B15" s="11" t="s">
        <v>42</v>
      </c>
      <c r="C15" s="2">
        <v>0.18</v>
      </c>
      <c r="D15" s="2">
        <v>0.05</v>
      </c>
      <c r="E15" s="2">
        <v>-0.37</v>
      </c>
      <c r="F15" s="2">
        <v>0.28000000000000003</v>
      </c>
      <c r="G15" s="2">
        <v>0.18</v>
      </c>
      <c r="H15" s="2">
        <v>0.03</v>
      </c>
      <c r="I15" s="2">
        <v>0.04</v>
      </c>
      <c r="J15" s="2">
        <v>0.05</v>
      </c>
      <c r="K15" s="2">
        <v>0.03</v>
      </c>
      <c r="L15" s="2">
        <v>0.36</v>
      </c>
      <c r="M15" s="2">
        <v>0.31</v>
      </c>
      <c r="N15" s="2">
        <v>0.77</v>
      </c>
      <c r="O15" s="2">
        <v>1</v>
      </c>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row>
    <row r="16" spans="2:61" x14ac:dyDescent="0.35">
      <c r="B16" t="s">
        <v>43</v>
      </c>
      <c r="C16" s="2">
        <v>-0.28999999999999998</v>
      </c>
      <c r="D16" s="2">
        <v>0.1</v>
      </c>
      <c r="E16" s="2">
        <v>0.86</v>
      </c>
      <c r="F16" s="2">
        <v>0.87</v>
      </c>
      <c r="G16" s="2">
        <v>0.62</v>
      </c>
      <c r="H16" s="2">
        <v>0.87</v>
      </c>
      <c r="I16" s="2">
        <v>0.78</v>
      </c>
      <c r="J16" s="2">
        <v>0.72</v>
      </c>
      <c r="K16" s="2">
        <v>0.84</v>
      </c>
      <c r="L16" s="2">
        <v>0.66</v>
      </c>
      <c r="M16" s="2">
        <v>0.68</v>
      </c>
      <c r="N16" s="2">
        <v>0.12</v>
      </c>
      <c r="O16" s="2">
        <v>0.2</v>
      </c>
      <c r="P16" s="2">
        <v>1</v>
      </c>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row>
    <row r="17" spans="2:61" x14ac:dyDescent="0.35">
      <c r="B17" t="s">
        <v>44</v>
      </c>
      <c r="C17" s="2">
        <v>-0.17</v>
      </c>
      <c r="D17" s="2">
        <v>0.09</v>
      </c>
      <c r="E17" s="2">
        <v>0.75</v>
      </c>
      <c r="F17" s="2">
        <v>0.66</v>
      </c>
      <c r="G17" s="2">
        <v>0.69</v>
      </c>
      <c r="H17" s="2">
        <v>0.8</v>
      </c>
      <c r="I17" s="2">
        <v>0.72</v>
      </c>
      <c r="J17" s="2">
        <v>0.74</v>
      </c>
      <c r="K17" s="2">
        <v>0.74</v>
      </c>
      <c r="L17" s="2">
        <v>0.69</v>
      </c>
      <c r="M17" s="2">
        <v>0.68</v>
      </c>
      <c r="N17" s="2">
        <v>0.33</v>
      </c>
      <c r="O17" s="2">
        <v>0.05</v>
      </c>
      <c r="P17" s="2">
        <v>0.72</v>
      </c>
      <c r="Q17" s="2">
        <v>1</v>
      </c>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row>
    <row r="18" spans="2:61" x14ac:dyDescent="0.35">
      <c r="B18" s="11" t="s">
        <v>45</v>
      </c>
      <c r="C18" s="2">
        <v>-0.28000000000000003</v>
      </c>
      <c r="D18" s="2">
        <v>0.1</v>
      </c>
      <c r="E18" s="2">
        <v>0.72</v>
      </c>
      <c r="F18" s="2">
        <v>0.74</v>
      </c>
      <c r="G18" s="2">
        <v>0.57999999999999996</v>
      </c>
      <c r="H18" s="2">
        <v>0.79</v>
      </c>
      <c r="I18" s="2">
        <v>0.7</v>
      </c>
      <c r="J18" s="2">
        <v>0.63</v>
      </c>
      <c r="K18" s="2">
        <v>0.77</v>
      </c>
      <c r="L18" s="2">
        <v>0.64</v>
      </c>
      <c r="M18" s="2">
        <v>0.66</v>
      </c>
      <c r="N18" s="2">
        <v>0.19</v>
      </c>
      <c r="O18" s="2">
        <v>-0.1</v>
      </c>
      <c r="P18" s="2">
        <v>0.96</v>
      </c>
      <c r="Q18" s="2">
        <v>0.66</v>
      </c>
      <c r="R18" s="2">
        <v>1</v>
      </c>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row>
    <row r="19" spans="2:61" x14ac:dyDescent="0.35">
      <c r="B19" t="s">
        <v>46</v>
      </c>
      <c r="C19" s="2">
        <v>-0.16</v>
      </c>
      <c r="D19" s="2">
        <v>0.08</v>
      </c>
      <c r="E19" s="2">
        <v>0.65</v>
      </c>
      <c r="F19" s="2">
        <v>0.55000000000000004</v>
      </c>
      <c r="G19" s="2">
        <v>0.65</v>
      </c>
      <c r="H19" s="2">
        <v>0.74</v>
      </c>
      <c r="I19" s="2">
        <v>0.67</v>
      </c>
      <c r="J19" s="2">
        <v>0.68</v>
      </c>
      <c r="K19" s="2">
        <v>0.68</v>
      </c>
      <c r="L19" s="2">
        <v>0.68</v>
      </c>
      <c r="M19" s="2">
        <v>0.67</v>
      </c>
      <c r="N19" s="2">
        <v>0.4</v>
      </c>
      <c r="O19" s="2">
        <v>0.04</v>
      </c>
      <c r="P19" s="2">
        <v>0.64</v>
      </c>
      <c r="Q19" s="2">
        <v>0.98</v>
      </c>
      <c r="R19" s="2">
        <v>0.61</v>
      </c>
      <c r="S19" s="2">
        <v>1</v>
      </c>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row>
    <row r="20" spans="2:61" x14ac:dyDescent="0.35">
      <c r="B20" t="s">
        <v>47</v>
      </c>
      <c r="C20" s="2">
        <v>-0.14000000000000001</v>
      </c>
      <c r="D20" s="2">
        <v>0.03</v>
      </c>
      <c r="E20" s="2">
        <v>0.31</v>
      </c>
      <c r="F20" s="2">
        <v>0.34</v>
      </c>
      <c r="G20" s="2">
        <v>0.62</v>
      </c>
      <c r="H20" s="2">
        <v>0.66</v>
      </c>
      <c r="I20" s="2">
        <v>0.6</v>
      </c>
      <c r="J20" s="2">
        <v>0.49</v>
      </c>
      <c r="K20" s="2">
        <v>0.62</v>
      </c>
      <c r="L20" s="2">
        <v>0.82</v>
      </c>
      <c r="M20" s="2">
        <v>0.78</v>
      </c>
      <c r="N20" s="2">
        <v>0.75</v>
      </c>
      <c r="O20" s="2">
        <v>0.45</v>
      </c>
      <c r="P20" s="2">
        <v>0.44</v>
      </c>
      <c r="Q20" s="2">
        <v>0.6</v>
      </c>
      <c r="R20" s="2">
        <v>0.46</v>
      </c>
      <c r="S20" s="2">
        <v>0.64</v>
      </c>
      <c r="T20" s="2">
        <v>1</v>
      </c>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row>
    <row r="21" spans="2:61" x14ac:dyDescent="0.35">
      <c r="B21" t="s">
        <v>48</v>
      </c>
      <c r="C21" s="2">
        <v>-0.05</v>
      </c>
      <c r="D21" s="2">
        <v>0.09</v>
      </c>
      <c r="E21" s="2">
        <v>0.22</v>
      </c>
      <c r="F21" s="2">
        <v>0.18</v>
      </c>
      <c r="G21" s="2">
        <v>0.45</v>
      </c>
      <c r="H21" s="2">
        <v>0.47</v>
      </c>
      <c r="I21" s="2">
        <v>0.42</v>
      </c>
      <c r="J21" s="2">
        <v>0.41</v>
      </c>
      <c r="K21" s="2">
        <v>0.43</v>
      </c>
      <c r="L21" s="2">
        <v>0.61</v>
      </c>
      <c r="M21" s="2">
        <v>0.57999999999999996</v>
      </c>
      <c r="N21" s="2">
        <v>0.62</v>
      </c>
      <c r="O21" s="2">
        <v>0.35</v>
      </c>
      <c r="P21" s="2">
        <v>0.26</v>
      </c>
      <c r="Q21" s="2">
        <v>0.61</v>
      </c>
      <c r="R21" s="2">
        <v>0.28000000000000003</v>
      </c>
      <c r="S21" s="2">
        <v>0.67</v>
      </c>
      <c r="T21" s="2">
        <v>0.81</v>
      </c>
      <c r="U21" s="2">
        <v>1</v>
      </c>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row>
    <row r="22" spans="2:61" x14ac:dyDescent="0.35">
      <c r="B22" t="s">
        <v>49</v>
      </c>
      <c r="C22" s="2">
        <v>-7.0000000000000007E-2</v>
      </c>
      <c r="D22" s="2">
        <v>0.02</v>
      </c>
      <c r="E22" s="2">
        <v>0.19</v>
      </c>
      <c r="F22" s="2">
        <v>0.23</v>
      </c>
      <c r="G22" s="2">
        <v>0.55000000000000004</v>
      </c>
      <c r="H22" s="2">
        <v>0.56999999999999995</v>
      </c>
      <c r="I22" s="2">
        <v>0.5</v>
      </c>
      <c r="J22" s="2">
        <v>0.44</v>
      </c>
      <c r="K22" s="2">
        <v>0.52</v>
      </c>
      <c r="L22" s="2">
        <v>0.8</v>
      </c>
      <c r="M22" s="2">
        <v>0.73</v>
      </c>
      <c r="N22" s="2">
        <v>0.73</v>
      </c>
      <c r="O22" s="2">
        <v>0.56999999999999995</v>
      </c>
      <c r="P22" s="2">
        <v>0.31</v>
      </c>
      <c r="Q22" s="2">
        <v>0.48</v>
      </c>
      <c r="R22" s="2">
        <v>0.32</v>
      </c>
      <c r="S22" s="2">
        <v>0.51</v>
      </c>
      <c r="T22" s="2">
        <v>0.89</v>
      </c>
      <c r="U22" s="2">
        <v>0.73</v>
      </c>
      <c r="V22" s="2">
        <v>1</v>
      </c>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row>
    <row r="23" spans="2:61" x14ac:dyDescent="0.35">
      <c r="B23" s="11" t="s">
        <v>50</v>
      </c>
      <c r="C23" s="2">
        <v>-0.17</v>
      </c>
      <c r="D23" s="2">
        <v>0.06</v>
      </c>
      <c r="E23" s="2">
        <v>0.52</v>
      </c>
      <c r="F23" s="2">
        <v>0.51</v>
      </c>
      <c r="G23" s="2">
        <v>0.57999999999999996</v>
      </c>
      <c r="H23" s="2">
        <v>0.72</v>
      </c>
      <c r="I23" s="2">
        <v>0.69</v>
      </c>
      <c r="J23" s="2">
        <v>0.55000000000000004</v>
      </c>
      <c r="K23" s="2">
        <v>0.64</v>
      </c>
      <c r="L23" s="2">
        <v>0.69</v>
      </c>
      <c r="M23" s="2">
        <v>0.66</v>
      </c>
      <c r="N23" s="2">
        <v>0.42</v>
      </c>
      <c r="O23" s="2">
        <v>0.18</v>
      </c>
      <c r="P23" s="2">
        <v>0.6</v>
      </c>
      <c r="Q23" s="2">
        <v>0.55000000000000004</v>
      </c>
      <c r="R23" s="2">
        <v>0.59</v>
      </c>
      <c r="S23" s="2">
        <v>0.54</v>
      </c>
      <c r="T23" s="2">
        <v>0.63</v>
      </c>
      <c r="U23" s="2">
        <v>0.39</v>
      </c>
      <c r="V23" s="2">
        <v>0.5</v>
      </c>
      <c r="W23" s="2">
        <v>1</v>
      </c>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row>
    <row r="24" spans="2:61" x14ac:dyDescent="0.35">
      <c r="B24" t="s">
        <v>51</v>
      </c>
      <c r="C24" s="2">
        <v>0.17</v>
      </c>
      <c r="D24" s="2">
        <v>0.05</v>
      </c>
      <c r="E24" s="2">
        <v>0.15</v>
      </c>
      <c r="F24" s="2">
        <v>0.25</v>
      </c>
      <c r="G24" s="2">
        <v>0.47</v>
      </c>
      <c r="H24" s="2">
        <v>0.43</v>
      </c>
      <c r="I24" s="2">
        <v>0.43</v>
      </c>
      <c r="J24" s="2">
        <v>0.2</v>
      </c>
      <c r="K24" s="2">
        <v>0.39</v>
      </c>
      <c r="L24" s="2">
        <v>0.55000000000000004</v>
      </c>
      <c r="M24" s="2">
        <v>0.49</v>
      </c>
      <c r="N24" s="2">
        <v>0.5</v>
      </c>
      <c r="O24" s="2">
        <v>0.49</v>
      </c>
      <c r="P24" s="2">
        <v>0.28999999999999998</v>
      </c>
      <c r="Q24" s="2">
        <v>0.26</v>
      </c>
      <c r="R24" s="2">
        <v>0.3</v>
      </c>
      <c r="S24" s="2">
        <v>0.28000000000000003</v>
      </c>
      <c r="T24" s="2">
        <v>0.56999999999999995</v>
      </c>
      <c r="U24" s="2">
        <v>0.31</v>
      </c>
      <c r="V24" s="2">
        <v>0.55000000000000004</v>
      </c>
      <c r="W24" s="2">
        <v>0.64</v>
      </c>
      <c r="X24" s="2">
        <v>1</v>
      </c>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row>
    <row r="25" spans="2:61" x14ac:dyDescent="0.35">
      <c r="B25" t="s">
        <v>52</v>
      </c>
      <c r="C25" s="2">
        <v>0</v>
      </c>
      <c r="D25" s="2">
        <v>0</v>
      </c>
      <c r="E25" s="2">
        <v>-0.06</v>
      </c>
      <c r="F25" s="2">
        <v>0.03</v>
      </c>
      <c r="G25" s="2">
        <v>0.31</v>
      </c>
      <c r="H25" s="2">
        <v>0.26</v>
      </c>
      <c r="I25" s="2">
        <v>0.26</v>
      </c>
      <c r="J25" s="2">
        <v>0.12</v>
      </c>
      <c r="K25" s="2">
        <v>0.25</v>
      </c>
      <c r="L25" s="2">
        <v>0.49</v>
      </c>
      <c r="M25" s="2">
        <v>0.47</v>
      </c>
      <c r="N25" s="2">
        <v>0.74</v>
      </c>
      <c r="O25" s="2">
        <v>0.57999999999999996</v>
      </c>
      <c r="P25" s="2">
        <v>0.09</v>
      </c>
      <c r="Q25" s="2">
        <v>0.28999999999999998</v>
      </c>
      <c r="R25" s="2">
        <v>0.16</v>
      </c>
      <c r="S25" s="2">
        <v>0.37</v>
      </c>
      <c r="T25" s="2">
        <v>0.62</v>
      </c>
      <c r="U25" s="2">
        <v>0.6</v>
      </c>
      <c r="V25" s="2">
        <v>0.56999999999999995</v>
      </c>
      <c r="W25" s="2">
        <v>0.23</v>
      </c>
      <c r="X25" s="2">
        <v>0.33</v>
      </c>
      <c r="Y25" s="2">
        <v>1</v>
      </c>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row>
    <row r="26" spans="2:61" x14ac:dyDescent="0.35">
      <c r="B26" t="s">
        <v>53</v>
      </c>
      <c r="C26" s="2">
        <v>0</v>
      </c>
      <c r="D26" s="2">
        <v>0.04</v>
      </c>
      <c r="E26" s="2">
        <v>-0.1</v>
      </c>
      <c r="F26" s="2">
        <v>0.05</v>
      </c>
      <c r="G26" s="2">
        <v>0.31</v>
      </c>
      <c r="H26" s="2">
        <v>0.25</v>
      </c>
      <c r="I26" s="2">
        <v>0.25</v>
      </c>
      <c r="J26" s="2">
        <v>0.1</v>
      </c>
      <c r="K26" s="2">
        <v>0.24</v>
      </c>
      <c r="L26" s="2">
        <v>0.5</v>
      </c>
      <c r="M26" s="2">
        <v>0.47</v>
      </c>
      <c r="N26" s="2">
        <v>0.78</v>
      </c>
      <c r="O26" s="2">
        <v>0.62</v>
      </c>
      <c r="P26" s="2">
        <v>0.05</v>
      </c>
      <c r="Q26" s="2">
        <v>0.26</v>
      </c>
      <c r="R26" s="2">
        <v>0.13</v>
      </c>
      <c r="S26" s="2">
        <v>0.34</v>
      </c>
      <c r="T26" s="2">
        <v>0.62</v>
      </c>
      <c r="U26" s="2">
        <v>0.6</v>
      </c>
      <c r="V26" s="2">
        <v>0.57999999999999996</v>
      </c>
      <c r="W26" s="2">
        <v>0.25</v>
      </c>
      <c r="X26" s="2">
        <v>0.33</v>
      </c>
      <c r="Y26" s="2">
        <v>0.96</v>
      </c>
      <c r="Z26" s="2">
        <v>1</v>
      </c>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row>
    <row r="27" spans="2:61" x14ac:dyDescent="0.35">
      <c r="B27" t="s">
        <v>54</v>
      </c>
      <c r="C27" s="2">
        <v>-0.03</v>
      </c>
      <c r="D27" s="2">
        <v>0.05</v>
      </c>
      <c r="E27" s="2">
        <v>-0.13</v>
      </c>
      <c r="F27" s="2">
        <v>0.1</v>
      </c>
      <c r="G27" s="2">
        <v>0.22</v>
      </c>
      <c r="H27" s="2">
        <v>0.18</v>
      </c>
      <c r="I27" s="2">
        <v>0.2</v>
      </c>
      <c r="J27" s="2">
        <v>0.05</v>
      </c>
      <c r="K27" s="2">
        <v>0.17</v>
      </c>
      <c r="L27" s="2">
        <v>0.4</v>
      </c>
      <c r="M27" s="2">
        <v>0.38</v>
      </c>
      <c r="N27" s="2">
        <v>0.71</v>
      </c>
      <c r="O27" s="2">
        <v>0.55000000000000004</v>
      </c>
      <c r="P27" s="2">
        <v>0</v>
      </c>
      <c r="Q27" s="2">
        <v>0.2</v>
      </c>
      <c r="R27" s="2">
        <v>0.08</v>
      </c>
      <c r="S27" s="2">
        <v>0.27</v>
      </c>
      <c r="T27" s="2">
        <v>0.53</v>
      </c>
      <c r="U27" s="2">
        <v>0.54</v>
      </c>
      <c r="V27" s="2">
        <v>0.48</v>
      </c>
      <c r="W27" s="2">
        <v>0.18</v>
      </c>
      <c r="X27" s="2">
        <v>0.24</v>
      </c>
      <c r="Y27" s="2">
        <v>0.9</v>
      </c>
      <c r="Z27" s="2">
        <v>0.95</v>
      </c>
      <c r="AA27" s="2">
        <v>1</v>
      </c>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row>
    <row r="28" spans="2:61" x14ac:dyDescent="0.35">
      <c r="B28" t="s">
        <v>55</v>
      </c>
      <c r="C28" s="2">
        <v>-0.02</v>
      </c>
      <c r="D28" s="2">
        <v>0.05</v>
      </c>
      <c r="E28" s="2">
        <v>-0.02</v>
      </c>
      <c r="F28" s="2">
        <v>0.04</v>
      </c>
      <c r="G28" s="2">
        <v>0.28999999999999998</v>
      </c>
      <c r="H28" s="2">
        <v>0.28999999999999998</v>
      </c>
      <c r="I28" s="2">
        <v>0.28999999999999998</v>
      </c>
      <c r="J28" s="2">
        <v>0.22</v>
      </c>
      <c r="K28" s="2">
        <v>0.26</v>
      </c>
      <c r="L28" s="2">
        <v>0.5</v>
      </c>
      <c r="M28" s="2">
        <v>0.48</v>
      </c>
      <c r="N28" s="2">
        <v>0.73</v>
      </c>
      <c r="O28" s="2">
        <v>0.52</v>
      </c>
      <c r="P28" s="2">
        <v>0.06</v>
      </c>
      <c r="Q28" s="2">
        <v>0.41</v>
      </c>
      <c r="R28" s="2">
        <v>0.12</v>
      </c>
      <c r="S28" s="2">
        <v>0.49</v>
      </c>
      <c r="T28" s="2">
        <v>0.68</v>
      </c>
      <c r="U28" s="2">
        <v>0.73</v>
      </c>
      <c r="V28" s="2">
        <v>0.62</v>
      </c>
      <c r="W28" s="2">
        <v>0.27</v>
      </c>
      <c r="X28" s="2">
        <v>0.3</v>
      </c>
      <c r="Y28" s="2">
        <v>0.85</v>
      </c>
      <c r="Z28" s="2">
        <v>0.84</v>
      </c>
      <c r="AA28" s="2">
        <v>0.77</v>
      </c>
      <c r="AB28" s="2">
        <v>1</v>
      </c>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row>
    <row r="29" spans="2:61" x14ac:dyDescent="0.35">
      <c r="B29" t="s">
        <v>56</v>
      </c>
      <c r="C29" s="2">
        <v>-7.0000000000000007E-2</v>
      </c>
      <c r="D29" s="2">
        <v>0</v>
      </c>
      <c r="E29" s="2">
        <v>-0.01</v>
      </c>
      <c r="F29" s="2">
        <v>0.02</v>
      </c>
      <c r="G29" s="2">
        <v>0.28000000000000003</v>
      </c>
      <c r="H29" s="2">
        <v>0.3</v>
      </c>
      <c r="I29" s="2">
        <v>0.3</v>
      </c>
      <c r="J29" s="2">
        <v>0.21</v>
      </c>
      <c r="K29" s="2">
        <v>0.3</v>
      </c>
      <c r="L29" s="2">
        <v>0.52</v>
      </c>
      <c r="M29" s="2">
        <v>0.5</v>
      </c>
      <c r="N29" s="2">
        <v>0.67</v>
      </c>
      <c r="O29" s="2">
        <v>0.49</v>
      </c>
      <c r="P29" s="2">
        <v>0.08</v>
      </c>
      <c r="Q29" s="2">
        <v>0.33</v>
      </c>
      <c r="R29" s="2">
        <v>0.13</v>
      </c>
      <c r="S29" s="2">
        <v>0.4</v>
      </c>
      <c r="T29" s="2">
        <v>0.6</v>
      </c>
      <c r="U29" s="2">
        <v>0.62</v>
      </c>
      <c r="V29" s="2">
        <v>0.57999999999999996</v>
      </c>
      <c r="W29" s="2">
        <v>0.25</v>
      </c>
      <c r="X29" s="2">
        <v>0.28999999999999998</v>
      </c>
      <c r="Y29" s="2">
        <v>0.74</v>
      </c>
      <c r="Z29" s="2">
        <v>0.74</v>
      </c>
      <c r="AA29" s="2">
        <v>0.68</v>
      </c>
      <c r="AB29" s="2">
        <v>0.77</v>
      </c>
      <c r="AC29" s="2">
        <v>1</v>
      </c>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row>
    <row r="30" spans="2:61" x14ac:dyDescent="0.35">
      <c r="B30" t="s">
        <v>57</v>
      </c>
      <c r="C30" s="2">
        <v>-0.04</v>
      </c>
      <c r="D30" s="2">
        <v>0.05</v>
      </c>
      <c r="E30" s="2">
        <v>-0.06</v>
      </c>
      <c r="F30" s="2">
        <v>0.03</v>
      </c>
      <c r="G30" s="2">
        <v>0.23</v>
      </c>
      <c r="H30" s="2">
        <v>0.26</v>
      </c>
      <c r="I30" s="2">
        <v>0.24</v>
      </c>
      <c r="J30" s="2">
        <v>0.18</v>
      </c>
      <c r="K30" s="2">
        <v>0.24</v>
      </c>
      <c r="L30" s="2">
        <v>0.48</v>
      </c>
      <c r="M30" s="2">
        <v>0.44</v>
      </c>
      <c r="N30" s="2">
        <v>0.59</v>
      </c>
      <c r="O30" s="2">
        <v>0.49</v>
      </c>
      <c r="P30" s="2">
        <v>-0.02</v>
      </c>
      <c r="Q30" s="2">
        <v>0.28999999999999998</v>
      </c>
      <c r="R30" s="2">
        <v>-0.01</v>
      </c>
      <c r="S30" s="2">
        <v>0.36</v>
      </c>
      <c r="T30" s="2">
        <v>0.59</v>
      </c>
      <c r="U30" s="2">
        <v>0.67</v>
      </c>
      <c r="V30" s="2">
        <v>0.64</v>
      </c>
      <c r="W30" s="2">
        <v>0.26</v>
      </c>
      <c r="X30" s="2">
        <v>0.34</v>
      </c>
      <c r="Y30" s="2">
        <v>0.57999999999999996</v>
      </c>
      <c r="Z30" s="2">
        <v>0.6</v>
      </c>
      <c r="AA30" s="2">
        <v>0.53</v>
      </c>
      <c r="AB30" s="2">
        <v>0.68</v>
      </c>
      <c r="AC30" s="2">
        <v>0.59</v>
      </c>
      <c r="AD30" s="2">
        <v>1</v>
      </c>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row>
    <row r="31" spans="2:61" x14ac:dyDescent="0.35">
      <c r="B31" t="s">
        <v>58</v>
      </c>
      <c r="C31" s="2">
        <v>0.04</v>
      </c>
      <c r="D31" s="2">
        <v>0</v>
      </c>
      <c r="E31" s="2">
        <v>-0.14000000000000001</v>
      </c>
      <c r="F31" s="2">
        <v>0.14000000000000001</v>
      </c>
      <c r="G31" s="2">
        <v>0.25</v>
      </c>
      <c r="H31" s="2">
        <v>0.19</v>
      </c>
      <c r="I31" s="2">
        <v>0.2</v>
      </c>
      <c r="J31" s="2">
        <v>0.11</v>
      </c>
      <c r="K31" s="2">
        <v>0.18</v>
      </c>
      <c r="L31" s="2">
        <v>0.45</v>
      </c>
      <c r="M31" s="2">
        <v>0.43</v>
      </c>
      <c r="N31" s="2">
        <v>0.72</v>
      </c>
      <c r="O31" s="2">
        <v>0.61</v>
      </c>
      <c r="P31" s="2">
        <v>-0.05</v>
      </c>
      <c r="Q31" s="2">
        <v>0.31</v>
      </c>
      <c r="R31" s="2">
        <v>0.01</v>
      </c>
      <c r="S31" s="2">
        <v>0.4</v>
      </c>
      <c r="T31" s="2">
        <v>0.61</v>
      </c>
      <c r="U31" s="2">
        <v>0.66</v>
      </c>
      <c r="V31" s="2">
        <v>0.6</v>
      </c>
      <c r="W31" s="2">
        <v>0.2</v>
      </c>
      <c r="X31" s="2">
        <v>0.34</v>
      </c>
      <c r="Y31" s="2">
        <v>0.82</v>
      </c>
      <c r="Z31" s="2">
        <v>0.81</v>
      </c>
      <c r="AA31" s="2">
        <v>0.73</v>
      </c>
      <c r="AB31" s="2">
        <v>0.91</v>
      </c>
      <c r="AC31" s="2">
        <v>0.75</v>
      </c>
      <c r="AD31" s="2">
        <v>0.73</v>
      </c>
      <c r="AE31" s="2">
        <v>1</v>
      </c>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row>
    <row r="32" spans="2:61" x14ac:dyDescent="0.35">
      <c r="B32" t="s">
        <v>59</v>
      </c>
      <c r="C32" s="2">
        <v>-0.02</v>
      </c>
      <c r="D32" s="2">
        <v>0.03</v>
      </c>
      <c r="E32" s="2">
        <v>-0.04</v>
      </c>
      <c r="F32" s="2">
        <v>0.04</v>
      </c>
      <c r="G32" s="2">
        <v>0.32</v>
      </c>
      <c r="H32" s="2">
        <v>0.3</v>
      </c>
      <c r="I32" s="2">
        <v>0.28999999999999998</v>
      </c>
      <c r="J32" s="2">
        <v>0.21</v>
      </c>
      <c r="K32" s="2">
        <v>0.28000000000000003</v>
      </c>
      <c r="L32" s="2">
        <v>0.54</v>
      </c>
      <c r="M32" s="2">
        <v>0.52</v>
      </c>
      <c r="N32" s="2">
        <v>0.77</v>
      </c>
      <c r="O32" s="2">
        <v>0.57999999999999996</v>
      </c>
      <c r="P32" s="2">
        <v>0.06</v>
      </c>
      <c r="Q32" s="2">
        <v>0.41</v>
      </c>
      <c r="R32" s="2">
        <v>0.11</v>
      </c>
      <c r="S32" s="2">
        <v>0.49</v>
      </c>
      <c r="T32" s="2">
        <v>0.7</v>
      </c>
      <c r="U32" s="2">
        <v>0.75</v>
      </c>
      <c r="V32" s="2">
        <v>0.66</v>
      </c>
      <c r="W32" s="2">
        <v>0.26</v>
      </c>
      <c r="X32" s="2">
        <v>0.33</v>
      </c>
      <c r="Y32" s="2">
        <v>0.88</v>
      </c>
      <c r="Z32" s="2">
        <v>0.88</v>
      </c>
      <c r="AA32" s="2">
        <v>0.8</v>
      </c>
      <c r="AB32" s="2">
        <v>0.97</v>
      </c>
      <c r="AC32" s="2">
        <v>0.85</v>
      </c>
      <c r="AD32" s="2">
        <v>0.73</v>
      </c>
      <c r="AE32" s="2">
        <v>0.95</v>
      </c>
      <c r="AF32" s="2">
        <v>1</v>
      </c>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row>
    <row r="33" spans="2:61" x14ac:dyDescent="0.35">
      <c r="B33" t="s">
        <v>60</v>
      </c>
      <c r="C33" s="2">
        <v>-0.05</v>
      </c>
      <c r="D33" s="2">
        <v>0.06</v>
      </c>
      <c r="E33" s="2">
        <v>-0.05</v>
      </c>
      <c r="F33" s="2">
        <v>0.02</v>
      </c>
      <c r="G33" s="2">
        <v>0.11</v>
      </c>
      <c r="H33" s="2">
        <v>0.16</v>
      </c>
      <c r="I33" s="2">
        <v>0.15</v>
      </c>
      <c r="J33" s="2">
        <v>0.1</v>
      </c>
      <c r="K33" s="2">
        <v>0.14000000000000001</v>
      </c>
      <c r="L33" s="2">
        <v>0.28999999999999998</v>
      </c>
      <c r="M33" s="2">
        <v>0.26</v>
      </c>
      <c r="N33" s="2">
        <v>0.34</v>
      </c>
      <c r="O33" s="2">
        <v>0.28999999999999998</v>
      </c>
      <c r="P33" s="2">
        <v>0.02</v>
      </c>
      <c r="Q33" s="2">
        <v>0.15</v>
      </c>
      <c r="R33" s="2">
        <v>0.02</v>
      </c>
      <c r="S33" s="2">
        <v>0.18</v>
      </c>
      <c r="T33" s="2">
        <v>0.34</v>
      </c>
      <c r="U33" s="2">
        <v>0.36</v>
      </c>
      <c r="V33" s="2">
        <v>0.4</v>
      </c>
      <c r="W33" s="2">
        <v>0.11</v>
      </c>
      <c r="X33" s="2">
        <v>0.18</v>
      </c>
      <c r="Y33" s="2">
        <v>0.35</v>
      </c>
      <c r="Z33" s="2">
        <v>0.35</v>
      </c>
      <c r="AA33" s="2">
        <v>0.32</v>
      </c>
      <c r="AB33" s="2">
        <v>0.38</v>
      </c>
      <c r="AC33" s="2">
        <v>0.35</v>
      </c>
      <c r="AD33" s="2">
        <v>0.59</v>
      </c>
      <c r="AE33" s="2">
        <v>0.4</v>
      </c>
      <c r="AF33" s="2">
        <v>0.41</v>
      </c>
      <c r="AG33" s="2">
        <v>1</v>
      </c>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row>
    <row r="34" spans="2:61" x14ac:dyDescent="0.35">
      <c r="B34" t="s">
        <v>61</v>
      </c>
      <c r="C34" s="2">
        <v>-0.01</v>
      </c>
      <c r="D34" s="2">
        <v>0.03</v>
      </c>
      <c r="E34" s="2">
        <v>-0.05</v>
      </c>
      <c r="F34" s="2">
        <v>0.02</v>
      </c>
      <c r="G34" s="2">
        <v>0.33</v>
      </c>
      <c r="H34" s="2">
        <v>0.28999999999999998</v>
      </c>
      <c r="I34" s="2">
        <v>0.27</v>
      </c>
      <c r="J34" s="2">
        <v>0.21</v>
      </c>
      <c r="K34" s="2">
        <v>0.27</v>
      </c>
      <c r="L34" s="2">
        <v>0.53</v>
      </c>
      <c r="M34" s="2">
        <v>0.49</v>
      </c>
      <c r="N34" s="2">
        <v>0.72</v>
      </c>
      <c r="O34" s="2">
        <v>0.56999999999999995</v>
      </c>
      <c r="P34" s="2">
        <v>0.04</v>
      </c>
      <c r="Q34" s="2">
        <v>0.39</v>
      </c>
      <c r="R34" s="2">
        <v>0.08</v>
      </c>
      <c r="S34" s="2">
        <v>0.47</v>
      </c>
      <c r="T34" s="2">
        <v>0.7</v>
      </c>
      <c r="U34" s="2">
        <v>0.8</v>
      </c>
      <c r="V34" s="2">
        <v>0.7</v>
      </c>
      <c r="W34" s="2">
        <v>0.24</v>
      </c>
      <c r="X34" s="2">
        <v>0.37</v>
      </c>
      <c r="Y34" s="2">
        <v>0.74</v>
      </c>
      <c r="Z34" s="2">
        <v>0.76</v>
      </c>
      <c r="AA34" s="2">
        <v>0.68</v>
      </c>
      <c r="AB34" s="2">
        <v>0.82</v>
      </c>
      <c r="AC34" s="2">
        <v>0.7</v>
      </c>
      <c r="AD34" s="2">
        <v>0.84</v>
      </c>
      <c r="AE34" s="2">
        <v>0.81</v>
      </c>
      <c r="AF34" s="2">
        <v>0.86</v>
      </c>
      <c r="AG34" s="2">
        <v>0.56000000000000005</v>
      </c>
      <c r="AH34" s="2">
        <v>1</v>
      </c>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row>
    <row r="35" spans="2:61" x14ac:dyDescent="0.35">
      <c r="B35" t="s">
        <v>62</v>
      </c>
      <c r="C35" s="2">
        <v>-0.06</v>
      </c>
      <c r="D35" s="2">
        <v>0.02</v>
      </c>
      <c r="E35" s="2">
        <v>-0.02</v>
      </c>
      <c r="F35" s="2">
        <v>0.02</v>
      </c>
      <c r="G35" s="2">
        <v>0.32</v>
      </c>
      <c r="H35" s="2">
        <v>0.31</v>
      </c>
      <c r="I35" s="2">
        <v>0.28999999999999998</v>
      </c>
      <c r="J35" s="2">
        <v>0.23</v>
      </c>
      <c r="K35" s="2">
        <v>0.3</v>
      </c>
      <c r="L35" s="2">
        <v>0.54</v>
      </c>
      <c r="M35" s="2">
        <v>0.51</v>
      </c>
      <c r="N35" s="2">
        <v>0.69</v>
      </c>
      <c r="O35" s="2">
        <v>0.53</v>
      </c>
      <c r="P35" s="2">
        <v>0.06</v>
      </c>
      <c r="Q35" s="2">
        <v>0.38</v>
      </c>
      <c r="R35" s="2">
        <v>0.09</v>
      </c>
      <c r="S35" s="2">
        <v>0.45</v>
      </c>
      <c r="T35" s="2">
        <v>0.68</v>
      </c>
      <c r="U35" s="2">
        <v>0.75</v>
      </c>
      <c r="V35" s="2">
        <v>0.69</v>
      </c>
      <c r="W35" s="2">
        <v>0.26</v>
      </c>
      <c r="X35" s="2">
        <v>0.37</v>
      </c>
      <c r="Y35" s="2">
        <v>0.71</v>
      </c>
      <c r="Z35" s="2">
        <v>0.72</v>
      </c>
      <c r="AA35" s="2">
        <v>0.66</v>
      </c>
      <c r="AB35" s="2">
        <v>0.78</v>
      </c>
      <c r="AC35" s="2">
        <v>0.69</v>
      </c>
      <c r="AD35" s="2">
        <v>0.88</v>
      </c>
      <c r="AE35" s="2">
        <v>0.77</v>
      </c>
      <c r="AF35" s="2">
        <v>0.83</v>
      </c>
      <c r="AG35" s="2">
        <v>0.61</v>
      </c>
      <c r="AH35" s="2">
        <v>0.98</v>
      </c>
      <c r="AI35" s="2">
        <v>1</v>
      </c>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row>
    <row r="36" spans="2:61" x14ac:dyDescent="0.35">
      <c r="B36" t="s">
        <v>63</v>
      </c>
      <c r="C36" s="2">
        <v>-0.01</v>
      </c>
      <c r="D36" s="2">
        <v>0.01</v>
      </c>
      <c r="E36" s="2">
        <v>-0.06</v>
      </c>
      <c r="F36" s="2">
        <v>0.04</v>
      </c>
      <c r="G36" s="2">
        <v>0.34</v>
      </c>
      <c r="H36" s="2">
        <v>0.28999999999999998</v>
      </c>
      <c r="I36" s="2">
        <v>0.28000000000000003</v>
      </c>
      <c r="J36" s="2">
        <v>0.18</v>
      </c>
      <c r="K36" s="2">
        <v>0.28000000000000003</v>
      </c>
      <c r="L36" s="2">
        <v>0.54</v>
      </c>
      <c r="M36" s="2">
        <v>0.51</v>
      </c>
      <c r="N36" s="2">
        <v>0.79</v>
      </c>
      <c r="O36" s="2">
        <v>0.61</v>
      </c>
      <c r="P36" s="2">
        <v>7.0000000000000007E-2</v>
      </c>
      <c r="Q36" s="2">
        <v>0.37</v>
      </c>
      <c r="R36" s="2">
        <v>0.14000000000000001</v>
      </c>
      <c r="S36" s="2">
        <v>0.45</v>
      </c>
      <c r="T36" s="2">
        <v>0.69</v>
      </c>
      <c r="U36" s="2">
        <v>0.71</v>
      </c>
      <c r="V36" s="2">
        <v>0.65</v>
      </c>
      <c r="W36" s="2">
        <v>0.25</v>
      </c>
      <c r="X36" s="2">
        <v>0.34</v>
      </c>
      <c r="Y36" s="2">
        <v>0.96</v>
      </c>
      <c r="Z36" s="2">
        <v>0.95</v>
      </c>
      <c r="AA36" s="2">
        <v>0.87</v>
      </c>
      <c r="AB36" s="2">
        <v>0.93</v>
      </c>
      <c r="AC36" s="2">
        <v>0.82</v>
      </c>
      <c r="AD36" s="2">
        <v>0.7</v>
      </c>
      <c r="AE36" s="2">
        <v>0.91</v>
      </c>
      <c r="AF36" s="2">
        <v>0.97</v>
      </c>
      <c r="AG36" s="2">
        <v>0.42</v>
      </c>
      <c r="AH36" s="2">
        <v>0.86</v>
      </c>
      <c r="AI36" s="2">
        <v>0.83</v>
      </c>
      <c r="AJ36" s="2">
        <v>1</v>
      </c>
      <c r="AK36" s="2"/>
      <c r="AL36" s="2"/>
      <c r="AM36" s="2"/>
      <c r="AN36" s="2"/>
      <c r="AO36" s="2"/>
      <c r="AP36" s="2"/>
      <c r="AQ36" s="2"/>
      <c r="AR36" s="2"/>
      <c r="AS36" s="2"/>
      <c r="AT36" s="2"/>
      <c r="AU36" s="2"/>
      <c r="AV36" s="2"/>
      <c r="AW36" s="2"/>
      <c r="AX36" s="2"/>
      <c r="AY36" s="2"/>
      <c r="AZ36" s="2"/>
      <c r="BA36" s="2"/>
      <c r="BB36" s="2"/>
      <c r="BC36" s="2"/>
      <c r="BD36" s="2"/>
      <c r="BE36" s="2"/>
      <c r="BF36" s="2"/>
      <c r="BG36" s="2"/>
      <c r="BH36" s="2"/>
      <c r="BI36" s="2"/>
    </row>
    <row r="37" spans="2:61" x14ac:dyDescent="0.35">
      <c r="B37" t="s">
        <v>64</v>
      </c>
      <c r="C37" s="2">
        <v>-0.03</v>
      </c>
      <c r="D37" s="2">
        <v>0.04</v>
      </c>
      <c r="E37" s="2">
        <v>-0.1</v>
      </c>
      <c r="F37" s="2">
        <v>0.09</v>
      </c>
      <c r="G37" s="2">
        <v>0.26</v>
      </c>
      <c r="H37" s="2">
        <v>0.22</v>
      </c>
      <c r="I37" s="2">
        <v>0.24</v>
      </c>
      <c r="J37" s="2">
        <v>0.1</v>
      </c>
      <c r="K37" s="2">
        <v>0.2</v>
      </c>
      <c r="L37" s="2">
        <v>0.44</v>
      </c>
      <c r="M37" s="2">
        <v>0.42</v>
      </c>
      <c r="N37" s="2">
        <v>0.74</v>
      </c>
      <c r="O37" s="2">
        <v>0.56999999999999995</v>
      </c>
      <c r="P37" s="2">
        <v>0.03</v>
      </c>
      <c r="Q37" s="2">
        <v>0.25</v>
      </c>
      <c r="R37" s="2">
        <v>0.12</v>
      </c>
      <c r="S37" s="2">
        <v>0.33</v>
      </c>
      <c r="T37" s="2">
        <v>0.57999999999999996</v>
      </c>
      <c r="U37" s="2">
        <v>0.6</v>
      </c>
      <c r="V37" s="2">
        <v>0.54</v>
      </c>
      <c r="W37" s="2">
        <v>0.2</v>
      </c>
      <c r="X37" s="2">
        <v>0.27</v>
      </c>
      <c r="Y37" s="2">
        <v>0.96</v>
      </c>
      <c r="Z37" s="2">
        <v>0.97</v>
      </c>
      <c r="AA37" s="2">
        <v>0.93</v>
      </c>
      <c r="AB37" s="2">
        <v>0.84</v>
      </c>
      <c r="AC37" s="2">
        <v>0.74</v>
      </c>
      <c r="AD37" s="2">
        <v>0.56999999999999995</v>
      </c>
      <c r="AE37" s="2">
        <v>0.82</v>
      </c>
      <c r="AF37" s="2">
        <v>0.87</v>
      </c>
      <c r="AG37" s="2">
        <v>0.33</v>
      </c>
      <c r="AH37" s="2">
        <v>0.73</v>
      </c>
      <c r="AI37" s="2">
        <v>0.69</v>
      </c>
      <c r="AJ37" s="2">
        <v>0.94</v>
      </c>
      <c r="AK37" s="2">
        <v>1</v>
      </c>
      <c r="AL37" s="2"/>
      <c r="AM37" s="2"/>
      <c r="AN37" s="2"/>
      <c r="AO37" s="2"/>
      <c r="AP37" s="2"/>
      <c r="AQ37" s="2"/>
      <c r="AR37" s="2"/>
      <c r="AS37" s="2"/>
      <c r="AT37" s="2"/>
      <c r="AU37" s="2"/>
      <c r="AV37" s="2"/>
      <c r="AW37" s="2"/>
      <c r="AX37" s="2"/>
      <c r="AY37" s="2"/>
      <c r="AZ37" s="2"/>
      <c r="BA37" s="2"/>
      <c r="BB37" s="2"/>
      <c r="BC37" s="2"/>
      <c r="BD37" s="2"/>
      <c r="BE37" s="2"/>
      <c r="BF37" s="2"/>
      <c r="BG37" s="2"/>
      <c r="BH37" s="2"/>
      <c r="BI37" s="2"/>
    </row>
    <row r="38" spans="2:61" x14ac:dyDescent="0.35">
      <c r="B38" t="s">
        <v>65</v>
      </c>
      <c r="C38" s="2">
        <v>0.01</v>
      </c>
      <c r="D38" s="2">
        <v>0</v>
      </c>
      <c r="E38" s="2">
        <v>-7.0000000000000007E-2</v>
      </c>
      <c r="F38" s="2">
        <v>0.02</v>
      </c>
      <c r="G38" s="2">
        <v>0.35</v>
      </c>
      <c r="H38" s="2">
        <v>0.27</v>
      </c>
      <c r="I38" s="2">
        <v>0.26</v>
      </c>
      <c r="J38" s="2">
        <v>0.11</v>
      </c>
      <c r="K38" s="2">
        <v>0.27</v>
      </c>
      <c r="L38" s="2">
        <v>0.5</v>
      </c>
      <c r="M38" s="2">
        <v>0.48</v>
      </c>
      <c r="N38" s="2">
        <v>0.76</v>
      </c>
      <c r="O38" s="2">
        <v>0.61</v>
      </c>
      <c r="P38" s="2">
        <v>0.08</v>
      </c>
      <c r="Q38" s="2">
        <v>0.27</v>
      </c>
      <c r="R38" s="2">
        <v>0.16</v>
      </c>
      <c r="S38" s="2">
        <v>0.34</v>
      </c>
      <c r="T38" s="2">
        <v>0.62</v>
      </c>
      <c r="U38" s="2">
        <v>0.56000000000000005</v>
      </c>
      <c r="V38" s="2">
        <v>0.56999999999999995</v>
      </c>
      <c r="W38" s="2">
        <v>0.27</v>
      </c>
      <c r="X38" s="2">
        <v>0.37</v>
      </c>
      <c r="Y38" s="2">
        <v>0.97</v>
      </c>
      <c r="Z38" s="2">
        <v>0.96</v>
      </c>
      <c r="AA38" s="2">
        <v>0.89</v>
      </c>
      <c r="AB38" s="2">
        <v>0.81</v>
      </c>
      <c r="AC38" s="2">
        <v>0.72</v>
      </c>
      <c r="AD38" s="2">
        <v>0.56999999999999995</v>
      </c>
      <c r="AE38" s="2">
        <v>0.78</v>
      </c>
      <c r="AF38" s="2">
        <v>0.85</v>
      </c>
      <c r="AG38" s="2">
        <v>0.36</v>
      </c>
      <c r="AH38" s="2">
        <v>0.74</v>
      </c>
      <c r="AI38" s="2">
        <v>0.71</v>
      </c>
      <c r="AJ38" s="2">
        <v>0.94</v>
      </c>
      <c r="AK38" s="2">
        <v>0.91</v>
      </c>
      <c r="AL38" s="2">
        <v>1</v>
      </c>
      <c r="AM38" s="2"/>
      <c r="AN38" s="2"/>
      <c r="AO38" s="2"/>
      <c r="AP38" s="2"/>
      <c r="AQ38" s="2"/>
      <c r="AR38" s="2"/>
      <c r="AS38" s="2"/>
      <c r="AT38" s="2"/>
      <c r="AU38" s="2"/>
      <c r="AV38" s="2"/>
      <c r="AW38" s="2"/>
      <c r="AX38" s="2"/>
      <c r="AY38" s="2"/>
      <c r="AZ38" s="2"/>
      <c r="BA38" s="2"/>
      <c r="BB38" s="2"/>
      <c r="BC38" s="2"/>
      <c r="BD38" s="2"/>
      <c r="BE38" s="2"/>
      <c r="BF38" s="2"/>
      <c r="BG38" s="2"/>
      <c r="BH38" s="2"/>
      <c r="BI38" s="2"/>
    </row>
    <row r="39" spans="2:61" x14ac:dyDescent="0.35">
      <c r="B39" t="s">
        <v>66</v>
      </c>
      <c r="C39" s="2">
        <v>-0.02</v>
      </c>
      <c r="D39" s="2">
        <v>0</v>
      </c>
      <c r="E39" s="2">
        <v>-0.04</v>
      </c>
      <c r="F39" s="2">
        <v>0.01</v>
      </c>
      <c r="G39" s="2">
        <v>0.32</v>
      </c>
      <c r="H39" s="2">
        <v>0.28000000000000003</v>
      </c>
      <c r="I39" s="2">
        <v>0.27</v>
      </c>
      <c r="J39" s="2">
        <v>0.14000000000000001</v>
      </c>
      <c r="K39" s="2">
        <v>0.27</v>
      </c>
      <c r="L39" s="2">
        <v>0.49</v>
      </c>
      <c r="M39" s="2">
        <v>0.48</v>
      </c>
      <c r="N39" s="2">
        <v>0.73</v>
      </c>
      <c r="O39" s="2">
        <v>0.55000000000000004</v>
      </c>
      <c r="P39" s="2">
        <v>0.11</v>
      </c>
      <c r="Q39" s="2">
        <v>0.3</v>
      </c>
      <c r="R39" s="2">
        <v>0.18</v>
      </c>
      <c r="S39" s="2">
        <v>0.37</v>
      </c>
      <c r="T39" s="2">
        <v>0.63</v>
      </c>
      <c r="U39" s="2">
        <v>0.61</v>
      </c>
      <c r="V39" s="2">
        <v>0.56000000000000005</v>
      </c>
      <c r="W39" s="2">
        <v>0.26</v>
      </c>
      <c r="X39" s="2">
        <v>0.32</v>
      </c>
      <c r="Y39" s="2">
        <v>0.99</v>
      </c>
      <c r="Z39" s="2">
        <v>0.95</v>
      </c>
      <c r="AA39" s="2">
        <v>0.9</v>
      </c>
      <c r="AB39" s="2">
        <v>0.84</v>
      </c>
      <c r="AC39" s="2">
        <v>0.73</v>
      </c>
      <c r="AD39" s="2">
        <v>0.56999999999999995</v>
      </c>
      <c r="AE39" s="2">
        <v>0.81</v>
      </c>
      <c r="AF39" s="2">
        <v>0.87</v>
      </c>
      <c r="AG39" s="2">
        <v>0.34</v>
      </c>
      <c r="AH39" s="2">
        <v>0.72</v>
      </c>
      <c r="AI39" s="2">
        <v>0.69</v>
      </c>
      <c r="AJ39" s="2">
        <v>0.95</v>
      </c>
      <c r="AK39" s="2">
        <v>0.96</v>
      </c>
      <c r="AL39" s="2">
        <v>0.96</v>
      </c>
      <c r="AM39" s="2">
        <v>1</v>
      </c>
      <c r="AN39" s="2"/>
      <c r="AO39" s="2"/>
      <c r="AP39" s="2"/>
      <c r="AQ39" s="2"/>
      <c r="AR39" s="2"/>
      <c r="AS39" s="2"/>
      <c r="AT39" s="2"/>
      <c r="AU39" s="2"/>
      <c r="AV39" s="2"/>
      <c r="AW39" s="2"/>
      <c r="AX39" s="2"/>
      <c r="AY39" s="2"/>
      <c r="AZ39" s="2"/>
      <c r="BA39" s="2"/>
      <c r="BB39" s="2"/>
      <c r="BC39" s="2"/>
      <c r="BD39" s="2"/>
      <c r="BE39" s="2"/>
      <c r="BF39" s="2"/>
      <c r="BG39" s="2"/>
      <c r="BH39" s="2"/>
      <c r="BI39" s="2"/>
    </row>
    <row r="40" spans="2:61" x14ac:dyDescent="0.35">
      <c r="B40" t="s">
        <v>67</v>
      </c>
      <c r="C40" s="2">
        <v>-0.01</v>
      </c>
      <c r="D40" s="2">
        <v>7.0000000000000007E-2</v>
      </c>
      <c r="E40" s="2">
        <v>-0.03</v>
      </c>
      <c r="F40" s="2">
        <v>0.02</v>
      </c>
      <c r="G40" s="2">
        <v>0.32</v>
      </c>
      <c r="H40" s="2">
        <v>0.28000000000000003</v>
      </c>
      <c r="I40" s="2">
        <v>0.27</v>
      </c>
      <c r="J40" s="2">
        <v>0.13</v>
      </c>
      <c r="K40" s="2">
        <v>0.28999999999999998</v>
      </c>
      <c r="L40" s="2">
        <v>0.49</v>
      </c>
      <c r="M40" s="2">
        <v>0.48</v>
      </c>
      <c r="N40" s="2">
        <v>0.72</v>
      </c>
      <c r="O40" s="2">
        <v>0.53</v>
      </c>
      <c r="P40" s="2">
        <v>0.12</v>
      </c>
      <c r="Q40" s="2">
        <v>0.31</v>
      </c>
      <c r="R40" s="2">
        <v>0.2</v>
      </c>
      <c r="S40" s="2">
        <v>0.38</v>
      </c>
      <c r="T40" s="2">
        <v>0.62</v>
      </c>
      <c r="U40" s="2">
        <v>0.62</v>
      </c>
      <c r="V40" s="2">
        <v>0.54</v>
      </c>
      <c r="W40" s="2">
        <v>0.27</v>
      </c>
      <c r="X40" s="2">
        <v>0.32</v>
      </c>
      <c r="Y40" s="2">
        <v>0.93</v>
      </c>
      <c r="Z40" s="2">
        <v>0.92</v>
      </c>
      <c r="AA40" s="2">
        <v>0.85</v>
      </c>
      <c r="AB40" s="2">
        <v>0.8</v>
      </c>
      <c r="AC40" s="2">
        <v>0.68</v>
      </c>
      <c r="AD40" s="2">
        <v>0.55000000000000004</v>
      </c>
      <c r="AE40" s="2">
        <v>0.78</v>
      </c>
      <c r="AF40" s="2">
        <v>0.83</v>
      </c>
      <c r="AG40" s="2">
        <v>0.3</v>
      </c>
      <c r="AH40" s="2">
        <v>0.69</v>
      </c>
      <c r="AI40" s="2">
        <v>0.66</v>
      </c>
      <c r="AJ40" s="2">
        <v>0.9</v>
      </c>
      <c r="AK40" s="2">
        <v>0.93</v>
      </c>
      <c r="AL40" s="2">
        <v>0.9</v>
      </c>
      <c r="AM40" s="2">
        <v>0.95</v>
      </c>
      <c r="AN40" s="2">
        <v>1</v>
      </c>
      <c r="AO40" s="2"/>
      <c r="AP40" s="2"/>
      <c r="AQ40" s="2"/>
      <c r="AR40" s="2"/>
      <c r="AS40" s="2"/>
      <c r="AT40" s="2"/>
      <c r="AU40" s="2"/>
      <c r="AV40" s="2"/>
      <c r="AW40" s="2"/>
      <c r="AX40" s="2"/>
      <c r="AY40" s="2"/>
      <c r="AZ40" s="2"/>
      <c r="BA40" s="2"/>
      <c r="BB40" s="2"/>
      <c r="BC40" s="2"/>
      <c r="BD40" s="2"/>
      <c r="BE40" s="2"/>
      <c r="BF40" s="2"/>
      <c r="BG40" s="2"/>
      <c r="BH40" s="2"/>
      <c r="BI40" s="2"/>
    </row>
    <row r="41" spans="2:61" x14ac:dyDescent="0.35">
      <c r="B41" t="s">
        <v>68</v>
      </c>
      <c r="C41" s="2">
        <v>-0.01</v>
      </c>
      <c r="D41" s="2">
        <v>7.0000000000000007E-2</v>
      </c>
      <c r="E41" s="2">
        <v>-7.0000000000000007E-2</v>
      </c>
      <c r="F41" s="2">
        <v>0.05</v>
      </c>
      <c r="G41" s="2">
        <v>0.3</v>
      </c>
      <c r="H41" s="2">
        <v>0.25</v>
      </c>
      <c r="I41" s="2">
        <v>0.25</v>
      </c>
      <c r="J41" s="2">
        <v>0.12</v>
      </c>
      <c r="K41" s="2">
        <v>0.24</v>
      </c>
      <c r="L41" s="2">
        <v>0.47</v>
      </c>
      <c r="M41" s="2">
        <v>0.46</v>
      </c>
      <c r="N41" s="2">
        <v>0.74</v>
      </c>
      <c r="O41" s="2">
        <v>0.56999999999999995</v>
      </c>
      <c r="P41" s="2">
        <v>0.05</v>
      </c>
      <c r="Q41" s="2">
        <v>0.28000000000000003</v>
      </c>
      <c r="R41" s="2">
        <v>0.13</v>
      </c>
      <c r="S41" s="2">
        <v>0.36</v>
      </c>
      <c r="T41" s="2">
        <v>0.61</v>
      </c>
      <c r="U41" s="2">
        <v>0.62</v>
      </c>
      <c r="V41" s="2">
        <v>0.55000000000000004</v>
      </c>
      <c r="W41" s="2">
        <v>0.25</v>
      </c>
      <c r="X41" s="2">
        <v>0.3</v>
      </c>
      <c r="Y41" s="2">
        <v>0.93</v>
      </c>
      <c r="Z41" s="2">
        <v>0.94</v>
      </c>
      <c r="AA41" s="2">
        <v>0.89</v>
      </c>
      <c r="AB41" s="2">
        <v>0.82</v>
      </c>
      <c r="AC41" s="2">
        <v>0.7</v>
      </c>
      <c r="AD41" s="2">
        <v>0.59</v>
      </c>
      <c r="AE41" s="2">
        <v>0.83</v>
      </c>
      <c r="AF41" s="2">
        <v>0.86</v>
      </c>
      <c r="AG41" s="2">
        <v>0.31</v>
      </c>
      <c r="AH41" s="2">
        <v>0.73</v>
      </c>
      <c r="AI41" s="2">
        <v>0.69</v>
      </c>
      <c r="AJ41" s="2">
        <v>0.91</v>
      </c>
      <c r="AK41" s="2">
        <v>0.97</v>
      </c>
      <c r="AL41" s="2">
        <v>0.88</v>
      </c>
      <c r="AM41" s="2">
        <v>0.93</v>
      </c>
      <c r="AN41" s="2">
        <v>0.96</v>
      </c>
      <c r="AO41" s="2">
        <v>1</v>
      </c>
      <c r="AP41" s="2"/>
      <c r="AQ41" s="2"/>
      <c r="AR41" s="2"/>
      <c r="AS41" s="2"/>
      <c r="AT41" s="2"/>
      <c r="AU41" s="2"/>
      <c r="AV41" s="2"/>
      <c r="AW41" s="2"/>
      <c r="AX41" s="2"/>
      <c r="AY41" s="2"/>
      <c r="AZ41" s="2"/>
      <c r="BA41" s="2"/>
      <c r="BB41" s="2"/>
      <c r="BC41" s="2"/>
      <c r="BD41" s="2"/>
      <c r="BE41" s="2"/>
      <c r="BF41" s="2"/>
      <c r="BG41" s="2"/>
      <c r="BH41" s="2"/>
      <c r="BI41" s="2"/>
    </row>
    <row r="42" spans="2:61" x14ac:dyDescent="0.35">
      <c r="B42" t="s">
        <v>69</v>
      </c>
      <c r="C42" s="2">
        <v>-0.09</v>
      </c>
      <c r="D42" s="2">
        <v>0.03</v>
      </c>
      <c r="E42" s="2">
        <v>-7.0000000000000007E-2</v>
      </c>
      <c r="F42" s="2">
        <v>0.01</v>
      </c>
      <c r="G42" s="2">
        <v>0.35</v>
      </c>
      <c r="H42" s="2">
        <v>0.33</v>
      </c>
      <c r="I42" s="2">
        <v>0.3</v>
      </c>
      <c r="J42" s="2">
        <v>0.2</v>
      </c>
      <c r="K42" s="2">
        <v>0.31</v>
      </c>
      <c r="L42" s="2">
        <v>0.6</v>
      </c>
      <c r="M42" s="2">
        <v>0.56000000000000005</v>
      </c>
      <c r="N42" s="2">
        <v>0.82</v>
      </c>
      <c r="O42" s="2">
        <v>0.69</v>
      </c>
      <c r="P42" s="2">
        <v>0.09</v>
      </c>
      <c r="Q42" s="2">
        <v>0.28999999999999998</v>
      </c>
      <c r="R42" s="2">
        <v>0.16</v>
      </c>
      <c r="S42" s="2">
        <v>0.36</v>
      </c>
      <c r="T42" s="2">
        <v>0.7</v>
      </c>
      <c r="U42" s="2">
        <v>0.62</v>
      </c>
      <c r="V42" s="2">
        <v>0.7</v>
      </c>
      <c r="W42" s="2">
        <v>0.31</v>
      </c>
      <c r="X42" s="2">
        <v>0.39</v>
      </c>
      <c r="Y42" s="2">
        <v>0.86</v>
      </c>
      <c r="Z42" s="2">
        <v>0.89</v>
      </c>
      <c r="AA42" s="2">
        <v>0.83</v>
      </c>
      <c r="AB42" s="2">
        <v>0.82</v>
      </c>
      <c r="AC42" s="2">
        <v>0.75</v>
      </c>
      <c r="AD42" s="2">
        <v>0.68</v>
      </c>
      <c r="AE42" s="2">
        <v>0.78</v>
      </c>
      <c r="AF42" s="2">
        <v>0.86</v>
      </c>
      <c r="AG42" s="2">
        <v>0.48</v>
      </c>
      <c r="AH42" s="2">
        <v>0.81</v>
      </c>
      <c r="AI42" s="2">
        <v>0.79</v>
      </c>
      <c r="AJ42" s="2">
        <v>0.9</v>
      </c>
      <c r="AK42" s="2">
        <v>0.83</v>
      </c>
      <c r="AL42" s="2">
        <v>0.88</v>
      </c>
      <c r="AM42" s="2">
        <v>0.84</v>
      </c>
      <c r="AN42" s="2">
        <v>0.77</v>
      </c>
      <c r="AO42" s="2">
        <v>0.8</v>
      </c>
      <c r="AP42" s="2">
        <v>1</v>
      </c>
      <c r="AQ42" s="2"/>
      <c r="AR42" s="2"/>
      <c r="AS42" s="2"/>
      <c r="AT42" s="2"/>
      <c r="AU42" s="2"/>
      <c r="AV42" s="2"/>
      <c r="AW42" s="2"/>
      <c r="AX42" s="2"/>
      <c r="AY42" s="2"/>
      <c r="AZ42" s="2"/>
      <c r="BA42" s="2"/>
      <c r="BB42" s="2"/>
      <c r="BC42" s="2"/>
      <c r="BD42" s="2"/>
      <c r="BE42" s="2"/>
      <c r="BF42" s="2"/>
      <c r="BG42" s="2"/>
      <c r="BH42" s="2"/>
      <c r="BI42" s="2"/>
    </row>
    <row r="43" spans="2:61" x14ac:dyDescent="0.35">
      <c r="B43" s="11" t="s">
        <v>70</v>
      </c>
      <c r="C43" s="2">
        <v>0.33</v>
      </c>
      <c r="D43" s="2">
        <v>0.18</v>
      </c>
      <c r="E43" s="2">
        <v>-0.27</v>
      </c>
      <c r="F43" s="2">
        <v>0.19</v>
      </c>
      <c r="G43" s="2">
        <v>0.08</v>
      </c>
      <c r="H43" s="2">
        <v>-0.13</v>
      </c>
      <c r="I43" s="2">
        <v>-0.09</v>
      </c>
      <c r="J43" s="2">
        <v>0.23</v>
      </c>
      <c r="K43" s="2">
        <v>-0.13</v>
      </c>
      <c r="L43" s="2">
        <v>0</v>
      </c>
      <c r="M43" s="2">
        <v>-0.02</v>
      </c>
      <c r="N43" s="2">
        <v>0.35</v>
      </c>
      <c r="O43" s="2">
        <v>0.44</v>
      </c>
      <c r="P43" s="2">
        <v>-0.19</v>
      </c>
      <c r="Q43" s="2">
        <v>-0.16</v>
      </c>
      <c r="R43" s="2">
        <v>-0.16</v>
      </c>
      <c r="S43" s="2">
        <v>-0.13</v>
      </c>
      <c r="T43" s="2">
        <v>0.11</v>
      </c>
      <c r="U43" s="2">
        <v>0.12</v>
      </c>
      <c r="V43" s="2">
        <v>0.22</v>
      </c>
      <c r="W43" s="2">
        <v>0.2</v>
      </c>
      <c r="X43" s="2">
        <v>0.34</v>
      </c>
      <c r="Y43" s="2">
        <v>0.35</v>
      </c>
      <c r="Z43" s="2">
        <v>0.33</v>
      </c>
      <c r="AA43" s="2">
        <v>0.28999999999999998</v>
      </c>
      <c r="AB43" s="2">
        <v>0.21</v>
      </c>
      <c r="AC43" s="2">
        <v>0.24</v>
      </c>
      <c r="AD43" s="2">
        <v>0.21</v>
      </c>
      <c r="AE43" s="2">
        <v>0.33</v>
      </c>
      <c r="AF43" s="2">
        <v>0.27</v>
      </c>
      <c r="AG43" s="2">
        <v>0.14000000000000001</v>
      </c>
      <c r="AH43" s="2">
        <v>0.28999999999999998</v>
      </c>
      <c r="AI43" s="2">
        <v>0.27</v>
      </c>
      <c r="AJ43" s="2">
        <v>0.32</v>
      </c>
      <c r="AK43" s="2">
        <v>0.33</v>
      </c>
      <c r="AL43" s="2">
        <v>0.32</v>
      </c>
      <c r="AM43" s="2">
        <v>0.31</v>
      </c>
      <c r="AN43" s="2">
        <v>0.36</v>
      </c>
      <c r="AO43" s="2">
        <v>0.32</v>
      </c>
      <c r="AP43" s="2">
        <v>0.24</v>
      </c>
      <c r="AQ43" s="2">
        <v>1</v>
      </c>
      <c r="AR43" s="2"/>
      <c r="AS43" s="2"/>
      <c r="AT43" s="2"/>
      <c r="AU43" s="2"/>
      <c r="AV43" s="2"/>
      <c r="AW43" s="2"/>
      <c r="AX43" s="2"/>
      <c r="AY43" s="2"/>
      <c r="AZ43" s="2"/>
      <c r="BA43" s="2"/>
      <c r="BB43" s="2"/>
      <c r="BC43" s="2"/>
      <c r="BD43" s="2"/>
      <c r="BE43" s="2"/>
      <c r="BF43" s="2"/>
      <c r="BG43" s="2"/>
      <c r="BH43" s="2"/>
      <c r="BI43" s="2"/>
    </row>
    <row r="44" spans="2:61" x14ac:dyDescent="0.35">
      <c r="B44" t="s">
        <v>71</v>
      </c>
      <c r="C44" s="2">
        <v>0.33</v>
      </c>
      <c r="D44" s="2">
        <v>0.18</v>
      </c>
      <c r="E44" s="2">
        <v>-0.27</v>
      </c>
      <c r="F44" s="2">
        <v>0.19</v>
      </c>
      <c r="G44" s="2">
        <v>0.08</v>
      </c>
      <c r="H44" s="2">
        <v>-0.13</v>
      </c>
      <c r="I44" s="2">
        <v>-0.09</v>
      </c>
      <c r="J44" s="2">
        <v>0.23</v>
      </c>
      <c r="K44" s="2">
        <v>-0.13</v>
      </c>
      <c r="L44" s="2">
        <v>0</v>
      </c>
      <c r="M44" s="2">
        <v>-0.02</v>
      </c>
      <c r="N44" s="2">
        <v>0.35</v>
      </c>
      <c r="O44" s="2">
        <v>0.44</v>
      </c>
      <c r="P44" s="2">
        <v>-0.19</v>
      </c>
      <c r="Q44" s="2">
        <v>-0.16</v>
      </c>
      <c r="R44" s="2">
        <v>-0.16</v>
      </c>
      <c r="S44" s="2">
        <v>-0.13</v>
      </c>
      <c r="T44" s="2">
        <v>0.11</v>
      </c>
      <c r="U44" s="2">
        <v>0.12</v>
      </c>
      <c r="V44" s="2">
        <v>0.22</v>
      </c>
      <c r="W44" s="2">
        <v>0.2</v>
      </c>
      <c r="X44" s="2">
        <v>0.34</v>
      </c>
      <c r="Y44" s="2">
        <v>0.35</v>
      </c>
      <c r="Z44" s="2">
        <v>0.33</v>
      </c>
      <c r="AA44" s="2">
        <v>0.28999999999999998</v>
      </c>
      <c r="AB44" s="2">
        <v>0.21</v>
      </c>
      <c r="AC44" s="2">
        <v>0.24</v>
      </c>
      <c r="AD44" s="2">
        <v>0.21</v>
      </c>
      <c r="AE44" s="2">
        <v>0.33</v>
      </c>
      <c r="AF44" s="2">
        <v>0.27</v>
      </c>
      <c r="AG44" s="2">
        <v>0.14000000000000001</v>
      </c>
      <c r="AH44" s="2">
        <v>0.28999999999999998</v>
      </c>
      <c r="AI44" s="2">
        <v>0.27</v>
      </c>
      <c r="AJ44" s="2">
        <v>0.32</v>
      </c>
      <c r="AK44" s="2">
        <v>0.33</v>
      </c>
      <c r="AL44" s="2">
        <v>0.32</v>
      </c>
      <c r="AM44" s="2">
        <v>0.31</v>
      </c>
      <c r="AN44" s="2">
        <v>0.36</v>
      </c>
      <c r="AO44" s="2">
        <v>0.32</v>
      </c>
      <c r="AP44" s="2">
        <v>0.24</v>
      </c>
      <c r="AQ44" s="2">
        <v>1</v>
      </c>
      <c r="AR44" s="2">
        <v>1</v>
      </c>
      <c r="AS44" s="2"/>
      <c r="AT44" s="2"/>
      <c r="AU44" s="2"/>
      <c r="AV44" s="2"/>
      <c r="AW44" s="2"/>
      <c r="AX44" s="2"/>
      <c r="AY44" s="2"/>
      <c r="AZ44" s="2"/>
      <c r="BA44" s="2"/>
      <c r="BB44" s="2"/>
      <c r="BC44" s="2"/>
      <c r="BD44" s="2"/>
      <c r="BE44" s="2"/>
      <c r="BF44" s="2"/>
      <c r="BG44" s="2"/>
      <c r="BH44" s="2"/>
      <c r="BI44" s="2"/>
    </row>
    <row r="45" spans="2:61" x14ac:dyDescent="0.35">
      <c r="B45" t="s">
        <v>72</v>
      </c>
      <c r="C45" s="2">
        <v>0.37</v>
      </c>
      <c r="D45" s="2">
        <v>0.09</v>
      </c>
      <c r="E45" s="2">
        <v>-0.3</v>
      </c>
      <c r="F45" s="2">
        <v>0.27</v>
      </c>
      <c r="G45" s="2">
        <v>0.2</v>
      </c>
      <c r="H45" s="2">
        <v>-0.08</v>
      </c>
      <c r="I45" s="2">
        <v>-0.04</v>
      </c>
      <c r="J45" s="2">
        <v>-0.12</v>
      </c>
      <c r="K45" s="2">
        <v>-0.11</v>
      </c>
      <c r="L45" s="2">
        <v>0.15</v>
      </c>
      <c r="M45" s="2">
        <v>0.08</v>
      </c>
      <c r="N45" s="2">
        <v>0.51</v>
      </c>
      <c r="O45" s="2">
        <v>0.53</v>
      </c>
      <c r="P45" s="2">
        <v>-0.21</v>
      </c>
      <c r="Q45" s="2">
        <v>0.05</v>
      </c>
      <c r="R45" s="2">
        <v>-0.15</v>
      </c>
      <c r="S45" s="2">
        <v>0.12</v>
      </c>
      <c r="T45" s="2">
        <v>0.3</v>
      </c>
      <c r="U45" s="2">
        <v>0.37</v>
      </c>
      <c r="V45" s="2">
        <v>0.41</v>
      </c>
      <c r="W45" s="2">
        <v>0.06</v>
      </c>
      <c r="X45" s="2">
        <v>0.36</v>
      </c>
      <c r="Y45" s="2">
        <v>0.53</v>
      </c>
      <c r="Z45" s="2">
        <v>0.5</v>
      </c>
      <c r="AA45" s="2">
        <v>0.43</v>
      </c>
      <c r="AB45" s="2">
        <v>0.49</v>
      </c>
      <c r="AC45" s="2">
        <v>0.4</v>
      </c>
      <c r="AD45" s="2">
        <v>0.48</v>
      </c>
      <c r="AE45" s="2">
        <v>0.56999999999999995</v>
      </c>
      <c r="AF45" s="2">
        <v>0.53</v>
      </c>
      <c r="AG45" s="2">
        <v>0.41</v>
      </c>
      <c r="AH45" s="2">
        <v>0.6</v>
      </c>
      <c r="AI45" s="2">
        <v>0.56999999999999995</v>
      </c>
      <c r="AJ45" s="2">
        <v>0.56999999999999995</v>
      </c>
      <c r="AK45" s="2">
        <v>0.47</v>
      </c>
      <c r="AL45" s="2">
        <v>0.52</v>
      </c>
      <c r="AM45" s="2">
        <v>0.48</v>
      </c>
      <c r="AN45" s="2">
        <v>0.43</v>
      </c>
      <c r="AO45" s="2">
        <v>0.43</v>
      </c>
      <c r="AP45" s="2">
        <v>0.54</v>
      </c>
      <c r="AQ45" s="2">
        <v>0.66</v>
      </c>
      <c r="AR45" s="2">
        <v>0.66</v>
      </c>
      <c r="AS45" s="2">
        <v>1</v>
      </c>
      <c r="AT45" s="2"/>
      <c r="AU45" s="2"/>
      <c r="AV45" s="2"/>
      <c r="AW45" s="2"/>
      <c r="AX45" s="2"/>
      <c r="AY45" s="2"/>
      <c r="AZ45" s="2"/>
      <c r="BA45" s="2"/>
      <c r="BB45" s="2"/>
      <c r="BC45" s="2"/>
      <c r="BD45" s="2"/>
      <c r="BE45" s="2"/>
      <c r="BF45" s="2"/>
      <c r="BG45" s="2"/>
      <c r="BH45" s="2"/>
      <c r="BI45" s="2"/>
    </row>
    <row r="46" spans="2:61" x14ac:dyDescent="0.35">
      <c r="B46" t="s">
        <v>73</v>
      </c>
      <c r="C46" s="2">
        <v>0.2</v>
      </c>
      <c r="D46" s="2">
        <v>0.09</v>
      </c>
      <c r="E46" s="2">
        <v>-0.25</v>
      </c>
      <c r="F46" s="2">
        <v>0.23</v>
      </c>
      <c r="G46" s="2">
        <v>0.25</v>
      </c>
      <c r="H46" s="2">
        <v>0.04</v>
      </c>
      <c r="I46" s="2">
        <v>7.0000000000000007E-2</v>
      </c>
      <c r="J46" s="2">
        <v>0.03</v>
      </c>
      <c r="K46" s="2">
        <v>0.02</v>
      </c>
      <c r="L46" s="2">
        <v>0.33</v>
      </c>
      <c r="M46" s="2">
        <v>0.26</v>
      </c>
      <c r="N46" s="2">
        <v>0.66</v>
      </c>
      <c r="O46" s="2">
        <v>0.64</v>
      </c>
      <c r="P46" s="2">
        <v>-0.19</v>
      </c>
      <c r="Q46" s="2">
        <v>0.15</v>
      </c>
      <c r="R46" s="2">
        <v>-0.13</v>
      </c>
      <c r="S46" s="2">
        <v>0.23</v>
      </c>
      <c r="T46" s="2">
        <v>0.48</v>
      </c>
      <c r="U46" s="2">
        <v>0.51</v>
      </c>
      <c r="V46" s="2">
        <v>0.55000000000000004</v>
      </c>
      <c r="W46" s="2">
        <v>0.15</v>
      </c>
      <c r="X46" s="2">
        <v>0.49</v>
      </c>
      <c r="Y46" s="2">
        <v>0.6</v>
      </c>
      <c r="Z46" s="2">
        <v>0.63</v>
      </c>
      <c r="AA46" s="2">
        <v>0.54</v>
      </c>
      <c r="AB46" s="2">
        <v>0.62</v>
      </c>
      <c r="AC46" s="2">
        <v>0.52</v>
      </c>
      <c r="AD46" s="2">
        <v>0.64</v>
      </c>
      <c r="AE46" s="2">
        <v>0.7</v>
      </c>
      <c r="AF46" s="2">
        <v>0.68</v>
      </c>
      <c r="AG46" s="2">
        <v>0.36</v>
      </c>
      <c r="AH46" s="2">
        <v>0.7</v>
      </c>
      <c r="AI46" s="2">
        <v>0.68</v>
      </c>
      <c r="AJ46" s="2">
        <v>0.67</v>
      </c>
      <c r="AK46" s="2">
        <v>0.61</v>
      </c>
      <c r="AL46" s="2">
        <v>0.6</v>
      </c>
      <c r="AM46" s="2">
        <v>0.56999999999999995</v>
      </c>
      <c r="AN46" s="2">
        <v>0.61</v>
      </c>
      <c r="AO46" s="2">
        <v>0.64</v>
      </c>
      <c r="AP46" s="2">
        <v>0.61</v>
      </c>
      <c r="AQ46" s="2">
        <v>0.57999999999999996</v>
      </c>
      <c r="AR46" s="2">
        <v>0.57999999999999996</v>
      </c>
      <c r="AS46" s="2">
        <v>0.64</v>
      </c>
      <c r="AT46" s="2">
        <v>1</v>
      </c>
      <c r="AU46" s="2"/>
      <c r="AV46" s="2"/>
      <c r="AW46" s="2"/>
      <c r="AX46" s="2"/>
      <c r="AY46" s="2"/>
      <c r="AZ46" s="2"/>
      <c r="BA46" s="2"/>
      <c r="BB46" s="2"/>
      <c r="BC46" s="2"/>
      <c r="BD46" s="2"/>
      <c r="BE46" s="2"/>
      <c r="BF46" s="2"/>
      <c r="BG46" s="2"/>
      <c r="BH46" s="2"/>
      <c r="BI46" s="2"/>
    </row>
    <row r="47" spans="2:61" x14ac:dyDescent="0.35">
      <c r="B47" t="s">
        <v>74</v>
      </c>
      <c r="C47" s="2">
        <v>-0.02</v>
      </c>
      <c r="D47" s="2">
        <v>0.06</v>
      </c>
      <c r="E47" s="2">
        <v>0.1</v>
      </c>
      <c r="F47" s="2">
        <v>0.19</v>
      </c>
      <c r="G47" s="2">
        <v>0.38</v>
      </c>
      <c r="H47" s="2">
        <v>0.39</v>
      </c>
      <c r="I47" s="2">
        <v>0.38</v>
      </c>
      <c r="J47" s="2">
        <v>0.18</v>
      </c>
      <c r="K47" s="2">
        <v>0.4</v>
      </c>
      <c r="L47" s="2">
        <v>0.53</v>
      </c>
      <c r="M47" s="2">
        <v>0.54</v>
      </c>
      <c r="N47" s="2">
        <v>0.67</v>
      </c>
      <c r="O47" s="2">
        <v>0.42</v>
      </c>
      <c r="P47" s="2">
        <v>0.25</v>
      </c>
      <c r="Q47" s="2">
        <v>0.38</v>
      </c>
      <c r="R47" s="2">
        <v>0.3</v>
      </c>
      <c r="S47" s="2">
        <v>0.41</v>
      </c>
      <c r="T47" s="2">
        <v>0.61</v>
      </c>
      <c r="U47" s="2">
        <v>0.57999999999999996</v>
      </c>
      <c r="V47" s="2">
        <v>0.51</v>
      </c>
      <c r="W47" s="2">
        <v>0.32</v>
      </c>
      <c r="X47" s="2">
        <v>0.35</v>
      </c>
      <c r="Y47" s="2">
        <v>0.77</v>
      </c>
      <c r="Z47" s="2">
        <v>0.79</v>
      </c>
      <c r="AA47" s="2">
        <v>0.76</v>
      </c>
      <c r="AB47" s="2">
        <v>0.69</v>
      </c>
      <c r="AC47" s="2">
        <v>0.56999999999999995</v>
      </c>
      <c r="AD47" s="2">
        <v>0.47</v>
      </c>
      <c r="AE47" s="2">
        <v>0.64</v>
      </c>
      <c r="AF47" s="2">
        <v>0.71</v>
      </c>
      <c r="AG47" s="2">
        <v>0.17</v>
      </c>
      <c r="AH47" s="2">
        <v>0.59</v>
      </c>
      <c r="AI47" s="2">
        <v>0.56999999999999995</v>
      </c>
      <c r="AJ47" s="2">
        <v>0.75</v>
      </c>
      <c r="AK47" s="2">
        <v>0.78</v>
      </c>
      <c r="AL47" s="2">
        <v>0.74</v>
      </c>
      <c r="AM47" s="2">
        <v>0.78</v>
      </c>
      <c r="AN47" s="2">
        <v>0.83</v>
      </c>
      <c r="AO47" s="2">
        <v>0.81</v>
      </c>
      <c r="AP47" s="2">
        <v>0.66</v>
      </c>
      <c r="AQ47" s="2">
        <v>0.46</v>
      </c>
      <c r="AR47" s="2">
        <v>0.46</v>
      </c>
      <c r="AS47" s="2">
        <v>0.36</v>
      </c>
      <c r="AT47" s="2">
        <v>0.6</v>
      </c>
      <c r="AU47" s="2">
        <v>1</v>
      </c>
      <c r="AV47" s="2"/>
      <c r="AW47" s="2"/>
      <c r="AX47" s="2"/>
      <c r="AY47" s="2"/>
      <c r="AZ47" s="2"/>
      <c r="BA47" s="2"/>
      <c r="BB47" s="2"/>
      <c r="BC47" s="2"/>
      <c r="BD47" s="2"/>
      <c r="BE47" s="2"/>
      <c r="BF47" s="2"/>
      <c r="BG47" s="2"/>
      <c r="BH47" s="2"/>
      <c r="BI47" s="2"/>
    </row>
    <row r="48" spans="2:61" x14ac:dyDescent="0.35">
      <c r="B48" s="11" t="s">
        <v>75</v>
      </c>
      <c r="C48" s="2">
        <v>0.08</v>
      </c>
      <c r="D48" s="2">
        <v>0.02</v>
      </c>
      <c r="E48" s="2">
        <v>0.24</v>
      </c>
      <c r="F48" s="2">
        <v>0.24</v>
      </c>
      <c r="G48" s="2">
        <v>0.55000000000000004</v>
      </c>
      <c r="H48" s="2">
        <v>0.48</v>
      </c>
      <c r="I48" s="2">
        <v>0.5</v>
      </c>
      <c r="J48" s="2">
        <v>0.32</v>
      </c>
      <c r="K48" s="2">
        <v>0.38</v>
      </c>
      <c r="L48" s="2">
        <v>0.51</v>
      </c>
      <c r="M48" s="2">
        <v>0.45</v>
      </c>
      <c r="N48" s="2">
        <v>0.49</v>
      </c>
      <c r="O48" s="2">
        <v>0.43</v>
      </c>
      <c r="P48" s="2">
        <v>0.35</v>
      </c>
      <c r="Q48" s="2">
        <v>0.3</v>
      </c>
      <c r="R48" s="2">
        <v>0.37</v>
      </c>
      <c r="S48" s="2">
        <v>0.31</v>
      </c>
      <c r="T48" s="2">
        <v>0.56999999999999995</v>
      </c>
      <c r="U48" s="2">
        <v>0.41</v>
      </c>
      <c r="V48" s="2">
        <v>0.53</v>
      </c>
      <c r="W48" s="2">
        <v>0.51</v>
      </c>
      <c r="X48" s="2">
        <v>0.59</v>
      </c>
      <c r="Y48" s="2">
        <v>0.31</v>
      </c>
      <c r="Z48" s="2">
        <v>0.33</v>
      </c>
      <c r="AA48" s="2">
        <v>0.24</v>
      </c>
      <c r="AB48" s="2">
        <v>0.28999999999999998</v>
      </c>
      <c r="AC48" s="2">
        <v>0.15</v>
      </c>
      <c r="AD48" s="2">
        <v>0.3</v>
      </c>
      <c r="AE48" s="2">
        <v>0.28000000000000003</v>
      </c>
      <c r="AF48" s="2">
        <v>0.28999999999999998</v>
      </c>
      <c r="AG48" s="2">
        <v>0.23</v>
      </c>
      <c r="AH48" s="2">
        <v>0.37</v>
      </c>
      <c r="AI48" s="2">
        <v>0.35</v>
      </c>
      <c r="AJ48" s="2">
        <v>0.32</v>
      </c>
      <c r="AK48" s="2">
        <v>0.27</v>
      </c>
      <c r="AL48" s="2">
        <v>0.35</v>
      </c>
      <c r="AM48" s="2">
        <v>0.33</v>
      </c>
      <c r="AN48" s="2">
        <v>0.38</v>
      </c>
      <c r="AO48" s="2">
        <v>0.32</v>
      </c>
      <c r="AP48" s="2">
        <v>0.35</v>
      </c>
      <c r="AQ48" s="2">
        <v>0.31</v>
      </c>
      <c r="AR48" s="2">
        <v>0.31</v>
      </c>
      <c r="AS48" s="2">
        <v>0.31</v>
      </c>
      <c r="AT48" s="2">
        <v>0.42</v>
      </c>
      <c r="AU48" s="2">
        <v>0.41</v>
      </c>
      <c r="AV48" s="2">
        <v>1</v>
      </c>
      <c r="AW48" s="2"/>
      <c r="AX48" s="2"/>
      <c r="AY48" s="2"/>
      <c r="AZ48" s="2"/>
      <c r="BA48" s="2"/>
      <c r="BB48" s="2"/>
      <c r="BC48" s="2"/>
      <c r="BD48" s="2"/>
      <c r="BE48" s="2"/>
      <c r="BF48" s="2"/>
      <c r="BG48" s="2"/>
      <c r="BH48" s="2"/>
      <c r="BI48" s="2"/>
    </row>
    <row r="49" spans="2:61" x14ac:dyDescent="0.35">
      <c r="B49" t="s">
        <v>76</v>
      </c>
      <c r="C49" s="2">
        <v>0.19</v>
      </c>
      <c r="D49" s="2">
        <v>0.05</v>
      </c>
      <c r="E49" s="2">
        <v>-0.22</v>
      </c>
      <c r="F49" s="2">
        <v>0.24</v>
      </c>
      <c r="G49" s="2">
        <v>0.24</v>
      </c>
      <c r="H49" s="2">
        <v>0.04</v>
      </c>
      <c r="I49" s="2">
        <v>7.0000000000000007E-2</v>
      </c>
      <c r="J49" s="2">
        <v>0.02</v>
      </c>
      <c r="K49" s="2">
        <v>-0.02</v>
      </c>
      <c r="L49" s="2">
        <v>0.26</v>
      </c>
      <c r="M49" s="2">
        <v>0.2</v>
      </c>
      <c r="N49" s="2">
        <v>0.56999999999999995</v>
      </c>
      <c r="O49" s="2">
        <v>0.59</v>
      </c>
      <c r="P49" s="2">
        <v>-0.17</v>
      </c>
      <c r="Q49" s="2">
        <v>0.18</v>
      </c>
      <c r="R49" s="2">
        <v>-0.11</v>
      </c>
      <c r="S49" s="2">
        <v>0.27</v>
      </c>
      <c r="T49" s="2">
        <v>0.48</v>
      </c>
      <c r="U49" s="2">
        <v>0.52</v>
      </c>
      <c r="V49" s="2">
        <v>0.49</v>
      </c>
      <c r="W49" s="2">
        <v>0.13</v>
      </c>
      <c r="X49" s="2">
        <v>0.34</v>
      </c>
      <c r="Y49" s="2">
        <v>0.47</v>
      </c>
      <c r="Z49" s="2">
        <v>0.47</v>
      </c>
      <c r="AA49" s="2">
        <v>0.41</v>
      </c>
      <c r="AB49" s="2">
        <v>0.54</v>
      </c>
      <c r="AC49" s="2">
        <v>0.43</v>
      </c>
      <c r="AD49" s="2">
        <v>0.52</v>
      </c>
      <c r="AE49" s="2">
        <v>0.57999999999999996</v>
      </c>
      <c r="AF49" s="2">
        <v>0.55000000000000004</v>
      </c>
      <c r="AG49" s="2">
        <v>0.17</v>
      </c>
      <c r="AH49" s="2">
        <v>0.57999999999999996</v>
      </c>
      <c r="AI49" s="2">
        <v>0.52</v>
      </c>
      <c r="AJ49" s="2">
        <v>0.54</v>
      </c>
      <c r="AK49" s="2">
        <v>0.46</v>
      </c>
      <c r="AL49" s="2">
        <v>0.47</v>
      </c>
      <c r="AM49" s="2">
        <v>0.46</v>
      </c>
      <c r="AN49" s="2">
        <v>0.44</v>
      </c>
      <c r="AO49" s="2">
        <v>0.46</v>
      </c>
      <c r="AP49" s="2">
        <v>0.45</v>
      </c>
      <c r="AQ49" s="2">
        <v>0.32</v>
      </c>
      <c r="AR49" s="2">
        <v>0.32</v>
      </c>
      <c r="AS49" s="2">
        <v>0.47</v>
      </c>
      <c r="AT49" s="2">
        <v>0.55000000000000004</v>
      </c>
      <c r="AU49" s="2">
        <v>0.36</v>
      </c>
      <c r="AV49" s="2">
        <v>0.41</v>
      </c>
      <c r="AW49" s="2">
        <v>1</v>
      </c>
      <c r="AX49" s="2"/>
      <c r="AY49" s="2"/>
      <c r="AZ49" s="2"/>
      <c r="BA49" s="2"/>
      <c r="BB49" s="2"/>
      <c r="BC49" s="2"/>
      <c r="BD49" s="2"/>
      <c r="BE49" s="2"/>
      <c r="BF49" s="2"/>
      <c r="BG49" s="2"/>
      <c r="BH49" s="2"/>
      <c r="BI49" s="2"/>
    </row>
    <row r="50" spans="2:61" x14ac:dyDescent="0.35">
      <c r="B50" t="s">
        <v>77</v>
      </c>
      <c r="C50" s="2">
        <v>0.22</v>
      </c>
      <c r="D50" s="2">
        <v>0.15</v>
      </c>
      <c r="E50" s="2">
        <v>0.04</v>
      </c>
      <c r="F50" s="2">
        <v>0.06</v>
      </c>
      <c r="G50" s="2">
        <v>-0.06</v>
      </c>
      <c r="H50" s="2">
        <v>-0.09</v>
      </c>
      <c r="I50" s="2">
        <v>-0.05</v>
      </c>
      <c r="J50" s="2">
        <v>0.09</v>
      </c>
      <c r="K50" s="2">
        <v>-0.08</v>
      </c>
      <c r="L50" s="2">
        <v>-0.27</v>
      </c>
      <c r="M50" s="2">
        <v>-0.22</v>
      </c>
      <c r="N50" s="2">
        <v>0.2</v>
      </c>
      <c r="O50" s="2">
        <v>-0.12</v>
      </c>
      <c r="P50" s="2">
        <v>0</v>
      </c>
      <c r="Q50" s="2">
        <v>-7.0000000000000007E-2</v>
      </c>
      <c r="R50" s="2">
        <v>-0.04</v>
      </c>
      <c r="S50" s="2">
        <v>-0.11</v>
      </c>
      <c r="T50" s="2">
        <v>-0.25</v>
      </c>
      <c r="U50" s="2">
        <v>-0.1</v>
      </c>
      <c r="V50" s="2">
        <v>0.25</v>
      </c>
      <c r="W50" s="2">
        <v>-0.18</v>
      </c>
      <c r="X50" s="2">
        <v>0.04</v>
      </c>
      <c r="Y50" s="2">
        <v>-0.06</v>
      </c>
      <c r="Z50" s="2">
        <v>-0.11</v>
      </c>
      <c r="AA50" s="2">
        <v>-0.08</v>
      </c>
      <c r="AB50" s="2">
        <v>7.0000000000000007E-2</v>
      </c>
      <c r="AC50" s="2">
        <v>-0.24</v>
      </c>
      <c r="AD50" s="2">
        <v>0.09</v>
      </c>
      <c r="AE50" s="2">
        <v>-0.12</v>
      </c>
      <c r="AF50" s="2">
        <v>-0.12</v>
      </c>
      <c r="AG50" s="2">
        <v>-0.14000000000000001</v>
      </c>
      <c r="AH50" s="2">
        <v>0.13</v>
      </c>
      <c r="AI50" s="2">
        <v>-0.12</v>
      </c>
      <c r="AJ50" s="2">
        <v>-0.1</v>
      </c>
      <c r="AK50" s="2">
        <v>0.09</v>
      </c>
      <c r="AL50" s="2">
        <v>-0.08</v>
      </c>
      <c r="AM50" s="2">
        <v>0.05</v>
      </c>
      <c r="AN50" s="2">
        <v>-0.03</v>
      </c>
      <c r="AO50" s="2">
        <v>-0.08</v>
      </c>
      <c r="AP50" s="2">
        <v>0.25</v>
      </c>
      <c r="AQ50" s="2">
        <v>0.18</v>
      </c>
      <c r="AR50" s="2">
        <v>0.18</v>
      </c>
      <c r="AS50" s="2">
        <v>-0.01</v>
      </c>
      <c r="AT50" s="2">
        <v>0.01</v>
      </c>
      <c r="AU50" s="2">
        <v>0.1</v>
      </c>
      <c r="AV50" s="2">
        <v>0.1</v>
      </c>
      <c r="AW50" s="2">
        <v>0.05</v>
      </c>
      <c r="AX50" s="2">
        <v>1</v>
      </c>
      <c r="AY50" s="2"/>
      <c r="AZ50" s="2"/>
      <c r="BA50" s="2"/>
      <c r="BB50" s="2"/>
      <c r="BC50" s="2"/>
      <c r="BD50" s="2"/>
      <c r="BE50" s="2"/>
      <c r="BF50" s="2"/>
      <c r="BG50" s="2"/>
      <c r="BH50" s="2"/>
      <c r="BI50" s="2"/>
    </row>
    <row r="51" spans="2:61" x14ac:dyDescent="0.35">
      <c r="B51" t="s">
        <v>78</v>
      </c>
      <c r="C51" s="2">
        <v>-0.05</v>
      </c>
      <c r="D51" s="2">
        <v>0.18</v>
      </c>
      <c r="E51" s="2">
        <v>-0.08</v>
      </c>
      <c r="F51" s="2">
        <v>0.17</v>
      </c>
      <c r="G51" s="2">
        <v>0.17</v>
      </c>
      <c r="H51" s="2">
        <v>0.09</v>
      </c>
      <c r="I51" s="2">
        <v>0.11</v>
      </c>
      <c r="J51" s="2">
        <v>0.13</v>
      </c>
      <c r="K51" s="2">
        <v>0.04</v>
      </c>
      <c r="L51" s="2">
        <v>0.26</v>
      </c>
      <c r="M51" s="2">
        <v>0.22</v>
      </c>
      <c r="N51" s="2">
        <v>0.38</v>
      </c>
      <c r="O51" s="2">
        <v>0.3</v>
      </c>
      <c r="P51" s="2">
        <v>-7.0000000000000007E-2</v>
      </c>
      <c r="Q51" s="2">
        <v>0.24</v>
      </c>
      <c r="R51" s="2">
        <v>-0.02</v>
      </c>
      <c r="S51" s="2">
        <v>0.31</v>
      </c>
      <c r="T51" s="2">
        <v>0.41</v>
      </c>
      <c r="U51" s="2">
        <v>0.51</v>
      </c>
      <c r="V51" s="2">
        <v>0.36</v>
      </c>
      <c r="W51" s="2">
        <v>0.13</v>
      </c>
      <c r="X51" s="2">
        <v>0.14000000000000001</v>
      </c>
      <c r="Y51" s="2">
        <v>0.46</v>
      </c>
      <c r="Z51" s="2">
        <v>0.48</v>
      </c>
      <c r="AA51" s="2">
        <v>0.46</v>
      </c>
      <c r="AB51" s="2">
        <v>0.56999999999999995</v>
      </c>
      <c r="AC51" s="2">
        <v>0.39</v>
      </c>
      <c r="AD51" s="2">
        <v>0.53</v>
      </c>
      <c r="AE51" s="2">
        <v>0.54</v>
      </c>
      <c r="AF51" s="2">
        <v>0.56000000000000005</v>
      </c>
      <c r="AG51" s="2">
        <v>0.34</v>
      </c>
      <c r="AH51" s="2">
        <v>0.54</v>
      </c>
      <c r="AI51" s="2">
        <v>0.5</v>
      </c>
      <c r="AJ51" s="2">
        <v>0.53</v>
      </c>
      <c r="AK51" s="2">
        <v>0.47</v>
      </c>
      <c r="AL51" s="2">
        <v>0.46</v>
      </c>
      <c r="AM51" s="2">
        <v>0.46</v>
      </c>
      <c r="AN51" s="2">
        <v>0.47</v>
      </c>
      <c r="AO51" s="2">
        <v>0.48</v>
      </c>
      <c r="AP51" s="2">
        <v>0.41</v>
      </c>
      <c r="AQ51" s="2">
        <v>0.01</v>
      </c>
      <c r="AR51" s="2">
        <v>0.01</v>
      </c>
      <c r="AS51" s="2">
        <v>0.25</v>
      </c>
      <c r="AT51" s="2">
        <v>0.42</v>
      </c>
      <c r="AU51" s="2">
        <v>0.35</v>
      </c>
      <c r="AV51" s="2">
        <v>0.09</v>
      </c>
      <c r="AW51" s="2">
        <v>0.45</v>
      </c>
      <c r="AX51" s="2">
        <v>0.01</v>
      </c>
      <c r="AY51" s="2">
        <v>1</v>
      </c>
      <c r="AZ51" s="2"/>
      <c r="BA51" s="2"/>
      <c r="BB51" s="2"/>
      <c r="BC51" s="2"/>
      <c r="BD51" s="2"/>
      <c r="BE51" s="2"/>
      <c r="BF51" s="2"/>
      <c r="BG51" s="2"/>
      <c r="BH51" s="2"/>
      <c r="BI51" s="2"/>
    </row>
    <row r="52" spans="2:61" x14ac:dyDescent="0.35">
      <c r="B52" t="s">
        <v>79</v>
      </c>
      <c r="C52" s="2">
        <v>0.27</v>
      </c>
      <c r="D52" s="2">
        <v>0.03</v>
      </c>
      <c r="E52" s="2">
        <v>-0.17</v>
      </c>
      <c r="F52" s="2">
        <v>0.23</v>
      </c>
      <c r="G52" s="2">
        <v>0.26</v>
      </c>
      <c r="H52" s="2">
        <v>-0.01</v>
      </c>
      <c r="I52" s="2">
        <v>-0.02</v>
      </c>
      <c r="J52" s="2">
        <v>0.02</v>
      </c>
      <c r="K52" s="2">
        <v>-0.02</v>
      </c>
      <c r="L52" s="2">
        <v>0.19</v>
      </c>
      <c r="M52" s="2">
        <v>0.16</v>
      </c>
      <c r="N52" s="2">
        <v>0.44</v>
      </c>
      <c r="O52" s="2">
        <v>0.41</v>
      </c>
      <c r="P52" s="2">
        <v>-0.22</v>
      </c>
      <c r="Q52" s="2">
        <v>0.2</v>
      </c>
      <c r="R52" s="2">
        <v>-0.18</v>
      </c>
      <c r="S52" s="2">
        <v>0.28000000000000003</v>
      </c>
      <c r="T52" s="2">
        <v>0.33</v>
      </c>
      <c r="U52" s="2">
        <v>0.45</v>
      </c>
      <c r="V52" s="2">
        <v>0.34</v>
      </c>
      <c r="W52" s="2">
        <v>0.05</v>
      </c>
      <c r="X52" s="2">
        <v>0.19</v>
      </c>
      <c r="Y52" s="2">
        <v>0.44</v>
      </c>
      <c r="Z52" s="2">
        <v>0.46</v>
      </c>
      <c r="AA52" s="2">
        <v>0.38</v>
      </c>
      <c r="AB52" s="2">
        <v>0.46</v>
      </c>
      <c r="AC52" s="2">
        <v>0.38</v>
      </c>
      <c r="AD52" s="2">
        <v>0.42</v>
      </c>
      <c r="AE52" s="2">
        <v>0.59</v>
      </c>
      <c r="AF52" s="2">
        <v>0.52</v>
      </c>
      <c r="AG52" s="2">
        <v>0.19</v>
      </c>
      <c r="AH52" s="2">
        <v>0.56000000000000005</v>
      </c>
      <c r="AI52" s="2">
        <v>0.48</v>
      </c>
      <c r="AJ52" s="2">
        <v>0.52</v>
      </c>
      <c r="AK52" s="2">
        <v>0.42</v>
      </c>
      <c r="AL52" s="2">
        <v>0.44</v>
      </c>
      <c r="AM52" s="2">
        <v>0.41</v>
      </c>
      <c r="AN52" s="2">
        <v>0.4</v>
      </c>
      <c r="AO52" s="2">
        <v>0.46</v>
      </c>
      <c r="AP52" s="2">
        <v>0.43</v>
      </c>
      <c r="AQ52" s="2">
        <v>0.35</v>
      </c>
      <c r="AR52" s="2">
        <v>0.35</v>
      </c>
      <c r="AS52" s="2">
        <v>0.55000000000000004</v>
      </c>
      <c r="AT52" s="2">
        <v>0.56000000000000005</v>
      </c>
      <c r="AU52" s="2">
        <v>0.3</v>
      </c>
      <c r="AV52" s="2">
        <v>0.12</v>
      </c>
      <c r="AW52" s="2">
        <v>0.44</v>
      </c>
      <c r="AX52" s="2">
        <v>-0.12</v>
      </c>
      <c r="AY52" s="2">
        <v>0.4</v>
      </c>
      <c r="AZ52" s="2">
        <v>1</v>
      </c>
      <c r="BA52" s="2"/>
      <c r="BB52" s="2"/>
      <c r="BC52" s="2"/>
      <c r="BD52" s="2"/>
      <c r="BE52" s="2"/>
      <c r="BF52" s="2"/>
      <c r="BG52" s="2"/>
      <c r="BH52" s="2"/>
      <c r="BI52" s="2"/>
    </row>
    <row r="53" spans="2:61" x14ac:dyDescent="0.35">
      <c r="B53" t="s">
        <v>80</v>
      </c>
      <c r="C53" s="2">
        <v>-0.01</v>
      </c>
      <c r="D53" s="2">
        <v>0.1</v>
      </c>
      <c r="E53" s="2">
        <v>0.36</v>
      </c>
      <c r="F53" s="2">
        <v>0.3</v>
      </c>
      <c r="G53" s="2">
        <v>0.47</v>
      </c>
      <c r="H53" s="2">
        <v>0.39</v>
      </c>
      <c r="I53" s="2">
        <v>0.33</v>
      </c>
      <c r="J53" s="2">
        <v>0.37</v>
      </c>
      <c r="K53" s="2">
        <v>0.34</v>
      </c>
      <c r="L53" s="2">
        <v>0.36</v>
      </c>
      <c r="M53" s="2">
        <v>0.32</v>
      </c>
      <c r="N53" s="2">
        <v>0.13</v>
      </c>
      <c r="O53" s="2">
        <v>0.04</v>
      </c>
      <c r="P53" s="2">
        <v>0.28000000000000003</v>
      </c>
      <c r="Q53" s="2">
        <v>0.51</v>
      </c>
      <c r="R53" s="2">
        <v>0.22</v>
      </c>
      <c r="S53" s="2">
        <v>0.5</v>
      </c>
      <c r="T53" s="2">
        <v>0.33</v>
      </c>
      <c r="U53" s="2">
        <v>0.39</v>
      </c>
      <c r="V53" s="2">
        <v>0.31</v>
      </c>
      <c r="W53" s="2">
        <v>0.24</v>
      </c>
      <c r="X53" s="2">
        <v>0.16</v>
      </c>
      <c r="Y53" s="2">
        <v>0.04</v>
      </c>
      <c r="Z53" s="2">
        <v>0.04</v>
      </c>
      <c r="AA53" s="2">
        <v>-0.03</v>
      </c>
      <c r="AB53" s="2">
        <v>0.11</v>
      </c>
      <c r="AC53" s="2">
        <v>0.05</v>
      </c>
      <c r="AD53" s="2">
        <v>0.22</v>
      </c>
      <c r="AE53" s="2">
        <v>0.13</v>
      </c>
      <c r="AF53" s="2">
        <v>0.13</v>
      </c>
      <c r="AG53" s="2">
        <v>0.2</v>
      </c>
      <c r="AH53" s="2">
        <v>0.25</v>
      </c>
      <c r="AI53" s="2">
        <v>0.22</v>
      </c>
      <c r="AJ53" s="2">
        <v>0.11</v>
      </c>
      <c r="AK53" s="2">
        <v>0</v>
      </c>
      <c r="AL53" s="2">
        <v>0.06</v>
      </c>
      <c r="AM53" s="2">
        <v>0.06</v>
      </c>
      <c r="AN53" s="2">
        <v>0.08</v>
      </c>
      <c r="AO53" s="2">
        <v>0.05</v>
      </c>
      <c r="AP53" s="2">
        <v>0.12</v>
      </c>
      <c r="AQ53" s="2">
        <v>0.08</v>
      </c>
      <c r="AR53" s="2">
        <v>0.08</v>
      </c>
      <c r="AS53" s="2">
        <v>0.1</v>
      </c>
      <c r="AT53" s="2">
        <v>0.23</v>
      </c>
      <c r="AU53" s="2">
        <v>0.09</v>
      </c>
      <c r="AV53" s="2">
        <v>0.39</v>
      </c>
      <c r="AW53" s="2">
        <v>0.17</v>
      </c>
      <c r="AX53" s="2">
        <v>0.08</v>
      </c>
      <c r="AY53" s="2">
        <v>0.23</v>
      </c>
      <c r="AZ53" s="2">
        <v>0.35</v>
      </c>
      <c r="BA53" s="2">
        <v>1</v>
      </c>
      <c r="BB53" s="2"/>
      <c r="BC53" s="2"/>
      <c r="BD53" s="2"/>
      <c r="BE53" s="2"/>
      <c r="BF53" s="2"/>
      <c r="BG53" s="2"/>
      <c r="BH53" s="2"/>
      <c r="BI53" s="2"/>
    </row>
    <row r="54" spans="2:61" x14ac:dyDescent="0.35">
      <c r="B54" s="11" t="s">
        <v>81</v>
      </c>
      <c r="C54" s="2">
        <v>0.09</v>
      </c>
      <c r="D54" s="2">
        <v>0</v>
      </c>
      <c r="E54" s="2">
        <v>-0.33</v>
      </c>
      <c r="F54" s="2">
        <v>0.37</v>
      </c>
      <c r="G54" s="2">
        <v>0.18</v>
      </c>
      <c r="H54" s="2">
        <v>0</v>
      </c>
      <c r="I54" s="2">
        <v>0.02</v>
      </c>
      <c r="J54" s="2">
        <v>0.02</v>
      </c>
      <c r="K54" s="2">
        <v>-0.06</v>
      </c>
      <c r="L54" s="2">
        <v>0.36</v>
      </c>
      <c r="M54" s="2">
        <v>0.26</v>
      </c>
      <c r="N54" s="2">
        <v>0.72</v>
      </c>
      <c r="O54" s="2">
        <v>0.68</v>
      </c>
      <c r="P54" s="2">
        <v>-0.24</v>
      </c>
      <c r="Q54" s="2">
        <v>0.09</v>
      </c>
      <c r="R54" s="2">
        <v>-0.15</v>
      </c>
      <c r="S54" s="2">
        <v>0.2</v>
      </c>
      <c r="T54" s="2">
        <v>0.59</v>
      </c>
      <c r="U54" s="2">
        <v>0.6</v>
      </c>
      <c r="V54" s="2">
        <v>0.62</v>
      </c>
      <c r="W54" s="2">
        <v>0.13</v>
      </c>
      <c r="X54" s="2">
        <v>0.38</v>
      </c>
      <c r="Y54" s="2">
        <v>0.78</v>
      </c>
      <c r="Z54" s="2">
        <v>0.8</v>
      </c>
      <c r="AA54" s="2">
        <v>0.75</v>
      </c>
      <c r="AB54" s="2">
        <v>0.77</v>
      </c>
      <c r="AC54" s="2">
        <v>0.61</v>
      </c>
      <c r="AD54" s="2">
        <v>0.68</v>
      </c>
      <c r="AE54" s="2">
        <v>0.79</v>
      </c>
      <c r="AF54" s="2">
        <v>0.8</v>
      </c>
      <c r="AG54" s="2">
        <v>0.5</v>
      </c>
      <c r="AH54" s="2">
        <v>0.8</v>
      </c>
      <c r="AI54" s="2">
        <v>0.77</v>
      </c>
      <c r="AJ54" s="2">
        <v>0.83</v>
      </c>
      <c r="AK54" s="2">
        <v>0.77</v>
      </c>
      <c r="AL54" s="2">
        <v>0.79</v>
      </c>
      <c r="AM54" s="2">
        <v>0.77</v>
      </c>
      <c r="AN54" s="2">
        <v>0.72</v>
      </c>
      <c r="AO54" s="2">
        <v>0.74</v>
      </c>
      <c r="AP54" s="2">
        <v>0.81</v>
      </c>
      <c r="AQ54" s="2">
        <v>0.34</v>
      </c>
      <c r="AR54" s="2">
        <v>0.34</v>
      </c>
      <c r="AS54" s="2">
        <v>0.63</v>
      </c>
      <c r="AT54" s="2">
        <v>0.7</v>
      </c>
      <c r="AU54" s="2">
        <v>0.53</v>
      </c>
      <c r="AV54" s="2">
        <v>0.35</v>
      </c>
      <c r="AW54" s="2">
        <v>0.62</v>
      </c>
      <c r="AX54" s="2">
        <v>-0.19</v>
      </c>
      <c r="AY54" s="2">
        <v>0.59</v>
      </c>
      <c r="AZ54" s="2">
        <v>0.55000000000000004</v>
      </c>
      <c r="BA54" s="2">
        <v>0.11</v>
      </c>
      <c r="BB54" s="2">
        <v>1</v>
      </c>
      <c r="BC54" s="2"/>
      <c r="BD54" s="2"/>
      <c r="BE54" s="2"/>
      <c r="BF54" s="2"/>
      <c r="BG54" s="2"/>
      <c r="BH54" s="2"/>
      <c r="BI54" s="2"/>
    </row>
    <row r="55" spans="2:61" x14ac:dyDescent="0.35">
      <c r="B55" t="s">
        <v>82</v>
      </c>
      <c r="C55" s="2">
        <v>-0.06</v>
      </c>
      <c r="D55" s="2">
        <v>7.0000000000000007E-2</v>
      </c>
      <c r="E55" s="2">
        <v>-0.24</v>
      </c>
      <c r="F55" s="2">
        <v>0.24</v>
      </c>
      <c r="G55" s="2">
        <v>0.16</v>
      </c>
      <c r="H55" s="2">
        <v>0.03</v>
      </c>
      <c r="I55" s="2">
        <v>0.05</v>
      </c>
      <c r="J55" s="2">
        <v>0.03</v>
      </c>
      <c r="K55" s="2">
        <v>-0.02</v>
      </c>
      <c r="L55" s="2">
        <v>0.27</v>
      </c>
      <c r="M55" s="2">
        <v>0.2</v>
      </c>
      <c r="N55" s="2">
        <v>0.54</v>
      </c>
      <c r="O55" s="2">
        <v>0.51</v>
      </c>
      <c r="P55" s="2">
        <v>-0.11</v>
      </c>
      <c r="Q55" s="2">
        <v>0.02</v>
      </c>
      <c r="R55" s="2">
        <v>-0.03</v>
      </c>
      <c r="S55" s="2">
        <v>0.1</v>
      </c>
      <c r="T55" s="2">
        <v>0.45</v>
      </c>
      <c r="U55" s="2">
        <v>0.4</v>
      </c>
      <c r="V55" s="2">
        <v>0.47</v>
      </c>
      <c r="W55" s="2">
        <v>0.12</v>
      </c>
      <c r="X55" s="2">
        <v>0.33</v>
      </c>
      <c r="Y55" s="2">
        <v>0.64</v>
      </c>
      <c r="Z55" s="2">
        <v>0.67</v>
      </c>
      <c r="AA55" s="2">
        <v>0.7</v>
      </c>
      <c r="AB55" s="2">
        <v>0.55000000000000004</v>
      </c>
      <c r="AC55" s="2">
        <v>0.51</v>
      </c>
      <c r="AD55" s="2">
        <v>0.5</v>
      </c>
      <c r="AE55" s="2">
        <v>0.55000000000000004</v>
      </c>
      <c r="AF55" s="2">
        <v>0.57999999999999996</v>
      </c>
      <c r="AG55" s="2">
        <v>0.47</v>
      </c>
      <c r="AH55" s="2">
        <v>0.61</v>
      </c>
      <c r="AI55" s="2">
        <v>0.6</v>
      </c>
      <c r="AJ55" s="2">
        <v>0.64</v>
      </c>
      <c r="AK55" s="2">
        <v>0.6</v>
      </c>
      <c r="AL55" s="2">
        <v>0.67</v>
      </c>
      <c r="AM55" s="2">
        <v>0.62</v>
      </c>
      <c r="AN55" s="2">
        <v>0.54</v>
      </c>
      <c r="AO55" s="2">
        <v>0.55000000000000004</v>
      </c>
      <c r="AP55" s="2">
        <v>0.73</v>
      </c>
      <c r="AQ55" s="2">
        <v>0.26</v>
      </c>
      <c r="AR55" s="2">
        <v>0.26</v>
      </c>
      <c r="AS55" s="2">
        <v>0.52</v>
      </c>
      <c r="AT55" s="2">
        <v>0.44</v>
      </c>
      <c r="AU55" s="2">
        <v>0.35</v>
      </c>
      <c r="AV55" s="2">
        <v>0.28999999999999998</v>
      </c>
      <c r="AW55" s="2">
        <v>0.42</v>
      </c>
      <c r="AX55" s="2">
        <v>-0.15</v>
      </c>
      <c r="AY55" s="2">
        <v>0.4</v>
      </c>
      <c r="AZ55" s="2">
        <v>0.3</v>
      </c>
      <c r="BA55" s="2">
        <v>0</v>
      </c>
      <c r="BB55" s="2">
        <v>0.76</v>
      </c>
      <c r="BC55" s="2">
        <v>1</v>
      </c>
      <c r="BD55" s="2"/>
      <c r="BE55" s="2"/>
      <c r="BF55" s="2"/>
      <c r="BG55" s="2"/>
      <c r="BH55" s="2"/>
      <c r="BI55" s="2"/>
    </row>
    <row r="56" spans="2:61" x14ac:dyDescent="0.35">
      <c r="B56" t="s">
        <v>83</v>
      </c>
      <c r="C56" s="2">
        <v>0.08</v>
      </c>
      <c r="D56" s="2">
        <v>0.04</v>
      </c>
      <c r="E56" s="2">
        <v>-0.3</v>
      </c>
      <c r="F56" s="2">
        <v>0.21</v>
      </c>
      <c r="G56" s="2">
        <v>0.2</v>
      </c>
      <c r="H56" s="2">
        <v>0.04</v>
      </c>
      <c r="I56" s="2">
        <v>0.02</v>
      </c>
      <c r="J56" s="2">
        <v>0.05</v>
      </c>
      <c r="K56" s="2">
        <v>0.06</v>
      </c>
      <c r="L56" s="2">
        <v>0.35</v>
      </c>
      <c r="M56" s="2">
        <v>0.31</v>
      </c>
      <c r="N56" s="2">
        <v>0.61</v>
      </c>
      <c r="O56" s="2">
        <v>0.67</v>
      </c>
      <c r="P56" s="2">
        <v>-0.17</v>
      </c>
      <c r="Q56" s="2">
        <v>0.04</v>
      </c>
      <c r="R56" s="2">
        <v>-0.09</v>
      </c>
      <c r="S56" s="2">
        <v>0.12</v>
      </c>
      <c r="T56" s="2">
        <v>0.46</v>
      </c>
      <c r="U56" s="2">
        <v>0.41</v>
      </c>
      <c r="V56" s="2">
        <v>0.5</v>
      </c>
      <c r="W56" s="2">
        <v>0.1</v>
      </c>
      <c r="X56" s="2">
        <v>0.41</v>
      </c>
      <c r="Y56" s="2">
        <v>0.68</v>
      </c>
      <c r="Z56" s="2">
        <v>0.71</v>
      </c>
      <c r="AA56" s="2">
        <v>0.64</v>
      </c>
      <c r="AB56" s="2">
        <v>0.64</v>
      </c>
      <c r="AC56" s="2">
        <v>0.59</v>
      </c>
      <c r="AD56" s="2">
        <v>0.56000000000000005</v>
      </c>
      <c r="AE56" s="2">
        <v>0.69</v>
      </c>
      <c r="AF56" s="2">
        <v>0.7</v>
      </c>
      <c r="AG56" s="2">
        <v>0.44</v>
      </c>
      <c r="AH56" s="2">
        <v>0.68</v>
      </c>
      <c r="AI56" s="2">
        <v>0.64</v>
      </c>
      <c r="AJ56" s="2">
        <v>0.73</v>
      </c>
      <c r="AK56" s="2">
        <v>0.63</v>
      </c>
      <c r="AL56" s="2">
        <v>0.74</v>
      </c>
      <c r="AM56" s="2">
        <v>0.65</v>
      </c>
      <c r="AN56" s="2">
        <v>0.6</v>
      </c>
      <c r="AO56" s="2">
        <v>0.61</v>
      </c>
      <c r="AP56" s="2">
        <v>0.79</v>
      </c>
      <c r="AQ56" s="2">
        <v>0.32</v>
      </c>
      <c r="AR56" s="2">
        <v>0.32</v>
      </c>
      <c r="AS56" s="2">
        <v>0.56000000000000005</v>
      </c>
      <c r="AT56" s="2">
        <v>0.6</v>
      </c>
      <c r="AU56" s="2">
        <v>0.42</v>
      </c>
      <c r="AV56" s="2">
        <v>0.27</v>
      </c>
      <c r="AW56" s="2">
        <v>0.43</v>
      </c>
      <c r="AX56" s="2">
        <v>-0.18</v>
      </c>
      <c r="AY56" s="2">
        <v>0.47</v>
      </c>
      <c r="AZ56" s="2">
        <v>0.51</v>
      </c>
      <c r="BA56" s="2">
        <v>0.12</v>
      </c>
      <c r="BB56" s="2">
        <v>0.79</v>
      </c>
      <c r="BC56" s="2">
        <v>0.7</v>
      </c>
      <c r="BD56" s="2">
        <v>1</v>
      </c>
      <c r="BE56" s="2"/>
      <c r="BF56" s="2"/>
      <c r="BG56" s="2"/>
      <c r="BH56" s="2"/>
      <c r="BI56" s="2"/>
    </row>
    <row r="57" spans="2:61" x14ac:dyDescent="0.35">
      <c r="B57" t="s">
        <v>84</v>
      </c>
      <c r="C57" s="2">
        <v>7.0000000000000007E-2</v>
      </c>
      <c r="D57" s="2">
        <v>0.02</v>
      </c>
      <c r="E57" s="2">
        <v>-0.23</v>
      </c>
      <c r="F57" s="2">
        <v>0.21</v>
      </c>
      <c r="G57" s="2">
        <v>0.24</v>
      </c>
      <c r="H57" s="2">
        <v>0.12</v>
      </c>
      <c r="I57" s="2">
        <v>0.13</v>
      </c>
      <c r="J57" s="2">
        <v>0.06</v>
      </c>
      <c r="K57" s="2">
        <v>0.11</v>
      </c>
      <c r="L57" s="2">
        <v>0.42</v>
      </c>
      <c r="M57" s="2">
        <v>0.38</v>
      </c>
      <c r="N57" s="2">
        <v>0.77</v>
      </c>
      <c r="O57" s="2">
        <v>0.76</v>
      </c>
      <c r="P57" s="2">
        <v>-0.12</v>
      </c>
      <c r="Q57" s="2">
        <v>0.15</v>
      </c>
      <c r="R57" s="2">
        <v>-0.03</v>
      </c>
      <c r="S57" s="2">
        <v>0.24</v>
      </c>
      <c r="T57" s="2">
        <v>0.56000000000000005</v>
      </c>
      <c r="U57" s="2">
        <v>0.54</v>
      </c>
      <c r="V57" s="2">
        <v>0.57999999999999996</v>
      </c>
      <c r="W57" s="2">
        <v>0.16</v>
      </c>
      <c r="X57" s="2">
        <v>0.4</v>
      </c>
      <c r="Y57" s="2">
        <v>0.8</v>
      </c>
      <c r="Z57" s="2">
        <v>0.85</v>
      </c>
      <c r="AA57" s="2">
        <v>0.82</v>
      </c>
      <c r="AB57" s="2">
        <v>0.77</v>
      </c>
      <c r="AC57" s="2">
        <v>0.69</v>
      </c>
      <c r="AD57" s="2">
        <v>0.61</v>
      </c>
      <c r="AE57" s="2">
        <v>0.8</v>
      </c>
      <c r="AF57" s="2">
        <v>0.82</v>
      </c>
      <c r="AG57" s="2">
        <v>0.41</v>
      </c>
      <c r="AH57" s="2">
        <v>0.75</v>
      </c>
      <c r="AI57" s="2">
        <v>0.71</v>
      </c>
      <c r="AJ57" s="2">
        <v>0.85</v>
      </c>
      <c r="AK57" s="2">
        <v>0.81</v>
      </c>
      <c r="AL57" s="2">
        <v>0.81</v>
      </c>
      <c r="AM57" s="2">
        <v>0.78</v>
      </c>
      <c r="AN57" s="2">
        <v>0.72</v>
      </c>
      <c r="AO57" s="2">
        <v>0.79</v>
      </c>
      <c r="AP57" s="2">
        <v>0.87</v>
      </c>
      <c r="AQ57" s="2">
        <v>0.35</v>
      </c>
      <c r="AR57" s="2">
        <v>0.35</v>
      </c>
      <c r="AS57" s="2">
        <v>0.54</v>
      </c>
      <c r="AT57" s="2">
        <v>0.67</v>
      </c>
      <c r="AU57" s="2">
        <v>0.59</v>
      </c>
      <c r="AV57" s="2">
        <v>0.3</v>
      </c>
      <c r="AW57" s="2">
        <v>0.49</v>
      </c>
      <c r="AX57" s="2">
        <v>-0.16</v>
      </c>
      <c r="AY57" s="2">
        <v>0.48</v>
      </c>
      <c r="AZ57" s="2">
        <v>0.55000000000000004</v>
      </c>
      <c r="BA57" s="2">
        <v>0.06</v>
      </c>
      <c r="BB57" s="2">
        <v>0.83</v>
      </c>
      <c r="BC57" s="2">
        <v>0.67</v>
      </c>
      <c r="BD57" s="2">
        <v>0.86</v>
      </c>
      <c r="BE57" s="2">
        <v>1</v>
      </c>
      <c r="BF57" s="2"/>
      <c r="BG57" s="2"/>
      <c r="BH57" s="2"/>
      <c r="BI57" s="2"/>
    </row>
    <row r="58" spans="2:61" x14ac:dyDescent="0.35">
      <c r="B58" t="s">
        <v>85</v>
      </c>
      <c r="C58" s="2">
        <v>0</v>
      </c>
      <c r="D58" s="2">
        <v>0</v>
      </c>
      <c r="E58" s="2">
        <v>-0.16</v>
      </c>
      <c r="F58" s="2">
        <v>0.14000000000000001</v>
      </c>
      <c r="G58" s="2">
        <v>0.28000000000000003</v>
      </c>
      <c r="H58" s="2">
        <v>0.2</v>
      </c>
      <c r="I58" s="2">
        <v>0.2</v>
      </c>
      <c r="J58" s="2">
        <v>0.13</v>
      </c>
      <c r="K58" s="2">
        <v>0.19</v>
      </c>
      <c r="L58" s="2">
        <v>0.48</v>
      </c>
      <c r="M58" s="2">
        <v>0.44</v>
      </c>
      <c r="N58" s="2">
        <v>0.77</v>
      </c>
      <c r="O58" s="2">
        <v>0.68</v>
      </c>
      <c r="P58" s="2">
        <v>-0.05</v>
      </c>
      <c r="Q58" s="2">
        <v>0.26</v>
      </c>
      <c r="R58" s="2">
        <v>0.02</v>
      </c>
      <c r="S58" s="2">
        <v>0.35</v>
      </c>
      <c r="T58" s="2">
        <v>0.62</v>
      </c>
      <c r="U58" s="2">
        <v>0.62</v>
      </c>
      <c r="V58" s="2">
        <v>0.62</v>
      </c>
      <c r="W58" s="2">
        <v>0.19</v>
      </c>
      <c r="X58" s="2">
        <v>0.34</v>
      </c>
      <c r="Y58" s="2">
        <v>0.87</v>
      </c>
      <c r="Z58" s="2">
        <v>0.9</v>
      </c>
      <c r="AA58" s="2">
        <v>0.86</v>
      </c>
      <c r="AB58" s="2">
        <v>0.83</v>
      </c>
      <c r="AC58" s="2">
        <v>0.76</v>
      </c>
      <c r="AD58" s="2">
        <v>0.71</v>
      </c>
      <c r="AE58" s="2">
        <v>0.84</v>
      </c>
      <c r="AF58" s="2">
        <v>0.89</v>
      </c>
      <c r="AG58" s="2">
        <v>0.48</v>
      </c>
      <c r="AH58" s="2">
        <v>0.85</v>
      </c>
      <c r="AI58" s="2">
        <v>0.82</v>
      </c>
      <c r="AJ58" s="2">
        <v>0.92</v>
      </c>
      <c r="AK58" s="2">
        <v>0.86</v>
      </c>
      <c r="AL58" s="2">
        <v>0.89</v>
      </c>
      <c r="AM58" s="2">
        <v>0.85</v>
      </c>
      <c r="AN58" s="2">
        <v>0.78</v>
      </c>
      <c r="AO58" s="2">
        <v>0.82</v>
      </c>
      <c r="AP58" s="2">
        <v>0.93</v>
      </c>
      <c r="AQ58" s="2">
        <v>0.28000000000000003</v>
      </c>
      <c r="AR58" s="2">
        <v>0.28000000000000003</v>
      </c>
      <c r="AS58" s="2">
        <v>0.56000000000000005</v>
      </c>
      <c r="AT58" s="2">
        <v>0.65</v>
      </c>
      <c r="AU58" s="2">
        <v>0.62</v>
      </c>
      <c r="AV58" s="2">
        <v>0.3</v>
      </c>
      <c r="AW58" s="2">
        <v>0.51</v>
      </c>
      <c r="AX58" s="2">
        <v>-0.18</v>
      </c>
      <c r="AY58" s="2">
        <v>0.51</v>
      </c>
      <c r="AZ58" s="2">
        <v>0.56000000000000005</v>
      </c>
      <c r="BA58" s="2">
        <v>0.15</v>
      </c>
      <c r="BB58" s="2">
        <v>0.85</v>
      </c>
      <c r="BC58" s="2">
        <v>0.73</v>
      </c>
      <c r="BD58" s="2">
        <v>0.86</v>
      </c>
      <c r="BE58" s="2">
        <v>0.93</v>
      </c>
      <c r="BF58" s="2">
        <v>1</v>
      </c>
      <c r="BG58" s="2"/>
      <c r="BH58" s="2"/>
      <c r="BI58" s="2"/>
    </row>
    <row r="59" spans="2:61" x14ac:dyDescent="0.35">
      <c r="B59" t="s">
        <v>86</v>
      </c>
      <c r="C59" s="2">
        <v>0.13</v>
      </c>
      <c r="D59" s="2">
        <v>0.04</v>
      </c>
      <c r="E59" s="2">
        <v>-0.27</v>
      </c>
      <c r="F59" s="2">
        <v>0.22</v>
      </c>
      <c r="G59" s="2">
        <v>0.26</v>
      </c>
      <c r="H59" s="2">
        <v>0.13</v>
      </c>
      <c r="I59" s="2">
        <v>0.13</v>
      </c>
      <c r="J59" s="2">
        <v>7.0000000000000007E-2</v>
      </c>
      <c r="K59" s="2">
        <v>0.11</v>
      </c>
      <c r="L59" s="2">
        <v>0.45</v>
      </c>
      <c r="M59" s="2">
        <v>0.39</v>
      </c>
      <c r="N59" s="2">
        <v>0.82</v>
      </c>
      <c r="O59" s="2">
        <v>0.86</v>
      </c>
      <c r="P59" s="2">
        <v>-0.14000000000000001</v>
      </c>
      <c r="Q59" s="2">
        <v>0.09</v>
      </c>
      <c r="R59" s="2">
        <v>-0.06</v>
      </c>
      <c r="S59" s="2">
        <v>0.18</v>
      </c>
      <c r="T59" s="2">
        <v>0.59</v>
      </c>
      <c r="U59" s="2">
        <v>0.55000000000000004</v>
      </c>
      <c r="V59" s="2">
        <v>0.64</v>
      </c>
      <c r="W59" s="2">
        <v>0.19</v>
      </c>
      <c r="X59" s="2">
        <v>0.47</v>
      </c>
      <c r="Y59" s="2">
        <v>0.69</v>
      </c>
      <c r="Z59" s="2">
        <v>0.74</v>
      </c>
      <c r="AA59" s="2">
        <v>0.67</v>
      </c>
      <c r="AB59" s="2">
        <v>0.69</v>
      </c>
      <c r="AC59" s="2">
        <v>0.65</v>
      </c>
      <c r="AD59" s="2">
        <v>0.65</v>
      </c>
      <c r="AE59" s="2">
        <v>0.75</v>
      </c>
      <c r="AF59" s="2">
        <v>0.75</v>
      </c>
      <c r="AG59" s="2">
        <v>0.44</v>
      </c>
      <c r="AH59" s="2">
        <v>0.76</v>
      </c>
      <c r="AI59" s="2">
        <v>0.72</v>
      </c>
      <c r="AJ59" s="2">
        <v>0.77</v>
      </c>
      <c r="AK59" s="2">
        <v>0.7</v>
      </c>
      <c r="AL59" s="2">
        <v>0.71</v>
      </c>
      <c r="AM59" s="2">
        <v>0.66</v>
      </c>
      <c r="AN59" s="2">
        <v>0.64</v>
      </c>
      <c r="AO59" s="2">
        <v>0.69</v>
      </c>
      <c r="AP59" s="2">
        <v>0.82</v>
      </c>
      <c r="AQ59" s="2">
        <v>0.4</v>
      </c>
      <c r="AR59" s="2">
        <v>0.4</v>
      </c>
      <c r="AS59" s="2">
        <v>0.59</v>
      </c>
      <c r="AT59" s="2">
        <v>0.71</v>
      </c>
      <c r="AU59" s="2">
        <v>0.51</v>
      </c>
      <c r="AV59" s="2">
        <v>0.39</v>
      </c>
      <c r="AW59" s="2">
        <v>0.54</v>
      </c>
      <c r="AX59" s="2">
        <v>-0.18</v>
      </c>
      <c r="AY59" s="2">
        <v>0.44</v>
      </c>
      <c r="AZ59" s="2">
        <v>0.56000000000000005</v>
      </c>
      <c r="BA59" s="2">
        <v>0.09</v>
      </c>
      <c r="BB59" s="2">
        <v>0.79</v>
      </c>
      <c r="BC59" s="2">
        <v>0.6</v>
      </c>
      <c r="BD59" s="2">
        <v>0.83</v>
      </c>
      <c r="BE59" s="2">
        <v>0.91</v>
      </c>
      <c r="BF59" s="2">
        <v>0.86</v>
      </c>
      <c r="BG59" s="2">
        <v>1</v>
      </c>
      <c r="BH59" s="2"/>
      <c r="BI59" s="2"/>
    </row>
    <row r="60" spans="2:61" x14ac:dyDescent="0.35">
      <c r="B60" t="s">
        <v>87</v>
      </c>
      <c r="C60" s="2">
        <v>0</v>
      </c>
      <c r="D60" s="2">
        <v>0.05</v>
      </c>
      <c r="E60" s="2">
        <v>-0.11</v>
      </c>
      <c r="F60" s="2">
        <v>0.09</v>
      </c>
      <c r="G60" s="2">
        <v>7.0000000000000007E-2</v>
      </c>
      <c r="H60" s="2">
        <v>-0.08</v>
      </c>
      <c r="I60" s="2">
        <v>-0.16</v>
      </c>
      <c r="J60" s="2">
        <v>0.01</v>
      </c>
      <c r="K60" s="2">
        <v>-0.02</v>
      </c>
      <c r="L60" s="2">
        <v>0.04</v>
      </c>
      <c r="M60" s="2">
        <v>0.05</v>
      </c>
      <c r="N60" s="2">
        <v>0.1</v>
      </c>
      <c r="O60" s="2">
        <v>7.0000000000000007E-2</v>
      </c>
      <c r="P60" s="2">
        <v>-0.11</v>
      </c>
      <c r="Q60" s="2">
        <v>0.09</v>
      </c>
      <c r="R60" s="2">
        <v>-0.08</v>
      </c>
      <c r="S60" s="2">
        <v>0.11</v>
      </c>
      <c r="T60" s="2">
        <v>0.08</v>
      </c>
      <c r="U60" s="2">
        <v>0.16</v>
      </c>
      <c r="V60" s="2">
        <v>0.05</v>
      </c>
      <c r="W60" s="2">
        <v>-0.1</v>
      </c>
      <c r="X60" s="2">
        <v>0.06</v>
      </c>
      <c r="Y60" s="2">
        <v>0.16</v>
      </c>
      <c r="Z60" s="2">
        <v>0.19</v>
      </c>
      <c r="AA60" s="2">
        <v>0.14000000000000001</v>
      </c>
      <c r="AB60" s="2">
        <v>0.21</v>
      </c>
      <c r="AC60" s="2">
        <v>0.14000000000000001</v>
      </c>
      <c r="AD60" s="2">
        <v>0.18</v>
      </c>
      <c r="AE60" s="2">
        <v>0.26</v>
      </c>
      <c r="AF60" s="2">
        <v>0.24</v>
      </c>
      <c r="AG60" s="2">
        <v>0.11</v>
      </c>
      <c r="AH60" s="2">
        <v>0.26</v>
      </c>
      <c r="AI60" s="2">
        <v>0.23</v>
      </c>
      <c r="AJ60" s="2">
        <v>0.23</v>
      </c>
      <c r="AK60" s="2">
        <v>0.16</v>
      </c>
      <c r="AL60" s="2">
        <v>0.19</v>
      </c>
      <c r="AM60" s="2">
        <v>0.16</v>
      </c>
      <c r="AN60" s="2">
        <v>0.18</v>
      </c>
      <c r="AO60" s="2">
        <v>0.19</v>
      </c>
      <c r="AP60" s="2">
        <v>0.24</v>
      </c>
      <c r="AQ60" s="2">
        <v>0.01</v>
      </c>
      <c r="AR60" s="2">
        <v>0.01</v>
      </c>
      <c r="AS60" s="2">
        <v>0.13</v>
      </c>
      <c r="AT60" s="2">
        <v>0.14000000000000001</v>
      </c>
      <c r="AU60" s="2">
        <v>0.1</v>
      </c>
      <c r="AV60" s="2">
        <v>-0.16</v>
      </c>
      <c r="AW60" s="2">
        <v>0</v>
      </c>
      <c r="AX60" s="2">
        <v>-0.14000000000000001</v>
      </c>
      <c r="AY60" s="2">
        <v>0.33</v>
      </c>
      <c r="AZ60" s="2">
        <v>0.42</v>
      </c>
      <c r="BA60" s="2">
        <v>0.31</v>
      </c>
      <c r="BB60" s="2">
        <v>0.26</v>
      </c>
      <c r="BC60" s="2">
        <v>0.14000000000000001</v>
      </c>
      <c r="BD60" s="2">
        <v>0.48</v>
      </c>
      <c r="BE60" s="2">
        <v>0.28999999999999998</v>
      </c>
      <c r="BF60" s="2">
        <v>0.33</v>
      </c>
      <c r="BG60" s="2">
        <v>0.28000000000000003</v>
      </c>
      <c r="BH60" s="2">
        <v>1</v>
      </c>
      <c r="BI60" s="2"/>
    </row>
    <row r="61" spans="2:61" x14ac:dyDescent="0.35">
      <c r="B61" s="11" t="s">
        <v>88</v>
      </c>
      <c r="C61" s="2">
        <v>0.21</v>
      </c>
      <c r="D61" s="2">
        <v>0.03</v>
      </c>
      <c r="E61" s="2">
        <v>-0.28999999999999998</v>
      </c>
      <c r="F61" s="2">
        <v>0.27</v>
      </c>
      <c r="G61" s="2">
        <v>0.18</v>
      </c>
      <c r="H61" s="2">
        <v>0.04</v>
      </c>
      <c r="I61" s="2">
        <v>0.13</v>
      </c>
      <c r="J61" s="2">
        <v>0.06</v>
      </c>
      <c r="K61" s="2">
        <v>0</v>
      </c>
      <c r="L61" s="2">
        <v>0.28000000000000003</v>
      </c>
      <c r="M61" s="2">
        <v>0.24</v>
      </c>
      <c r="N61" s="2">
        <v>0.67</v>
      </c>
      <c r="O61" s="2">
        <v>0.67</v>
      </c>
      <c r="P61" s="2">
        <v>-0.15</v>
      </c>
      <c r="Q61" s="2">
        <v>-0.02</v>
      </c>
      <c r="R61" s="2">
        <v>-0.05</v>
      </c>
      <c r="S61" s="2">
        <v>7.0000000000000007E-2</v>
      </c>
      <c r="T61" s="2">
        <v>0.48</v>
      </c>
      <c r="U61" s="2">
        <v>0.43</v>
      </c>
      <c r="V61" s="2">
        <v>0.5</v>
      </c>
      <c r="W61" s="2">
        <v>0.17</v>
      </c>
      <c r="X61" s="2">
        <v>0.46</v>
      </c>
      <c r="Y61" s="2">
        <v>0.65</v>
      </c>
      <c r="Z61" s="2">
        <v>0.69</v>
      </c>
      <c r="AA61" s="2">
        <v>0.64</v>
      </c>
      <c r="AB61" s="2">
        <v>0.57999999999999996</v>
      </c>
      <c r="AC61" s="2">
        <v>0.48</v>
      </c>
      <c r="AD61" s="2">
        <v>0.46</v>
      </c>
      <c r="AE61" s="2">
        <v>0.63</v>
      </c>
      <c r="AF61" s="2">
        <v>0.61</v>
      </c>
      <c r="AG61" s="2">
        <v>0.23</v>
      </c>
      <c r="AH61" s="2">
        <v>0.56999999999999995</v>
      </c>
      <c r="AI61" s="2">
        <v>0.52</v>
      </c>
      <c r="AJ61" s="2">
        <v>0.65</v>
      </c>
      <c r="AK61" s="2">
        <v>0.67</v>
      </c>
      <c r="AL61" s="2">
        <v>0.65</v>
      </c>
      <c r="AM61" s="2">
        <v>0.63</v>
      </c>
      <c r="AN61" s="2">
        <v>0.63</v>
      </c>
      <c r="AO61" s="2">
        <v>0.66</v>
      </c>
      <c r="AP61" s="2">
        <v>0.61</v>
      </c>
      <c r="AQ61" s="2">
        <v>0.43</v>
      </c>
      <c r="AR61" s="2">
        <v>0.43</v>
      </c>
      <c r="AS61" s="2">
        <v>0.48</v>
      </c>
      <c r="AT61" s="2">
        <v>0.68</v>
      </c>
      <c r="AU61" s="2">
        <v>0.55000000000000004</v>
      </c>
      <c r="AV61" s="2">
        <v>0.48</v>
      </c>
      <c r="AW61" s="2">
        <v>0.48</v>
      </c>
      <c r="AX61" s="2">
        <v>0.05</v>
      </c>
      <c r="AY61" s="2">
        <v>0.37</v>
      </c>
      <c r="AZ61" s="2">
        <v>0.47</v>
      </c>
      <c r="BA61" s="2">
        <v>0.06</v>
      </c>
      <c r="BB61" s="2">
        <v>0.68</v>
      </c>
      <c r="BC61" s="2">
        <v>0.48</v>
      </c>
      <c r="BD61" s="2">
        <v>0.63</v>
      </c>
      <c r="BE61" s="2">
        <v>0.73</v>
      </c>
      <c r="BF61" s="2">
        <v>0.68</v>
      </c>
      <c r="BG61" s="2">
        <v>0.74</v>
      </c>
      <c r="BH61" s="2">
        <v>0.06</v>
      </c>
      <c r="BI61" s="2">
        <v>1</v>
      </c>
    </row>
    <row r="67" spans="2:45" ht="142" x14ac:dyDescent="0.35">
      <c r="G67" t="s">
        <v>89</v>
      </c>
      <c r="H67" t="s">
        <v>90</v>
      </c>
      <c r="I67" t="s">
        <v>91</v>
      </c>
      <c r="J67" t="s">
        <v>92</v>
      </c>
      <c r="K67" t="s">
        <v>93</v>
      </c>
      <c r="L67" t="s">
        <v>94</v>
      </c>
      <c r="M67" t="s">
        <v>95</v>
      </c>
      <c r="N67" t="s">
        <v>96</v>
      </c>
      <c r="O67" t="s">
        <v>97</v>
      </c>
      <c r="P67" t="s">
        <v>98</v>
      </c>
      <c r="Q67" t="s">
        <v>81</v>
      </c>
      <c r="R67" t="s">
        <v>99</v>
      </c>
      <c r="Y67" s="12" t="s">
        <v>89</v>
      </c>
      <c r="Z67" s="12" t="s">
        <v>90</v>
      </c>
      <c r="AA67" s="12" t="s">
        <v>96</v>
      </c>
      <c r="AB67" s="12" t="s">
        <v>95</v>
      </c>
      <c r="AC67" s="12" t="s">
        <v>92</v>
      </c>
      <c r="AD67" s="12" t="s">
        <v>100</v>
      </c>
      <c r="AE67" s="12" t="s">
        <v>101</v>
      </c>
      <c r="AF67" s="12" t="s">
        <v>102</v>
      </c>
      <c r="AG67" s="12" t="s">
        <v>93</v>
      </c>
      <c r="AH67" s="12" t="s">
        <v>103</v>
      </c>
      <c r="AI67" s="12" t="s">
        <v>104</v>
      </c>
      <c r="AJ67" s="12" t="s">
        <v>91</v>
      </c>
      <c r="AK67" s="12" t="s">
        <v>105</v>
      </c>
      <c r="AL67" s="12" t="s">
        <v>106</v>
      </c>
      <c r="AM67" s="12" t="s">
        <v>99</v>
      </c>
      <c r="AN67" s="12" t="s">
        <v>107</v>
      </c>
      <c r="AO67" s="12" t="s">
        <v>94</v>
      </c>
      <c r="AP67" s="12" t="s">
        <v>98</v>
      </c>
      <c r="AQ67" s="12" t="s">
        <v>108</v>
      </c>
      <c r="AR67" s="12" t="s">
        <v>81</v>
      </c>
      <c r="AS67" s="12" t="s">
        <v>97</v>
      </c>
    </row>
    <row r="68" spans="2:45" ht="24.5" customHeight="1" x14ac:dyDescent="0.35">
      <c r="I68" t="s">
        <v>105</v>
      </c>
      <c r="J68" t="s">
        <v>100</v>
      </c>
      <c r="K68" t="s">
        <v>103</v>
      </c>
      <c r="M68" t="s">
        <v>104</v>
      </c>
      <c r="P68" t="s">
        <v>108</v>
      </c>
      <c r="R68" t="s">
        <v>107</v>
      </c>
      <c r="X68" s="13" t="s">
        <v>89</v>
      </c>
      <c r="Y68" s="14">
        <f t="shared" ref="Y68:AN83" si="0">IFERROR(INDEX($G$72:$R$83,MATCH($X68,$B$72:$B$83,0),MATCH(Y$67,$G$67:$R$67,0)),
IFERROR(INDEX($G$72:$R$83,MATCH($X68,$B$72:$B$83,0),MATCH(Y$67,$G$68:$R$68,0)),
IFERROR(INDEX($G$72:$R$83,MATCH($X68,$B$72:$B$83,0),MATCH(Y$67,$G$69:$R$69,0)),
IFERROR(INDEX($G$72:$R$83,MATCH($X68,$B$72:$B$83,0),MATCH(Y$67,$G$70:$R$70,0)),
IFERROR(INDEX($G$72:$R$83,MATCH($X68,$C$72:$C$83,0),MATCH(Y$67,$G$67:$R$67,0)),
IFERROR(INDEX($G$72:$R$83,MATCH($X68,$C$72:$C$83,0),MATCH(Y$67,$G$68:$R$68,0)),
IFERROR(INDEX($G$72:$R$83,MATCH($X68,$C$72:$C$83,0),MATCH(Y$67,$G$69:$R$69,0)),
IFERROR(INDEX($G$72:$R$83,MATCH($X68,$C$72:$C$83,0),MATCH(Y$67,$G$70:$R$70,0)),
IFERROR(INDEX($G$72:$R$83,MATCH($X68,$D$72:$D$83,0),MATCH(Y$67,$G$67:$R$67,0)),
IFERROR(INDEX($G$72:$R$83,MATCH($X68,$D$72:$D$83,0),MATCH(Y$67,$G$68:$R$68,0)),
IFERROR(INDEX($G$72:$R$83,MATCH($X68,$D$72:$D$83,0),MATCH(Y$67,$G$69:$R$69,0)),
IFERROR(INDEX($G$72:$R$83,MATCH($X68,$D$72:$D$83,0),MATCH(Y$67,$G$70:$R$70,0)),
IFERROR(INDEX($G$72:$R$83,MATCH($X68,$E$72:$E$83,0),MATCH(Y$67,$G$67:$R$67,0)),
IFERROR(INDEX($G$72:$R$83,MATCH($X68,$E$72:$E$83,0),MATCH(Y$67,$G$68:$R$68,0)),
IFERROR(INDEX($G$72:$R$83,MATCH($X68,$E$72:$E$83,0),MATCH(Y$67,$G$69:$R$69,0)),
INDEX($G$72:$R$83,MATCH($X68,$E$72:$E$83,0),MATCH(Y$67,$G$70:$R$70,0)))))))))))))))))</f>
        <v>1</v>
      </c>
      <c r="Z68" s="14">
        <f t="shared" si="0"/>
        <v>0.83</v>
      </c>
      <c r="AA68" s="14">
        <f t="shared" si="0"/>
        <v>0.52</v>
      </c>
      <c r="AB68" s="14">
        <f t="shared" si="0"/>
        <v>0.72</v>
      </c>
      <c r="AC68" s="14">
        <f t="shared" si="0"/>
        <v>0.52</v>
      </c>
      <c r="AD68" s="14">
        <f t="shared" si="0"/>
        <v>0.52</v>
      </c>
      <c r="AE68" s="14">
        <f t="shared" si="0"/>
        <v>0.52</v>
      </c>
      <c r="AF68" s="14">
        <f t="shared" si="0"/>
        <v>0.52</v>
      </c>
      <c r="AG68" s="14">
        <f t="shared" si="0"/>
        <v>-0.02</v>
      </c>
      <c r="AH68" s="14">
        <f t="shared" si="0"/>
        <v>-0.02</v>
      </c>
      <c r="AI68" s="14">
        <f t="shared" si="0"/>
        <v>0.72</v>
      </c>
      <c r="AJ68" s="14">
        <f t="shared" si="0"/>
        <v>0.78</v>
      </c>
      <c r="AK68" s="14">
        <f t="shared" si="0"/>
        <v>0.78</v>
      </c>
      <c r="AL68" s="14">
        <f t="shared" si="0"/>
        <v>0.78</v>
      </c>
      <c r="AM68" s="14">
        <f t="shared" si="0"/>
        <v>-0.28999999999999998</v>
      </c>
      <c r="AN68" s="14">
        <f t="shared" si="0"/>
        <v>-0.28999999999999998</v>
      </c>
      <c r="AO68" s="14">
        <f t="shared" ref="AO68:AS82" si="1">IFERROR(INDEX($G$72:$R$83,MATCH($X68,$B$72:$B$83,0),MATCH(AO$67,$G$67:$R$67,0)),
IFERROR(INDEX($G$72:$R$83,MATCH($X68,$B$72:$B$83,0),MATCH(AO$67,$G$68:$R$68,0)),
IFERROR(INDEX($G$72:$R$83,MATCH($X68,$B$72:$B$83,0),MATCH(AO$67,$G$69:$R$69,0)),
IFERROR(INDEX($G$72:$R$83,MATCH($X68,$B$72:$B$83,0),MATCH(AO$67,$G$70:$R$70,0)),
IFERROR(INDEX($G$72:$R$83,MATCH($X68,$C$72:$C$83,0),MATCH(AO$67,$G$67:$R$67,0)),
IFERROR(INDEX($G$72:$R$83,MATCH($X68,$C$72:$C$83,0),MATCH(AO$67,$G$68:$R$68,0)),
IFERROR(INDEX($G$72:$R$83,MATCH($X68,$C$72:$C$83,0),MATCH(AO$67,$G$69:$R$69,0)),
IFERROR(INDEX($G$72:$R$83,MATCH($X68,$C$72:$C$83,0),MATCH(AO$67,$G$70:$R$70,0)),
IFERROR(INDEX($G$72:$R$83,MATCH($X68,$D$72:$D$83,0),MATCH(AO$67,$G$67:$R$67,0)),
IFERROR(INDEX($G$72:$R$83,MATCH($X68,$D$72:$D$83,0),MATCH(AO$67,$G$68:$R$68,0)),
IFERROR(INDEX($G$72:$R$83,MATCH($X68,$D$72:$D$83,0),MATCH(AO$67,$G$69:$R$69,0)),
IFERROR(INDEX($G$72:$R$83,MATCH($X68,$D$72:$D$83,0),MATCH(AO$67,$G$70:$R$70,0)),
IFERROR(INDEX($G$72:$R$83,MATCH($X68,$E$72:$E$83,0),MATCH(AO$67,$G$67:$R$67,0)),
IFERROR(INDEX($G$72:$R$83,MATCH($X68,$E$72:$E$83,0),MATCH(AO$67,$G$68:$R$68,0)),
IFERROR(INDEX($G$72:$R$83,MATCH($X68,$E$72:$E$83,0),MATCH(AO$67,$G$69:$R$69,0)),
INDEX($G$72:$R$83,MATCH($X68,$E$72:$E$83,0),MATCH(AO$67,$G$70:$R$70,0)))))))))))))))))</f>
        <v>-0.37</v>
      </c>
      <c r="AP68" s="14">
        <f t="shared" si="1"/>
        <v>0.24</v>
      </c>
      <c r="AQ68" s="14">
        <f t="shared" si="1"/>
        <v>0.24</v>
      </c>
      <c r="AR68" s="14">
        <f t="shared" si="1"/>
        <v>-0.33</v>
      </c>
      <c r="AS68" s="14">
        <f t="shared" si="1"/>
        <v>-0.27</v>
      </c>
    </row>
    <row r="69" spans="2:45" ht="24.5" customHeight="1" x14ac:dyDescent="0.35">
      <c r="I69" t="s">
        <v>106</v>
      </c>
      <c r="J69" t="s">
        <v>101</v>
      </c>
      <c r="X69" s="13" t="s">
        <v>90</v>
      </c>
      <c r="Y69" s="14">
        <f t="shared" si="0"/>
        <v>0.83</v>
      </c>
      <c r="Z69" s="14">
        <f t="shared" si="0"/>
        <v>1</v>
      </c>
      <c r="AA69" s="14">
        <f t="shared" si="0"/>
        <v>0.51</v>
      </c>
      <c r="AB69" s="14">
        <f t="shared" si="0"/>
        <v>0.74</v>
      </c>
      <c r="AC69" s="14">
        <f t="shared" si="0"/>
        <v>0.6</v>
      </c>
      <c r="AD69" s="14">
        <f t="shared" si="0"/>
        <v>0.6</v>
      </c>
      <c r="AE69" s="14">
        <f t="shared" si="0"/>
        <v>0.6</v>
      </c>
      <c r="AF69" s="14">
        <f t="shared" si="0"/>
        <v>0.6</v>
      </c>
      <c r="AG69" s="14">
        <f t="shared" si="0"/>
        <v>0</v>
      </c>
      <c r="AH69" s="14">
        <f t="shared" si="0"/>
        <v>0</v>
      </c>
      <c r="AI69" s="14">
        <f t="shared" si="0"/>
        <v>0.74</v>
      </c>
      <c r="AJ69" s="14">
        <f t="shared" si="0"/>
        <v>0.74</v>
      </c>
      <c r="AK69" s="14">
        <f t="shared" si="0"/>
        <v>0.74</v>
      </c>
      <c r="AL69" s="14">
        <f t="shared" si="0"/>
        <v>0.74</v>
      </c>
      <c r="AM69" s="14">
        <f t="shared" si="0"/>
        <v>0.27</v>
      </c>
      <c r="AN69" s="14">
        <f t="shared" si="0"/>
        <v>0.27</v>
      </c>
      <c r="AO69" s="14">
        <f t="shared" si="1"/>
        <v>0.28000000000000003</v>
      </c>
      <c r="AP69" s="14">
        <f t="shared" si="1"/>
        <v>0.24</v>
      </c>
      <c r="AQ69" s="14">
        <f t="shared" si="1"/>
        <v>0.24</v>
      </c>
      <c r="AR69" s="14">
        <f t="shared" si="1"/>
        <v>0.37</v>
      </c>
      <c r="AS69" s="14">
        <f t="shared" si="1"/>
        <v>0.19</v>
      </c>
    </row>
    <row r="70" spans="2:45" ht="24.5" customHeight="1" x14ac:dyDescent="0.35">
      <c r="J70" t="s">
        <v>102</v>
      </c>
      <c r="X70" s="13" t="s">
        <v>96</v>
      </c>
      <c r="Y70" s="14">
        <f t="shared" si="0"/>
        <v>0.52</v>
      </c>
      <c r="Z70" s="14">
        <f t="shared" si="0"/>
        <v>0.51</v>
      </c>
      <c r="AA70" s="14">
        <f t="shared" si="0"/>
        <v>1</v>
      </c>
      <c r="AB70" s="14">
        <f t="shared" si="0"/>
        <v>0.59</v>
      </c>
      <c r="AC70" s="14">
        <f t="shared" si="0"/>
        <v>0.69</v>
      </c>
      <c r="AD70" s="14">
        <f t="shared" si="0"/>
        <v>0.69</v>
      </c>
      <c r="AE70" s="14">
        <f t="shared" si="0"/>
        <v>0.69</v>
      </c>
      <c r="AF70" s="14">
        <f t="shared" si="0"/>
        <v>0.69</v>
      </c>
      <c r="AG70" s="14">
        <f t="shared" si="0"/>
        <v>0.42</v>
      </c>
      <c r="AH70" s="14">
        <f t="shared" si="0"/>
        <v>0.42</v>
      </c>
      <c r="AI70" s="14">
        <f t="shared" si="0"/>
        <v>0.59</v>
      </c>
      <c r="AJ70" s="14">
        <f t="shared" si="0"/>
        <v>0.69</v>
      </c>
      <c r="AK70" s="14">
        <f t="shared" si="0"/>
        <v>0.69</v>
      </c>
      <c r="AL70" s="14">
        <f t="shared" si="0"/>
        <v>0.69</v>
      </c>
      <c r="AM70" s="14">
        <f t="shared" si="0"/>
        <v>0.17</v>
      </c>
      <c r="AN70" s="14">
        <f t="shared" si="0"/>
        <v>0.17</v>
      </c>
      <c r="AO70" s="14">
        <f t="shared" si="1"/>
        <v>0.18</v>
      </c>
      <c r="AP70" s="14">
        <f t="shared" si="1"/>
        <v>0.51</v>
      </c>
      <c r="AQ70" s="14">
        <f t="shared" si="1"/>
        <v>0.51</v>
      </c>
      <c r="AR70" s="14">
        <f t="shared" si="1"/>
        <v>0.13</v>
      </c>
      <c r="AS70" s="14">
        <f t="shared" si="1"/>
        <v>0.2</v>
      </c>
    </row>
    <row r="71" spans="2:45" ht="24.5" customHeight="1" x14ac:dyDescent="0.35">
      <c r="G71" s="11" t="s">
        <v>32</v>
      </c>
      <c r="H71" s="11" t="s">
        <v>33</v>
      </c>
      <c r="I71" s="11" t="s">
        <v>36</v>
      </c>
      <c r="J71" s="11" t="s">
        <v>39</v>
      </c>
      <c r="K71" s="11" t="s">
        <v>41</v>
      </c>
      <c r="L71" s="11" t="s">
        <v>42</v>
      </c>
      <c r="M71" s="11" t="s">
        <v>45</v>
      </c>
      <c r="N71" s="11" t="s">
        <v>50</v>
      </c>
      <c r="O71" s="11" t="s">
        <v>70</v>
      </c>
      <c r="P71" s="11" t="s">
        <v>75</v>
      </c>
      <c r="Q71" s="11" t="s">
        <v>81</v>
      </c>
      <c r="R71" s="11" t="s">
        <v>88</v>
      </c>
      <c r="X71" s="13" t="s">
        <v>95</v>
      </c>
      <c r="Y71" s="14">
        <f t="shared" si="0"/>
        <v>0.72</v>
      </c>
      <c r="Z71" s="14">
        <f t="shared" si="0"/>
        <v>0.74</v>
      </c>
      <c r="AA71" s="14">
        <f t="shared" si="0"/>
        <v>0.59</v>
      </c>
      <c r="AB71" s="14">
        <f t="shared" si="0"/>
        <v>1</v>
      </c>
      <c r="AC71" s="14">
        <f t="shared" si="0"/>
        <v>0.64</v>
      </c>
      <c r="AD71" s="14">
        <f t="shared" si="0"/>
        <v>0.64</v>
      </c>
      <c r="AE71" s="14">
        <f t="shared" si="0"/>
        <v>0.64</v>
      </c>
      <c r="AF71" s="14">
        <f t="shared" si="0"/>
        <v>0.64</v>
      </c>
      <c r="AG71" s="14">
        <f t="shared" si="0"/>
        <v>0.19</v>
      </c>
      <c r="AH71" s="14">
        <f t="shared" si="0"/>
        <v>0.19</v>
      </c>
      <c r="AI71" s="14">
        <f t="shared" si="0"/>
        <v>1</v>
      </c>
      <c r="AJ71" s="14">
        <f t="shared" si="0"/>
        <v>0.7</v>
      </c>
      <c r="AK71" s="14">
        <f t="shared" si="0"/>
        <v>0.7</v>
      </c>
      <c r="AL71" s="14">
        <f t="shared" si="0"/>
        <v>0.7</v>
      </c>
      <c r="AM71" s="14">
        <f t="shared" si="0"/>
        <v>-0.05</v>
      </c>
      <c r="AN71" s="14">
        <f t="shared" si="0"/>
        <v>-0.05</v>
      </c>
      <c r="AO71" s="14">
        <f t="shared" si="1"/>
        <v>-0.1</v>
      </c>
      <c r="AP71" s="14">
        <f t="shared" si="1"/>
        <v>0.37</v>
      </c>
      <c r="AQ71" s="14">
        <f t="shared" si="1"/>
        <v>0.37</v>
      </c>
      <c r="AR71" s="14">
        <f t="shared" si="1"/>
        <v>-0.15</v>
      </c>
      <c r="AS71" s="14">
        <f t="shared" si="1"/>
        <v>-0.16</v>
      </c>
    </row>
    <row r="72" spans="2:45" ht="24.5" customHeight="1" x14ac:dyDescent="0.35">
      <c r="B72" s="13" t="s">
        <v>89</v>
      </c>
      <c r="C72" s="13"/>
      <c r="D72" s="13"/>
      <c r="E72" s="13"/>
      <c r="F72" s="11" t="s">
        <v>32</v>
      </c>
      <c r="G72" s="2">
        <v>1</v>
      </c>
      <c r="H72" s="2">
        <v>0.83</v>
      </c>
      <c r="I72" s="2">
        <v>0.78</v>
      </c>
      <c r="J72" s="2">
        <v>0.52</v>
      </c>
      <c r="K72" s="2">
        <v>-0.02</v>
      </c>
      <c r="L72" s="2">
        <v>-0.37</v>
      </c>
      <c r="M72" s="2">
        <v>0.72</v>
      </c>
      <c r="N72" s="2">
        <v>0.52</v>
      </c>
      <c r="O72" s="2">
        <v>-0.27</v>
      </c>
      <c r="P72" s="2">
        <v>0.24</v>
      </c>
      <c r="Q72" s="2">
        <v>-0.33</v>
      </c>
      <c r="R72" s="2">
        <v>-0.28999999999999998</v>
      </c>
      <c r="X72" s="13" t="s">
        <v>92</v>
      </c>
      <c r="Y72" s="14">
        <f t="shared" si="0"/>
        <v>0.52</v>
      </c>
      <c r="Z72" s="14">
        <f t="shared" si="0"/>
        <v>0.6</v>
      </c>
      <c r="AA72" s="14">
        <f t="shared" si="0"/>
        <v>0.69</v>
      </c>
      <c r="AB72" s="14">
        <f t="shared" si="0"/>
        <v>0.64</v>
      </c>
      <c r="AC72" s="14">
        <f t="shared" si="0"/>
        <v>1</v>
      </c>
      <c r="AD72" s="14">
        <f t="shared" si="0"/>
        <v>1</v>
      </c>
      <c r="AE72" s="14">
        <f t="shared" si="0"/>
        <v>1</v>
      </c>
      <c r="AF72" s="14">
        <f t="shared" si="0"/>
        <v>1</v>
      </c>
      <c r="AG72" s="14">
        <f t="shared" si="0"/>
        <v>0.66</v>
      </c>
      <c r="AH72" s="14">
        <f t="shared" si="0"/>
        <v>0.66</v>
      </c>
      <c r="AI72" s="14">
        <f t="shared" si="0"/>
        <v>0.64</v>
      </c>
      <c r="AJ72" s="14">
        <f t="shared" si="0"/>
        <v>0.75</v>
      </c>
      <c r="AK72" s="14">
        <f t="shared" si="0"/>
        <v>0.75</v>
      </c>
      <c r="AL72" s="14">
        <f t="shared" si="0"/>
        <v>0.75</v>
      </c>
      <c r="AM72" s="14">
        <f t="shared" si="0"/>
        <v>0.28000000000000003</v>
      </c>
      <c r="AN72" s="14">
        <f t="shared" si="0"/>
        <v>0.28000000000000003</v>
      </c>
      <c r="AO72" s="14">
        <f t="shared" si="1"/>
        <v>0.36</v>
      </c>
      <c r="AP72" s="14">
        <f t="shared" si="1"/>
        <v>0.51</v>
      </c>
      <c r="AQ72" s="14">
        <f t="shared" si="1"/>
        <v>0.51</v>
      </c>
      <c r="AR72" s="14">
        <f t="shared" si="1"/>
        <v>0.36</v>
      </c>
      <c r="AS72" s="14">
        <f t="shared" si="1"/>
        <v>0</v>
      </c>
    </row>
    <row r="73" spans="2:45" ht="24.5" customHeight="1" x14ac:dyDescent="0.35">
      <c r="B73" s="13" t="s">
        <v>90</v>
      </c>
      <c r="C73" s="13"/>
      <c r="D73" s="13"/>
      <c r="E73" s="13"/>
      <c r="F73" s="11" t="s">
        <v>33</v>
      </c>
      <c r="G73" s="2">
        <v>0.83</v>
      </c>
      <c r="H73" s="2">
        <v>1</v>
      </c>
      <c r="I73" s="2">
        <v>0.74</v>
      </c>
      <c r="J73" s="2">
        <v>0.6</v>
      </c>
      <c r="K73" s="2">
        <v>0</v>
      </c>
      <c r="L73" s="2">
        <v>0.28000000000000003</v>
      </c>
      <c r="M73" s="2">
        <v>0.74</v>
      </c>
      <c r="N73" s="2">
        <v>0.51</v>
      </c>
      <c r="O73" s="2">
        <v>0.19</v>
      </c>
      <c r="P73" s="2">
        <v>0.24</v>
      </c>
      <c r="Q73" s="2">
        <v>0.37</v>
      </c>
      <c r="R73" s="2">
        <v>0.27</v>
      </c>
      <c r="X73" s="13" t="s">
        <v>100</v>
      </c>
      <c r="Y73" s="14">
        <f t="shared" si="0"/>
        <v>0.52</v>
      </c>
      <c r="Z73" s="14">
        <f t="shared" si="0"/>
        <v>0.6</v>
      </c>
      <c r="AA73" s="14">
        <f t="shared" si="0"/>
        <v>0.69</v>
      </c>
      <c r="AB73" s="14">
        <f t="shared" si="0"/>
        <v>0.64</v>
      </c>
      <c r="AC73" s="14">
        <f t="shared" si="0"/>
        <v>1</v>
      </c>
      <c r="AD73" s="14">
        <f t="shared" si="0"/>
        <v>1</v>
      </c>
      <c r="AE73" s="14">
        <f t="shared" si="0"/>
        <v>1</v>
      </c>
      <c r="AF73" s="14">
        <f t="shared" si="0"/>
        <v>1</v>
      </c>
      <c r="AG73" s="14">
        <f t="shared" si="0"/>
        <v>0.66</v>
      </c>
      <c r="AH73" s="14">
        <f t="shared" si="0"/>
        <v>0.66</v>
      </c>
      <c r="AI73" s="14">
        <f t="shared" si="0"/>
        <v>0.64</v>
      </c>
      <c r="AJ73" s="14">
        <f t="shared" si="0"/>
        <v>0.75</v>
      </c>
      <c r="AK73" s="14">
        <f t="shared" si="0"/>
        <v>0.75</v>
      </c>
      <c r="AL73" s="14">
        <f t="shared" si="0"/>
        <v>0.75</v>
      </c>
      <c r="AM73" s="14">
        <f t="shared" si="0"/>
        <v>0.28000000000000003</v>
      </c>
      <c r="AN73" s="14">
        <f t="shared" si="0"/>
        <v>0.28000000000000003</v>
      </c>
      <c r="AO73" s="14">
        <f t="shared" si="1"/>
        <v>0.36</v>
      </c>
      <c r="AP73" s="14">
        <f t="shared" si="1"/>
        <v>0.51</v>
      </c>
      <c r="AQ73" s="14">
        <f t="shared" si="1"/>
        <v>0.51</v>
      </c>
      <c r="AR73" s="14">
        <f t="shared" si="1"/>
        <v>0.36</v>
      </c>
      <c r="AS73" s="14">
        <f t="shared" si="1"/>
        <v>0</v>
      </c>
    </row>
    <row r="74" spans="2:45" ht="24.5" customHeight="1" x14ac:dyDescent="0.35">
      <c r="B74" t="s">
        <v>91</v>
      </c>
      <c r="C74" t="s">
        <v>105</v>
      </c>
      <c r="D74" t="s">
        <v>106</v>
      </c>
      <c r="F74" s="11" t="s">
        <v>36</v>
      </c>
      <c r="G74" s="2">
        <v>0.78</v>
      </c>
      <c r="H74" s="2">
        <v>0.74</v>
      </c>
      <c r="I74" s="2">
        <v>1</v>
      </c>
      <c r="J74" s="2">
        <v>0.75</v>
      </c>
      <c r="K74" s="2">
        <v>0.38</v>
      </c>
      <c r="L74" s="2">
        <v>0.04</v>
      </c>
      <c r="M74" s="2">
        <v>0.7</v>
      </c>
      <c r="N74" s="2">
        <v>0.69</v>
      </c>
      <c r="O74" s="2">
        <v>-0.09</v>
      </c>
      <c r="P74" s="2">
        <v>0.5</v>
      </c>
      <c r="Q74" s="2">
        <v>0.02</v>
      </c>
      <c r="R74" s="2">
        <v>0.13</v>
      </c>
      <c r="X74" s="13" t="s">
        <v>101</v>
      </c>
      <c r="Y74" s="14">
        <f t="shared" si="0"/>
        <v>0.52</v>
      </c>
      <c r="Z74" s="14">
        <f t="shared" si="0"/>
        <v>0.6</v>
      </c>
      <c r="AA74" s="14">
        <f t="shared" si="0"/>
        <v>0.69</v>
      </c>
      <c r="AB74" s="14">
        <f t="shared" si="0"/>
        <v>0.64</v>
      </c>
      <c r="AC74" s="14">
        <f t="shared" si="0"/>
        <v>1</v>
      </c>
      <c r="AD74" s="14">
        <f t="shared" si="0"/>
        <v>1</v>
      </c>
      <c r="AE74" s="14">
        <f t="shared" si="0"/>
        <v>1</v>
      </c>
      <c r="AF74" s="14">
        <f t="shared" si="0"/>
        <v>1</v>
      </c>
      <c r="AG74" s="14">
        <f t="shared" si="0"/>
        <v>0.66</v>
      </c>
      <c r="AH74" s="14">
        <f t="shared" si="0"/>
        <v>0.66</v>
      </c>
      <c r="AI74" s="14">
        <f t="shared" si="0"/>
        <v>0.64</v>
      </c>
      <c r="AJ74" s="14">
        <f t="shared" si="0"/>
        <v>0.75</v>
      </c>
      <c r="AK74" s="14">
        <f t="shared" si="0"/>
        <v>0.75</v>
      </c>
      <c r="AL74" s="14">
        <f t="shared" si="0"/>
        <v>0.75</v>
      </c>
      <c r="AM74" s="14">
        <f t="shared" si="0"/>
        <v>0.28000000000000003</v>
      </c>
      <c r="AN74" s="14">
        <f t="shared" si="0"/>
        <v>0.28000000000000003</v>
      </c>
      <c r="AO74" s="14">
        <f t="shared" si="1"/>
        <v>0.36</v>
      </c>
      <c r="AP74" s="14">
        <f t="shared" si="1"/>
        <v>0.51</v>
      </c>
      <c r="AQ74" s="14">
        <f t="shared" si="1"/>
        <v>0.51</v>
      </c>
      <c r="AR74" s="14">
        <f t="shared" si="1"/>
        <v>0.36</v>
      </c>
      <c r="AS74" s="14">
        <f t="shared" si="1"/>
        <v>0</v>
      </c>
    </row>
    <row r="75" spans="2:45" ht="24.5" customHeight="1" x14ac:dyDescent="0.35">
      <c r="B75" t="s">
        <v>92</v>
      </c>
      <c r="C75" t="s">
        <v>100</v>
      </c>
      <c r="D75" t="s">
        <v>101</v>
      </c>
      <c r="E75" t="s">
        <v>102</v>
      </c>
      <c r="F75" s="11" t="s">
        <v>39</v>
      </c>
      <c r="G75" s="2">
        <v>0.52</v>
      </c>
      <c r="H75" s="2">
        <v>0.6</v>
      </c>
      <c r="I75" s="2">
        <v>0.75</v>
      </c>
      <c r="J75" s="2">
        <v>1</v>
      </c>
      <c r="K75" s="2">
        <v>0.66</v>
      </c>
      <c r="L75" s="2">
        <v>0.36</v>
      </c>
      <c r="M75" s="2">
        <v>0.64</v>
      </c>
      <c r="N75" s="2">
        <v>0.69</v>
      </c>
      <c r="O75" s="2">
        <v>0</v>
      </c>
      <c r="P75" s="2">
        <v>0.51</v>
      </c>
      <c r="Q75" s="2">
        <v>0.36</v>
      </c>
      <c r="R75" s="2">
        <v>0.28000000000000003</v>
      </c>
      <c r="X75" s="13" t="s">
        <v>102</v>
      </c>
      <c r="Y75" s="14">
        <f t="shared" si="0"/>
        <v>0.52</v>
      </c>
      <c r="Z75" s="14">
        <f t="shared" si="0"/>
        <v>0.6</v>
      </c>
      <c r="AA75" s="14">
        <f t="shared" si="0"/>
        <v>0.69</v>
      </c>
      <c r="AB75" s="14">
        <f t="shared" si="0"/>
        <v>0.64</v>
      </c>
      <c r="AC75" s="14">
        <f t="shared" si="0"/>
        <v>1</v>
      </c>
      <c r="AD75" s="14">
        <f t="shared" si="0"/>
        <v>1</v>
      </c>
      <c r="AE75" s="14">
        <f t="shared" si="0"/>
        <v>1</v>
      </c>
      <c r="AF75" s="14">
        <f t="shared" si="0"/>
        <v>1</v>
      </c>
      <c r="AG75" s="14">
        <f t="shared" si="0"/>
        <v>0.66</v>
      </c>
      <c r="AH75" s="14">
        <f t="shared" si="0"/>
        <v>0.66</v>
      </c>
      <c r="AI75" s="14">
        <f t="shared" si="0"/>
        <v>0.64</v>
      </c>
      <c r="AJ75" s="14">
        <f t="shared" si="0"/>
        <v>0.75</v>
      </c>
      <c r="AK75" s="14">
        <f t="shared" si="0"/>
        <v>0.75</v>
      </c>
      <c r="AL75" s="14">
        <f t="shared" si="0"/>
        <v>0.75</v>
      </c>
      <c r="AM75" s="14">
        <f t="shared" si="0"/>
        <v>0.28000000000000003</v>
      </c>
      <c r="AN75" s="14">
        <f t="shared" si="0"/>
        <v>0.28000000000000003</v>
      </c>
      <c r="AO75" s="14">
        <f t="shared" si="1"/>
        <v>0.36</v>
      </c>
      <c r="AP75" s="14">
        <f t="shared" si="1"/>
        <v>0.51</v>
      </c>
      <c r="AQ75" s="14">
        <f t="shared" si="1"/>
        <v>0.51</v>
      </c>
      <c r="AR75" s="14">
        <f t="shared" si="1"/>
        <v>0.36</v>
      </c>
      <c r="AS75" s="14">
        <f t="shared" si="1"/>
        <v>0</v>
      </c>
    </row>
    <row r="76" spans="2:45" ht="24.5" customHeight="1" x14ac:dyDescent="0.35">
      <c r="B76" s="13" t="s">
        <v>93</v>
      </c>
      <c r="C76" s="13" t="s">
        <v>103</v>
      </c>
      <c r="D76" s="13"/>
      <c r="E76" s="13"/>
      <c r="F76" s="11" t="s">
        <v>41</v>
      </c>
      <c r="G76" s="2">
        <v>-0.02</v>
      </c>
      <c r="H76" s="2">
        <v>0</v>
      </c>
      <c r="I76" s="2">
        <v>0.38</v>
      </c>
      <c r="J76" s="2">
        <v>0.66</v>
      </c>
      <c r="K76" s="2">
        <v>1</v>
      </c>
      <c r="L76" s="2">
        <v>0.77</v>
      </c>
      <c r="M76" s="2">
        <v>0.19</v>
      </c>
      <c r="N76" s="2">
        <v>0.42</v>
      </c>
      <c r="O76" s="2">
        <v>0.35</v>
      </c>
      <c r="P76" s="2">
        <v>0.49</v>
      </c>
      <c r="Q76" s="2">
        <v>0.72</v>
      </c>
      <c r="R76" s="2">
        <v>0.67</v>
      </c>
      <c r="X76" s="13" t="s">
        <v>93</v>
      </c>
      <c r="Y76" s="14">
        <f t="shared" si="0"/>
        <v>-0.02</v>
      </c>
      <c r="Z76" s="14">
        <f t="shared" si="0"/>
        <v>0</v>
      </c>
      <c r="AA76" s="14">
        <f t="shared" si="0"/>
        <v>0.42</v>
      </c>
      <c r="AB76" s="14">
        <f t="shared" si="0"/>
        <v>0.19</v>
      </c>
      <c r="AC76" s="14">
        <f t="shared" si="0"/>
        <v>0.66</v>
      </c>
      <c r="AD76" s="14">
        <f t="shared" si="0"/>
        <v>0.66</v>
      </c>
      <c r="AE76" s="14">
        <f t="shared" si="0"/>
        <v>0.66</v>
      </c>
      <c r="AF76" s="14">
        <f t="shared" si="0"/>
        <v>0.66</v>
      </c>
      <c r="AG76" s="14">
        <f t="shared" si="0"/>
        <v>1</v>
      </c>
      <c r="AH76" s="14">
        <f t="shared" si="0"/>
        <v>1</v>
      </c>
      <c r="AI76" s="14">
        <f t="shared" si="0"/>
        <v>0.19</v>
      </c>
      <c r="AJ76" s="14">
        <f t="shared" si="0"/>
        <v>0.38</v>
      </c>
      <c r="AK76" s="14">
        <f t="shared" si="0"/>
        <v>0.38</v>
      </c>
      <c r="AL76" s="14">
        <f t="shared" si="0"/>
        <v>0.38</v>
      </c>
      <c r="AM76" s="14">
        <f t="shared" si="0"/>
        <v>0.67</v>
      </c>
      <c r="AN76" s="14">
        <f t="shared" si="0"/>
        <v>0.67</v>
      </c>
      <c r="AO76" s="14">
        <f t="shared" si="1"/>
        <v>0.77</v>
      </c>
      <c r="AP76" s="14">
        <f t="shared" si="1"/>
        <v>0.49</v>
      </c>
      <c r="AQ76" s="14">
        <f t="shared" si="1"/>
        <v>0.49</v>
      </c>
      <c r="AR76" s="14">
        <f t="shared" si="1"/>
        <v>0.72</v>
      </c>
      <c r="AS76" s="14">
        <f t="shared" si="1"/>
        <v>0.35</v>
      </c>
    </row>
    <row r="77" spans="2:45" ht="24.5" customHeight="1" x14ac:dyDescent="0.35">
      <c r="B77" s="13" t="s">
        <v>94</v>
      </c>
      <c r="C77" s="13"/>
      <c r="D77" s="13"/>
      <c r="E77" s="13"/>
      <c r="F77" s="11" t="s">
        <v>42</v>
      </c>
      <c r="G77" s="2">
        <v>-0.37</v>
      </c>
      <c r="H77" s="2">
        <v>0.28000000000000003</v>
      </c>
      <c r="I77" s="2">
        <v>0.04</v>
      </c>
      <c r="J77" s="2">
        <v>0.36</v>
      </c>
      <c r="K77" s="2">
        <v>0.77</v>
      </c>
      <c r="L77" s="2">
        <v>1</v>
      </c>
      <c r="M77" s="2">
        <v>-0.1</v>
      </c>
      <c r="N77" s="2">
        <v>0.18</v>
      </c>
      <c r="O77" s="2">
        <v>0.44</v>
      </c>
      <c r="P77" s="2">
        <v>0.43</v>
      </c>
      <c r="Q77" s="2">
        <v>0.68</v>
      </c>
      <c r="R77" s="2">
        <v>0.67</v>
      </c>
      <c r="X77" s="13" t="s">
        <v>103</v>
      </c>
      <c r="Y77" s="14">
        <f t="shared" si="0"/>
        <v>-0.02</v>
      </c>
      <c r="Z77" s="14">
        <f t="shared" si="0"/>
        <v>0</v>
      </c>
      <c r="AA77" s="14">
        <f t="shared" si="0"/>
        <v>0.42</v>
      </c>
      <c r="AB77" s="14">
        <f t="shared" si="0"/>
        <v>0.19</v>
      </c>
      <c r="AC77" s="14">
        <f t="shared" si="0"/>
        <v>0.66</v>
      </c>
      <c r="AD77" s="14">
        <f t="shared" si="0"/>
        <v>0.66</v>
      </c>
      <c r="AE77" s="14">
        <f t="shared" si="0"/>
        <v>0.66</v>
      </c>
      <c r="AF77" s="14">
        <f t="shared" si="0"/>
        <v>0.66</v>
      </c>
      <c r="AG77" s="14">
        <f t="shared" si="0"/>
        <v>1</v>
      </c>
      <c r="AH77" s="14">
        <f t="shared" si="0"/>
        <v>1</v>
      </c>
      <c r="AI77" s="14">
        <f t="shared" si="0"/>
        <v>0.19</v>
      </c>
      <c r="AJ77" s="14">
        <f t="shared" si="0"/>
        <v>0.38</v>
      </c>
      <c r="AK77" s="14">
        <f t="shared" si="0"/>
        <v>0.38</v>
      </c>
      <c r="AL77" s="14">
        <f t="shared" si="0"/>
        <v>0.38</v>
      </c>
      <c r="AM77" s="14">
        <f t="shared" si="0"/>
        <v>0.67</v>
      </c>
      <c r="AN77" s="14">
        <f t="shared" si="0"/>
        <v>0.67</v>
      </c>
      <c r="AO77" s="14">
        <f t="shared" si="1"/>
        <v>0.77</v>
      </c>
      <c r="AP77" s="14">
        <f t="shared" si="1"/>
        <v>0.49</v>
      </c>
      <c r="AQ77" s="14">
        <f t="shared" si="1"/>
        <v>0.49</v>
      </c>
      <c r="AR77" s="14">
        <f t="shared" si="1"/>
        <v>0.72</v>
      </c>
      <c r="AS77" s="14">
        <f t="shared" si="1"/>
        <v>0.35</v>
      </c>
    </row>
    <row r="78" spans="2:45" ht="24.5" customHeight="1" x14ac:dyDescent="0.35">
      <c r="B78" s="13" t="s">
        <v>95</v>
      </c>
      <c r="C78" s="13" t="s">
        <v>104</v>
      </c>
      <c r="D78" s="13"/>
      <c r="E78" s="13"/>
      <c r="F78" s="11" t="s">
        <v>45</v>
      </c>
      <c r="G78" s="2">
        <v>0.72</v>
      </c>
      <c r="H78" s="2">
        <v>0.74</v>
      </c>
      <c r="I78" s="2">
        <v>0.7</v>
      </c>
      <c r="J78" s="2">
        <v>0.64</v>
      </c>
      <c r="K78" s="2">
        <v>0.19</v>
      </c>
      <c r="L78" s="2">
        <v>-0.1</v>
      </c>
      <c r="M78" s="2">
        <v>1</v>
      </c>
      <c r="N78" s="2">
        <v>0.59</v>
      </c>
      <c r="O78" s="2">
        <v>-0.16</v>
      </c>
      <c r="P78" s="2">
        <v>0.37</v>
      </c>
      <c r="Q78" s="2">
        <v>-0.15</v>
      </c>
      <c r="R78" s="2">
        <v>-0.05</v>
      </c>
      <c r="X78" s="13" t="s">
        <v>104</v>
      </c>
      <c r="Y78" s="14">
        <f t="shared" si="0"/>
        <v>0.72</v>
      </c>
      <c r="Z78" s="14">
        <f t="shared" si="0"/>
        <v>0.74</v>
      </c>
      <c r="AA78" s="14">
        <f t="shared" si="0"/>
        <v>0.59</v>
      </c>
      <c r="AB78" s="14">
        <f t="shared" si="0"/>
        <v>1</v>
      </c>
      <c r="AC78" s="14">
        <f t="shared" si="0"/>
        <v>0.64</v>
      </c>
      <c r="AD78" s="14">
        <f t="shared" si="0"/>
        <v>0.64</v>
      </c>
      <c r="AE78" s="14">
        <f t="shared" si="0"/>
        <v>0.64</v>
      </c>
      <c r="AF78" s="14">
        <f t="shared" si="0"/>
        <v>0.64</v>
      </c>
      <c r="AG78" s="14">
        <f t="shared" si="0"/>
        <v>0.19</v>
      </c>
      <c r="AH78" s="14">
        <f t="shared" si="0"/>
        <v>0.19</v>
      </c>
      <c r="AI78" s="14">
        <f t="shared" si="0"/>
        <v>1</v>
      </c>
      <c r="AJ78" s="14">
        <f t="shared" si="0"/>
        <v>0.7</v>
      </c>
      <c r="AK78" s="14">
        <f t="shared" si="0"/>
        <v>0.7</v>
      </c>
      <c r="AL78" s="14">
        <f t="shared" si="0"/>
        <v>0.7</v>
      </c>
      <c r="AM78" s="14">
        <f t="shared" si="0"/>
        <v>-0.05</v>
      </c>
      <c r="AN78" s="14">
        <f t="shared" si="0"/>
        <v>-0.05</v>
      </c>
      <c r="AO78" s="14">
        <f t="shared" si="1"/>
        <v>-0.1</v>
      </c>
      <c r="AP78" s="14">
        <f t="shared" si="1"/>
        <v>0.37</v>
      </c>
      <c r="AQ78" s="14">
        <f t="shared" si="1"/>
        <v>0.37</v>
      </c>
      <c r="AR78" s="14">
        <f t="shared" si="1"/>
        <v>-0.15</v>
      </c>
      <c r="AS78" s="14">
        <f t="shared" si="1"/>
        <v>-0.16</v>
      </c>
    </row>
    <row r="79" spans="2:45" ht="24.5" customHeight="1" x14ac:dyDescent="0.35">
      <c r="B79" s="13" t="s">
        <v>96</v>
      </c>
      <c r="C79" s="13"/>
      <c r="D79" s="13"/>
      <c r="E79" s="13"/>
      <c r="F79" s="11" t="s">
        <v>50</v>
      </c>
      <c r="G79" s="2">
        <v>0.52</v>
      </c>
      <c r="H79" s="2">
        <v>0.51</v>
      </c>
      <c r="I79" s="2">
        <v>0.69</v>
      </c>
      <c r="J79" s="2">
        <v>0.69</v>
      </c>
      <c r="K79" s="2">
        <v>0.42</v>
      </c>
      <c r="L79" s="2">
        <v>0.18</v>
      </c>
      <c r="M79" s="2">
        <v>0.59</v>
      </c>
      <c r="N79" s="2">
        <v>1</v>
      </c>
      <c r="O79" s="2">
        <v>0.2</v>
      </c>
      <c r="P79" s="2">
        <v>0.51</v>
      </c>
      <c r="Q79" s="2">
        <v>0.13</v>
      </c>
      <c r="R79" s="2">
        <v>0.17</v>
      </c>
      <c r="X79" s="13" t="s">
        <v>91</v>
      </c>
      <c r="Y79" s="14">
        <f t="shared" si="0"/>
        <v>0.78</v>
      </c>
      <c r="Z79" s="14">
        <f t="shared" si="0"/>
        <v>0.74</v>
      </c>
      <c r="AA79" s="14">
        <f t="shared" si="0"/>
        <v>0.69</v>
      </c>
      <c r="AB79" s="14">
        <f t="shared" si="0"/>
        <v>0.7</v>
      </c>
      <c r="AC79" s="14">
        <f t="shared" si="0"/>
        <v>0.75</v>
      </c>
      <c r="AD79" s="14">
        <f t="shared" si="0"/>
        <v>0.75</v>
      </c>
      <c r="AE79" s="14">
        <f t="shared" si="0"/>
        <v>0.75</v>
      </c>
      <c r="AF79" s="14">
        <f t="shared" si="0"/>
        <v>0.75</v>
      </c>
      <c r="AG79" s="14">
        <f t="shared" si="0"/>
        <v>0.38</v>
      </c>
      <c r="AH79" s="14">
        <f t="shared" si="0"/>
        <v>0.38</v>
      </c>
      <c r="AI79" s="14">
        <f t="shared" si="0"/>
        <v>0.7</v>
      </c>
      <c r="AJ79" s="14">
        <f t="shared" si="0"/>
        <v>1</v>
      </c>
      <c r="AK79" s="14">
        <f t="shared" si="0"/>
        <v>1</v>
      </c>
      <c r="AL79" s="14">
        <f t="shared" si="0"/>
        <v>1</v>
      </c>
      <c r="AM79" s="14">
        <f t="shared" si="0"/>
        <v>0.13</v>
      </c>
      <c r="AN79" s="14">
        <f t="shared" si="0"/>
        <v>0.13</v>
      </c>
      <c r="AO79" s="14">
        <f t="shared" si="1"/>
        <v>0.04</v>
      </c>
      <c r="AP79" s="14">
        <f t="shared" si="1"/>
        <v>0.5</v>
      </c>
      <c r="AQ79" s="14">
        <f t="shared" si="1"/>
        <v>0.5</v>
      </c>
      <c r="AR79" s="14">
        <f t="shared" si="1"/>
        <v>0.02</v>
      </c>
      <c r="AS79" s="14">
        <f t="shared" si="1"/>
        <v>-0.09</v>
      </c>
    </row>
    <row r="80" spans="2:45" ht="24.5" customHeight="1" x14ac:dyDescent="0.35">
      <c r="B80" s="13" t="s">
        <v>97</v>
      </c>
      <c r="C80" s="13"/>
      <c r="D80" s="13"/>
      <c r="E80" s="13"/>
      <c r="F80" s="11" t="s">
        <v>70</v>
      </c>
      <c r="G80" s="2">
        <v>-0.27</v>
      </c>
      <c r="H80" s="2">
        <v>0.19</v>
      </c>
      <c r="I80" s="2">
        <v>-0.09</v>
      </c>
      <c r="J80" s="2">
        <v>0</v>
      </c>
      <c r="K80" s="2">
        <v>0.35</v>
      </c>
      <c r="L80" s="2">
        <v>0.44</v>
      </c>
      <c r="M80" s="2">
        <v>-0.16</v>
      </c>
      <c r="N80" s="2">
        <v>0.2</v>
      </c>
      <c r="O80" s="2">
        <v>1</v>
      </c>
      <c r="P80" s="2">
        <v>0.31</v>
      </c>
      <c r="Q80" s="2">
        <v>0.34</v>
      </c>
      <c r="R80" s="2">
        <v>0.43</v>
      </c>
      <c r="X80" s="13" t="s">
        <v>105</v>
      </c>
      <c r="Y80" s="14">
        <f t="shared" si="0"/>
        <v>0.78</v>
      </c>
      <c r="Z80" s="14">
        <f t="shared" si="0"/>
        <v>0.74</v>
      </c>
      <c r="AA80" s="14">
        <f t="shared" si="0"/>
        <v>0.69</v>
      </c>
      <c r="AB80" s="14">
        <f t="shared" si="0"/>
        <v>0.7</v>
      </c>
      <c r="AC80" s="14">
        <f t="shared" si="0"/>
        <v>0.75</v>
      </c>
      <c r="AD80" s="14">
        <f t="shared" si="0"/>
        <v>0.75</v>
      </c>
      <c r="AE80" s="14">
        <f t="shared" si="0"/>
        <v>0.75</v>
      </c>
      <c r="AF80" s="14">
        <f t="shared" si="0"/>
        <v>0.75</v>
      </c>
      <c r="AG80" s="14">
        <f t="shared" si="0"/>
        <v>0.38</v>
      </c>
      <c r="AH80" s="14">
        <f t="shared" si="0"/>
        <v>0.38</v>
      </c>
      <c r="AI80" s="14">
        <f t="shared" si="0"/>
        <v>0.7</v>
      </c>
      <c r="AJ80" s="14">
        <f t="shared" si="0"/>
        <v>1</v>
      </c>
      <c r="AK80" s="14">
        <f t="shared" si="0"/>
        <v>1</v>
      </c>
      <c r="AL80" s="14">
        <f t="shared" si="0"/>
        <v>1</v>
      </c>
      <c r="AM80" s="14">
        <f t="shared" si="0"/>
        <v>0.13</v>
      </c>
      <c r="AN80" s="14">
        <f t="shared" si="0"/>
        <v>0.13</v>
      </c>
      <c r="AO80" s="14">
        <f t="shared" si="1"/>
        <v>0.04</v>
      </c>
      <c r="AP80" s="14">
        <f t="shared" si="1"/>
        <v>0.5</v>
      </c>
      <c r="AQ80" s="14">
        <f t="shared" si="1"/>
        <v>0.5</v>
      </c>
      <c r="AR80" s="14">
        <f t="shared" si="1"/>
        <v>0.02</v>
      </c>
      <c r="AS80" s="14">
        <f t="shared" si="1"/>
        <v>-0.09</v>
      </c>
    </row>
    <row r="81" spans="2:45" ht="24.5" customHeight="1" x14ac:dyDescent="0.35">
      <c r="B81" s="13" t="s">
        <v>98</v>
      </c>
      <c r="C81" s="13" t="s">
        <v>108</v>
      </c>
      <c r="D81" s="13"/>
      <c r="E81" s="13"/>
      <c r="F81" s="11" t="s">
        <v>75</v>
      </c>
      <c r="G81" s="2">
        <v>0.24</v>
      </c>
      <c r="H81" s="2">
        <v>0.24</v>
      </c>
      <c r="I81" s="2">
        <v>0.5</v>
      </c>
      <c r="J81" s="2">
        <v>0.51</v>
      </c>
      <c r="K81" s="2">
        <v>0.49</v>
      </c>
      <c r="L81" s="2">
        <v>0.43</v>
      </c>
      <c r="M81" s="2">
        <v>0.37</v>
      </c>
      <c r="N81" s="2">
        <v>0.51</v>
      </c>
      <c r="O81" s="2">
        <v>0.31</v>
      </c>
      <c r="P81" s="2">
        <v>1</v>
      </c>
      <c r="Q81" s="2">
        <v>0.35</v>
      </c>
      <c r="R81" s="2">
        <v>0.48</v>
      </c>
      <c r="X81" s="13" t="s">
        <v>106</v>
      </c>
      <c r="Y81" s="14">
        <f t="shared" si="0"/>
        <v>0.78</v>
      </c>
      <c r="Z81" s="14">
        <f t="shared" si="0"/>
        <v>0.74</v>
      </c>
      <c r="AA81" s="14">
        <f t="shared" si="0"/>
        <v>0.69</v>
      </c>
      <c r="AB81" s="14">
        <f t="shared" si="0"/>
        <v>0.7</v>
      </c>
      <c r="AC81" s="14">
        <f t="shared" si="0"/>
        <v>0.75</v>
      </c>
      <c r="AD81" s="14">
        <f t="shared" si="0"/>
        <v>0.75</v>
      </c>
      <c r="AE81" s="14">
        <f t="shared" si="0"/>
        <v>0.75</v>
      </c>
      <c r="AF81" s="14">
        <f t="shared" si="0"/>
        <v>0.75</v>
      </c>
      <c r="AG81" s="14">
        <f t="shared" si="0"/>
        <v>0.38</v>
      </c>
      <c r="AH81" s="14">
        <f t="shared" si="0"/>
        <v>0.38</v>
      </c>
      <c r="AI81" s="14">
        <f t="shared" si="0"/>
        <v>0.7</v>
      </c>
      <c r="AJ81" s="14">
        <f t="shared" si="0"/>
        <v>1</v>
      </c>
      <c r="AK81" s="14">
        <f t="shared" si="0"/>
        <v>1</v>
      </c>
      <c r="AL81" s="14">
        <f t="shared" si="0"/>
        <v>1</v>
      </c>
      <c r="AM81" s="14">
        <f t="shared" si="0"/>
        <v>0.13</v>
      </c>
      <c r="AN81" s="14">
        <f t="shared" si="0"/>
        <v>0.13</v>
      </c>
      <c r="AO81" s="14">
        <f t="shared" si="1"/>
        <v>0.04</v>
      </c>
      <c r="AP81" s="14">
        <f t="shared" si="1"/>
        <v>0.5</v>
      </c>
      <c r="AQ81" s="14">
        <f t="shared" si="1"/>
        <v>0.5</v>
      </c>
      <c r="AR81" s="14">
        <f t="shared" si="1"/>
        <v>0.02</v>
      </c>
      <c r="AS81" s="14">
        <f t="shared" si="1"/>
        <v>-0.09</v>
      </c>
    </row>
    <row r="82" spans="2:45" ht="24.5" customHeight="1" x14ac:dyDescent="0.35">
      <c r="B82" s="13" t="s">
        <v>81</v>
      </c>
      <c r="C82" s="13"/>
      <c r="D82" s="13"/>
      <c r="E82" s="13"/>
      <c r="F82" s="11" t="s">
        <v>81</v>
      </c>
      <c r="G82" s="2">
        <v>-0.33</v>
      </c>
      <c r="H82" s="2">
        <v>0.37</v>
      </c>
      <c r="I82" s="2">
        <v>0.02</v>
      </c>
      <c r="J82" s="2">
        <v>0.36</v>
      </c>
      <c r="K82" s="2">
        <v>0.72</v>
      </c>
      <c r="L82" s="2">
        <v>0.68</v>
      </c>
      <c r="M82" s="2">
        <v>-0.15</v>
      </c>
      <c r="N82" s="2">
        <v>0.13</v>
      </c>
      <c r="O82" s="2">
        <v>0.34</v>
      </c>
      <c r="P82" s="2">
        <v>0.35</v>
      </c>
      <c r="Q82" s="2">
        <v>1</v>
      </c>
      <c r="R82" s="2">
        <v>0.68</v>
      </c>
      <c r="X82" s="13" t="s">
        <v>99</v>
      </c>
      <c r="Y82" s="14">
        <f t="shared" si="0"/>
        <v>-0.28999999999999998</v>
      </c>
      <c r="Z82" s="14">
        <f t="shared" si="0"/>
        <v>0.27</v>
      </c>
      <c r="AA82" s="14">
        <f t="shared" si="0"/>
        <v>0.17</v>
      </c>
      <c r="AB82" s="14">
        <f t="shared" si="0"/>
        <v>-0.05</v>
      </c>
      <c r="AC82" s="14">
        <f t="shared" si="0"/>
        <v>0.28000000000000003</v>
      </c>
      <c r="AD82" s="14">
        <f t="shared" si="0"/>
        <v>0.28000000000000003</v>
      </c>
      <c r="AE82" s="14">
        <f t="shared" si="0"/>
        <v>0.28000000000000003</v>
      </c>
      <c r="AF82" s="14">
        <f t="shared" si="0"/>
        <v>0.28000000000000003</v>
      </c>
      <c r="AG82" s="14">
        <f t="shared" si="0"/>
        <v>0.67</v>
      </c>
      <c r="AH82" s="14">
        <f t="shared" si="0"/>
        <v>0.67</v>
      </c>
      <c r="AI82" s="14">
        <f t="shared" si="0"/>
        <v>-0.05</v>
      </c>
      <c r="AJ82" s="14">
        <f t="shared" si="0"/>
        <v>0.13</v>
      </c>
      <c r="AK82" s="14">
        <f t="shared" si="0"/>
        <v>0.13</v>
      </c>
      <c r="AL82" s="14">
        <f t="shared" si="0"/>
        <v>0.13</v>
      </c>
      <c r="AM82" s="14">
        <f t="shared" si="0"/>
        <v>1</v>
      </c>
      <c r="AN82" s="14">
        <f t="shared" si="0"/>
        <v>1</v>
      </c>
      <c r="AO82" s="14">
        <f t="shared" si="1"/>
        <v>0.67</v>
      </c>
      <c r="AP82" s="14">
        <f t="shared" si="1"/>
        <v>0.48</v>
      </c>
      <c r="AQ82" s="14">
        <f t="shared" si="1"/>
        <v>0.48</v>
      </c>
      <c r="AR82" s="14">
        <f t="shared" si="1"/>
        <v>0.68</v>
      </c>
      <c r="AS82" s="14">
        <f t="shared" si="1"/>
        <v>0.43</v>
      </c>
    </row>
    <row r="83" spans="2:45" ht="24.5" customHeight="1" x14ac:dyDescent="0.35">
      <c r="B83" s="13" t="s">
        <v>99</v>
      </c>
      <c r="C83" s="13" t="s">
        <v>107</v>
      </c>
      <c r="D83" s="13"/>
      <c r="E83" s="13"/>
      <c r="F83" s="11" t="s">
        <v>88</v>
      </c>
      <c r="G83" s="2">
        <v>-0.28999999999999998</v>
      </c>
      <c r="H83" s="2">
        <v>0.27</v>
      </c>
      <c r="I83" s="2">
        <v>0.13</v>
      </c>
      <c r="J83" s="2">
        <v>0.28000000000000003</v>
      </c>
      <c r="K83" s="2">
        <v>0.67</v>
      </c>
      <c r="L83" s="2">
        <v>0.67</v>
      </c>
      <c r="M83" s="2">
        <v>-0.05</v>
      </c>
      <c r="N83" s="2">
        <v>0.17</v>
      </c>
      <c r="O83" s="2">
        <v>0.43</v>
      </c>
      <c r="P83" s="2">
        <v>0.48</v>
      </c>
      <c r="Q83" s="2">
        <v>0.68</v>
      </c>
      <c r="R83" s="2">
        <v>1</v>
      </c>
      <c r="X83" s="13" t="s">
        <v>107</v>
      </c>
      <c r="Y83" s="14">
        <f t="shared" si="0"/>
        <v>-0.28999999999999998</v>
      </c>
      <c r="Z83" s="14">
        <f t="shared" si="0"/>
        <v>0.27</v>
      </c>
      <c r="AA83" s="14">
        <f t="shared" si="0"/>
        <v>0.17</v>
      </c>
      <c r="AB83" s="14">
        <f t="shared" si="0"/>
        <v>-0.05</v>
      </c>
      <c r="AC83" s="14">
        <f t="shared" si="0"/>
        <v>0.28000000000000003</v>
      </c>
      <c r="AD83" s="14">
        <f t="shared" si="0"/>
        <v>0.28000000000000003</v>
      </c>
      <c r="AE83" s="14">
        <f t="shared" si="0"/>
        <v>0.28000000000000003</v>
      </c>
      <c r="AF83" s="14">
        <f t="shared" si="0"/>
        <v>0.28000000000000003</v>
      </c>
      <c r="AG83" s="14">
        <f t="shared" si="0"/>
        <v>0.67</v>
      </c>
      <c r="AH83" s="14">
        <f t="shared" si="0"/>
        <v>0.67</v>
      </c>
      <c r="AI83" s="14">
        <f t="shared" si="0"/>
        <v>-0.05</v>
      </c>
      <c r="AJ83" s="14">
        <f t="shared" si="0"/>
        <v>0.13</v>
      </c>
      <c r="AK83" s="14">
        <f t="shared" si="0"/>
        <v>0.13</v>
      </c>
      <c r="AL83" s="14">
        <f t="shared" si="0"/>
        <v>0.13</v>
      </c>
      <c r="AM83" s="14">
        <f t="shared" si="0"/>
        <v>1</v>
      </c>
      <c r="AN83" s="14">
        <f t="shared" ref="AI83:AS88" si="2">IFERROR(INDEX($G$72:$R$83,MATCH($X83,$B$72:$B$83,0),MATCH(AN$67,$G$67:$R$67,0)),
IFERROR(INDEX($G$72:$R$83,MATCH($X83,$B$72:$B$83,0),MATCH(AN$67,$G$68:$R$68,0)),
IFERROR(INDEX($G$72:$R$83,MATCH($X83,$B$72:$B$83,0),MATCH(AN$67,$G$69:$R$69,0)),
IFERROR(INDEX($G$72:$R$83,MATCH($X83,$B$72:$B$83,0),MATCH(AN$67,$G$70:$R$70,0)),
IFERROR(INDEX($G$72:$R$83,MATCH($X83,$C$72:$C$83,0),MATCH(AN$67,$G$67:$R$67,0)),
IFERROR(INDEX($G$72:$R$83,MATCH($X83,$C$72:$C$83,0),MATCH(AN$67,$G$68:$R$68,0)),
IFERROR(INDEX($G$72:$R$83,MATCH($X83,$C$72:$C$83,0),MATCH(AN$67,$G$69:$R$69,0)),
IFERROR(INDEX($G$72:$R$83,MATCH($X83,$C$72:$C$83,0),MATCH(AN$67,$G$70:$R$70,0)),
IFERROR(INDEX($G$72:$R$83,MATCH($X83,$D$72:$D$83,0),MATCH(AN$67,$G$67:$R$67,0)),
IFERROR(INDEX($G$72:$R$83,MATCH($X83,$D$72:$D$83,0),MATCH(AN$67,$G$68:$R$68,0)),
IFERROR(INDEX($G$72:$R$83,MATCH($X83,$D$72:$D$83,0),MATCH(AN$67,$G$69:$R$69,0)),
IFERROR(INDEX($G$72:$R$83,MATCH($X83,$D$72:$D$83,0),MATCH(AN$67,$G$70:$R$70,0)),
IFERROR(INDEX($G$72:$R$83,MATCH($X83,$E$72:$E$83,0),MATCH(AN$67,$G$67:$R$67,0)),
IFERROR(INDEX($G$72:$R$83,MATCH($X83,$E$72:$E$83,0),MATCH(AN$67,$G$68:$R$68,0)),
IFERROR(INDEX($G$72:$R$83,MATCH($X83,$E$72:$E$83,0),MATCH(AN$67,$G$69:$R$69,0)),
INDEX($G$72:$R$83,MATCH($X83,$E$72:$E$83,0),MATCH(AN$67,$G$70:$R$70,0)))))))))))))))))</f>
        <v>1</v>
      </c>
      <c r="AO83" s="14">
        <f t="shared" si="2"/>
        <v>0.67</v>
      </c>
      <c r="AP83" s="14">
        <f t="shared" si="2"/>
        <v>0.48</v>
      </c>
      <c r="AQ83" s="14">
        <f t="shared" si="2"/>
        <v>0.48</v>
      </c>
      <c r="AR83" s="14">
        <f t="shared" si="2"/>
        <v>0.68</v>
      </c>
      <c r="AS83" s="14">
        <f t="shared" si="2"/>
        <v>0.43</v>
      </c>
    </row>
    <row r="84" spans="2:45" ht="24.5" customHeight="1" x14ac:dyDescent="0.35">
      <c r="X84" s="13" t="s">
        <v>94</v>
      </c>
      <c r="Y84" s="14">
        <f t="shared" ref="Y84:AH88" si="3">IFERROR(INDEX($G$72:$R$83,MATCH($X84,$B$72:$B$83,0),MATCH(Y$67,$G$67:$R$67,0)),
IFERROR(INDEX($G$72:$R$83,MATCH($X84,$B$72:$B$83,0),MATCH(Y$67,$G$68:$R$68,0)),
IFERROR(INDEX($G$72:$R$83,MATCH($X84,$B$72:$B$83,0),MATCH(Y$67,$G$69:$R$69,0)),
IFERROR(INDEX($G$72:$R$83,MATCH($X84,$B$72:$B$83,0),MATCH(Y$67,$G$70:$R$70,0)),
IFERROR(INDEX($G$72:$R$83,MATCH($X84,$C$72:$C$83,0),MATCH(Y$67,$G$67:$R$67,0)),
IFERROR(INDEX($G$72:$R$83,MATCH($X84,$C$72:$C$83,0),MATCH(Y$67,$G$68:$R$68,0)),
IFERROR(INDEX($G$72:$R$83,MATCH($X84,$C$72:$C$83,0),MATCH(Y$67,$G$69:$R$69,0)),
IFERROR(INDEX($G$72:$R$83,MATCH($X84,$C$72:$C$83,0),MATCH(Y$67,$G$70:$R$70,0)),
IFERROR(INDEX($G$72:$R$83,MATCH($X84,$D$72:$D$83,0),MATCH(Y$67,$G$67:$R$67,0)),
IFERROR(INDEX($G$72:$R$83,MATCH($X84,$D$72:$D$83,0),MATCH(Y$67,$G$68:$R$68,0)),
IFERROR(INDEX($G$72:$R$83,MATCH($X84,$D$72:$D$83,0),MATCH(Y$67,$G$69:$R$69,0)),
IFERROR(INDEX($G$72:$R$83,MATCH($X84,$D$72:$D$83,0),MATCH(Y$67,$G$70:$R$70,0)),
IFERROR(INDEX($G$72:$R$83,MATCH($X84,$E$72:$E$83,0),MATCH(Y$67,$G$67:$R$67,0)),
IFERROR(INDEX($G$72:$R$83,MATCH($X84,$E$72:$E$83,0),MATCH(Y$67,$G$68:$R$68,0)),
IFERROR(INDEX($G$72:$R$83,MATCH($X84,$E$72:$E$83,0),MATCH(Y$67,$G$69:$R$69,0)),
INDEX($G$72:$R$83,MATCH($X84,$E$72:$E$83,0),MATCH(Y$67,$G$70:$R$70,0)))))))))))))))))</f>
        <v>-0.37</v>
      </c>
      <c r="Z84" s="14">
        <f t="shared" si="3"/>
        <v>0.28000000000000003</v>
      </c>
      <c r="AA84" s="14">
        <f t="shared" si="3"/>
        <v>0.18</v>
      </c>
      <c r="AB84" s="14">
        <f t="shared" si="3"/>
        <v>-0.1</v>
      </c>
      <c r="AC84" s="14">
        <f t="shared" si="3"/>
        <v>0.36</v>
      </c>
      <c r="AD84" s="14">
        <f t="shared" si="3"/>
        <v>0.36</v>
      </c>
      <c r="AE84" s="14">
        <f t="shared" si="3"/>
        <v>0.36</v>
      </c>
      <c r="AF84" s="14">
        <f t="shared" si="3"/>
        <v>0.36</v>
      </c>
      <c r="AG84" s="14">
        <f t="shared" si="3"/>
        <v>0.77</v>
      </c>
      <c r="AH84" s="14">
        <f t="shared" si="3"/>
        <v>0.77</v>
      </c>
      <c r="AI84" s="14">
        <f t="shared" si="2"/>
        <v>-0.1</v>
      </c>
      <c r="AJ84" s="14">
        <f t="shared" si="2"/>
        <v>0.04</v>
      </c>
      <c r="AK84" s="14">
        <f t="shared" si="2"/>
        <v>0.04</v>
      </c>
      <c r="AL84" s="14">
        <f t="shared" si="2"/>
        <v>0.04</v>
      </c>
      <c r="AM84" s="14">
        <f t="shared" si="2"/>
        <v>0.67</v>
      </c>
      <c r="AN84" s="14">
        <f t="shared" si="2"/>
        <v>0.67</v>
      </c>
      <c r="AO84" s="14">
        <f t="shared" si="2"/>
        <v>1</v>
      </c>
      <c r="AP84" s="14">
        <f t="shared" si="2"/>
        <v>0.43</v>
      </c>
      <c r="AQ84" s="14">
        <f t="shared" si="2"/>
        <v>0.43</v>
      </c>
      <c r="AR84" s="14">
        <f t="shared" si="2"/>
        <v>0.68</v>
      </c>
      <c r="AS84" s="14">
        <f t="shared" si="2"/>
        <v>0.44</v>
      </c>
    </row>
    <row r="85" spans="2:45" ht="24.5" customHeight="1" x14ac:dyDescent="0.35">
      <c r="X85" s="13" t="s">
        <v>98</v>
      </c>
      <c r="Y85" s="14">
        <f t="shared" si="3"/>
        <v>0.24</v>
      </c>
      <c r="Z85" s="14">
        <f t="shared" si="3"/>
        <v>0.24</v>
      </c>
      <c r="AA85" s="14">
        <f t="shared" si="3"/>
        <v>0.51</v>
      </c>
      <c r="AB85" s="14">
        <f t="shared" si="3"/>
        <v>0.37</v>
      </c>
      <c r="AC85" s="14">
        <f t="shared" si="3"/>
        <v>0.51</v>
      </c>
      <c r="AD85" s="14">
        <f t="shared" si="3"/>
        <v>0.51</v>
      </c>
      <c r="AE85" s="14">
        <f t="shared" si="3"/>
        <v>0.51</v>
      </c>
      <c r="AF85" s="14">
        <f t="shared" si="3"/>
        <v>0.51</v>
      </c>
      <c r="AG85" s="14">
        <f t="shared" si="3"/>
        <v>0.49</v>
      </c>
      <c r="AH85" s="14">
        <f t="shared" si="3"/>
        <v>0.49</v>
      </c>
      <c r="AI85" s="14">
        <f t="shared" si="2"/>
        <v>0.37</v>
      </c>
      <c r="AJ85" s="14">
        <f t="shared" si="2"/>
        <v>0.5</v>
      </c>
      <c r="AK85" s="14">
        <f t="shared" si="2"/>
        <v>0.5</v>
      </c>
      <c r="AL85" s="14">
        <f t="shared" si="2"/>
        <v>0.5</v>
      </c>
      <c r="AM85" s="14">
        <f t="shared" si="2"/>
        <v>0.48</v>
      </c>
      <c r="AN85" s="14">
        <f t="shared" si="2"/>
        <v>0.48</v>
      </c>
      <c r="AO85" s="14">
        <f t="shared" si="2"/>
        <v>0.43</v>
      </c>
      <c r="AP85" s="14">
        <f t="shared" si="2"/>
        <v>1</v>
      </c>
      <c r="AQ85" s="14">
        <f t="shared" si="2"/>
        <v>1</v>
      </c>
      <c r="AR85" s="14">
        <f t="shared" si="2"/>
        <v>0.35</v>
      </c>
      <c r="AS85" s="14">
        <f t="shared" si="2"/>
        <v>0.31</v>
      </c>
    </row>
    <row r="86" spans="2:45" ht="24.5" customHeight="1" x14ac:dyDescent="0.35">
      <c r="X86" s="13" t="s">
        <v>108</v>
      </c>
      <c r="Y86" s="14">
        <f t="shared" si="3"/>
        <v>0.24</v>
      </c>
      <c r="Z86" s="14">
        <f t="shared" si="3"/>
        <v>0.24</v>
      </c>
      <c r="AA86" s="14">
        <f t="shared" si="3"/>
        <v>0.51</v>
      </c>
      <c r="AB86" s="14">
        <f t="shared" si="3"/>
        <v>0.37</v>
      </c>
      <c r="AC86" s="14">
        <f t="shared" si="3"/>
        <v>0.51</v>
      </c>
      <c r="AD86" s="14">
        <f t="shared" si="3"/>
        <v>0.51</v>
      </c>
      <c r="AE86" s="14">
        <f t="shared" si="3"/>
        <v>0.51</v>
      </c>
      <c r="AF86" s="14">
        <f t="shared" si="3"/>
        <v>0.51</v>
      </c>
      <c r="AG86" s="14">
        <f t="shared" si="3"/>
        <v>0.49</v>
      </c>
      <c r="AH86" s="14">
        <f t="shared" si="3"/>
        <v>0.49</v>
      </c>
      <c r="AI86" s="14">
        <f t="shared" si="2"/>
        <v>0.37</v>
      </c>
      <c r="AJ86" s="14">
        <f t="shared" si="2"/>
        <v>0.5</v>
      </c>
      <c r="AK86" s="14">
        <f t="shared" si="2"/>
        <v>0.5</v>
      </c>
      <c r="AL86" s="14">
        <f t="shared" si="2"/>
        <v>0.5</v>
      </c>
      <c r="AM86" s="14">
        <f t="shared" si="2"/>
        <v>0.48</v>
      </c>
      <c r="AN86" s="14">
        <f t="shared" si="2"/>
        <v>0.48</v>
      </c>
      <c r="AO86" s="14">
        <f t="shared" si="2"/>
        <v>0.43</v>
      </c>
      <c r="AP86" s="14">
        <f t="shared" si="2"/>
        <v>1</v>
      </c>
      <c r="AQ86" s="14">
        <f t="shared" si="2"/>
        <v>1</v>
      </c>
      <c r="AR86" s="14">
        <f t="shared" si="2"/>
        <v>0.35</v>
      </c>
      <c r="AS86" s="14">
        <f t="shared" si="2"/>
        <v>0.31</v>
      </c>
    </row>
    <row r="87" spans="2:45" ht="24.5" customHeight="1" x14ac:dyDescent="0.35">
      <c r="X87" s="13" t="s">
        <v>81</v>
      </c>
      <c r="Y87" s="14">
        <f t="shared" si="3"/>
        <v>-0.33</v>
      </c>
      <c r="Z87" s="14">
        <f t="shared" si="3"/>
        <v>0.37</v>
      </c>
      <c r="AA87" s="14">
        <f t="shared" si="3"/>
        <v>0.13</v>
      </c>
      <c r="AB87" s="14">
        <f t="shared" si="3"/>
        <v>-0.15</v>
      </c>
      <c r="AC87" s="14">
        <f t="shared" si="3"/>
        <v>0.36</v>
      </c>
      <c r="AD87" s="14">
        <f t="shared" si="3"/>
        <v>0.36</v>
      </c>
      <c r="AE87" s="14">
        <f t="shared" si="3"/>
        <v>0.36</v>
      </c>
      <c r="AF87" s="14">
        <f t="shared" si="3"/>
        <v>0.36</v>
      </c>
      <c r="AG87" s="14">
        <f t="shared" si="3"/>
        <v>0.72</v>
      </c>
      <c r="AH87" s="14">
        <f t="shared" si="3"/>
        <v>0.72</v>
      </c>
      <c r="AI87" s="14">
        <f t="shared" si="2"/>
        <v>-0.15</v>
      </c>
      <c r="AJ87" s="14">
        <f t="shared" si="2"/>
        <v>0.02</v>
      </c>
      <c r="AK87" s="14">
        <f t="shared" si="2"/>
        <v>0.02</v>
      </c>
      <c r="AL87" s="14">
        <f t="shared" si="2"/>
        <v>0.02</v>
      </c>
      <c r="AM87" s="14">
        <f t="shared" si="2"/>
        <v>0.68</v>
      </c>
      <c r="AN87" s="14">
        <f t="shared" si="2"/>
        <v>0.68</v>
      </c>
      <c r="AO87" s="14">
        <f t="shared" si="2"/>
        <v>0.68</v>
      </c>
      <c r="AP87" s="14">
        <f t="shared" si="2"/>
        <v>0.35</v>
      </c>
      <c r="AQ87" s="14">
        <f t="shared" si="2"/>
        <v>0.35</v>
      </c>
      <c r="AR87" s="14">
        <f t="shared" si="2"/>
        <v>1</v>
      </c>
      <c r="AS87" s="14">
        <f t="shared" si="2"/>
        <v>0.34</v>
      </c>
    </row>
    <row r="88" spans="2:45" ht="24.5" customHeight="1" x14ac:dyDescent="0.35">
      <c r="X88" s="13" t="s">
        <v>97</v>
      </c>
      <c r="Y88" s="14">
        <f t="shared" si="3"/>
        <v>-0.27</v>
      </c>
      <c r="Z88" s="14">
        <f t="shared" si="3"/>
        <v>0.19</v>
      </c>
      <c r="AA88" s="14">
        <f t="shared" si="3"/>
        <v>0.2</v>
      </c>
      <c r="AB88" s="14">
        <f t="shared" si="3"/>
        <v>-0.16</v>
      </c>
      <c r="AC88" s="14">
        <f t="shared" si="3"/>
        <v>0</v>
      </c>
      <c r="AD88" s="14">
        <f t="shared" si="3"/>
        <v>0</v>
      </c>
      <c r="AE88" s="14">
        <f t="shared" si="3"/>
        <v>0</v>
      </c>
      <c r="AF88" s="14">
        <f t="shared" si="3"/>
        <v>0</v>
      </c>
      <c r="AG88" s="14">
        <f t="shared" si="3"/>
        <v>0.35</v>
      </c>
      <c r="AH88" s="14">
        <f t="shared" si="3"/>
        <v>0.35</v>
      </c>
      <c r="AI88" s="14">
        <f t="shared" si="2"/>
        <v>-0.16</v>
      </c>
      <c r="AJ88" s="14">
        <f t="shared" si="2"/>
        <v>-0.09</v>
      </c>
      <c r="AK88" s="14">
        <f t="shared" si="2"/>
        <v>-0.09</v>
      </c>
      <c r="AL88" s="14">
        <f t="shared" si="2"/>
        <v>-0.09</v>
      </c>
      <c r="AM88" s="14">
        <f t="shared" si="2"/>
        <v>0.43</v>
      </c>
      <c r="AN88" s="14">
        <f t="shared" si="2"/>
        <v>0.43</v>
      </c>
      <c r="AO88" s="14">
        <f t="shared" si="2"/>
        <v>0.44</v>
      </c>
      <c r="AP88" s="14">
        <f t="shared" si="2"/>
        <v>0.31</v>
      </c>
      <c r="AQ88" s="14">
        <f t="shared" si="2"/>
        <v>0.31</v>
      </c>
      <c r="AR88" s="14">
        <f t="shared" si="2"/>
        <v>0.34</v>
      </c>
      <c r="AS88" s="14">
        <f t="shared" si="2"/>
        <v>1</v>
      </c>
    </row>
  </sheetData>
  <conditionalFormatting sqref="Y68:AS88">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2546-DCA7-4F12-BAF4-C3570F618AA8}">
  <dimension ref="B2:W23"/>
  <sheetViews>
    <sheetView zoomScale="70" zoomScaleNormal="70" workbookViewId="0">
      <selection activeCell="C3" sqref="C3"/>
    </sheetView>
  </sheetViews>
  <sheetFormatPr defaultRowHeight="14.5" x14ac:dyDescent="0.35"/>
  <cols>
    <col min="1" max="1" width="4.26953125" customWidth="1"/>
    <col min="2" max="2" width="35.453125" bestFit="1" customWidth="1"/>
  </cols>
  <sheetData>
    <row r="2" spans="2:23" ht="142" x14ac:dyDescent="0.35">
      <c r="C2" s="15" t="s">
        <v>89</v>
      </c>
      <c r="D2" s="15" t="s">
        <v>90</v>
      </c>
      <c r="E2" s="15" t="s">
        <v>96</v>
      </c>
      <c r="F2" s="15" t="s">
        <v>95</v>
      </c>
      <c r="G2" s="15" t="s">
        <v>92</v>
      </c>
      <c r="H2" s="15" t="s">
        <v>100</v>
      </c>
      <c r="I2" s="15" t="s">
        <v>101</v>
      </c>
      <c r="J2" s="15" t="s">
        <v>102</v>
      </c>
      <c r="K2" s="15" t="s">
        <v>93</v>
      </c>
      <c r="L2" s="15" t="s">
        <v>103</v>
      </c>
      <c r="M2" s="15" t="s">
        <v>104</v>
      </c>
      <c r="N2" s="15" t="s">
        <v>91</v>
      </c>
      <c r="O2" s="15" t="s">
        <v>105</v>
      </c>
      <c r="P2" s="15" t="s">
        <v>106</v>
      </c>
      <c r="Q2" s="15" t="s">
        <v>99</v>
      </c>
      <c r="R2" s="15" t="s">
        <v>107</v>
      </c>
      <c r="S2" s="15" t="s">
        <v>94</v>
      </c>
      <c r="T2" s="15" t="s">
        <v>98</v>
      </c>
      <c r="U2" s="15" t="s">
        <v>108</v>
      </c>
      <c r="V2" s="15" t="s">
        <v>81</v>
      </c>
      <c r="W2" s="15" t="s">
        <v>97</v>
      </c>
    </row>
    <row r="3" spans="2:23" x14ac:dyDescent="0.35">
      <c r="B3" s="13" t="s">
        <v>89</v>
      </c>
      <c r="C3" s="16">
        <f>'JPM Corr'!Y68*VLOOKUP('JPM Cov matrix'!$B3,'[1]Asset Universe'!$C$3:$O$23,13,0)*VLOOKUP('JPM Cov matrix'!C$2,'[1]Asset Universe'!$C$3:$O$23,13,0)</f>
        <v>1.4872008171627094E-3</v>
      </c>
      <c r="D3" s="16">
        <f>'JPM Corr'!Z68*VLOOKUP('JPM Cov matrix'!$B3,'[1]Asset Universe'!$C$3:$O$23,13,0)*VLOOKUP('JPM Cov matrix'!D$2,'[1]Asset Universe'!$C$3:$O$23,13,0)</f>
        <v>2.726745537229579E-3</v>
      </c>
      <c r="E3" s="16">
        <f>'JPM Corr'!AA68*VLOOKUP('JPM Cov matrix'!$B3,'[1]Asset Universe'!$C$3:$O$23,13,0)*VLOOKUP('JPM Cov matrix'!E$2,'[1]Asset Universe'!$C$3:$O$23,13,0)</f>
        <v>8.3171910996752171E-4</v>
      </c>
      <c r="F3" s="16">
        <f>'JPM Corr'!AB68*VLOOKUP('JPM Cov matrix'!$B3,'[1]Asset Universe'!$C$3:$O$23,13,0)*VLOOKUP('JPM Cov matrix'!F$2,'[1]Asset Universe'!$C$3:$O$23,13,0)</f>
        <v>1.1568285713783317E-3</v>
      </c>
      <c r="G3" s="16">
        <f>'JPM Corr'!AC68*VLOOKUP('JPM Cov matrix'!$B3,'[1]Asset Universe'!$C$3:$O$23,13,0)*VLOOKUP('JPM Cov matrix'!G$2,'[1]Asset Universe'!$C$3:$O$23,13,0)</f>
        <v>5.8985051657313946E-4</v>
      </c>
      <c r="H3" s="16">
        <f>'JPM Corr'!AD68*VLOOKUP('JPM Cov matrix'!$B3,'[1]Asset Universe'!$C$3:$O$23,13,0)*VLOOKUP('JPM Cov matrix'!H$2,'[1]Asset Universe'!$C$3:$O$23,13,0)</f>
        <v>6.7364285884226663E-4</v>
      </c>
      <c r="I3" s="16">
        <f>'JPM Corr'!AE68*VLOOKUP('JPM Cov matrix'!$B3,'[1]Asset Universe'!$C$3:$O$23,13,0)*VLOOKUP('JPM Cov matrix'!I$2,'[1]Asset Universe'!$C$3:$O$23,13,0)</f>
        <v>7.7288679190405413E-4</v>
      </c>
      <c r="J3" s="16">
        <f>'JPM Corr'!AF68*VLOOKUP('JPM Cov matrix'!$B3,'[1]Asset Universe'!$C$3:$O$23,13,0)*VLOOKUP('JPM Cov matrix'!J$2,'[1]Asset Universe'!$C$3:$O$23,13,0)</f>
        <v>8.841338951452091E-4</v>
      </c>
      <c r="K3" s="16">
        <f>'JPM Corr'!AG68*VLOOKUP('JPM Cov matrix'!$B3,'[1]Asset Universe'!$C$3:$O$23,13,0)*VLOOKUP('JPM Cov matrix'!K$2,'[1]Asset Universe'!$C$3:$O$23,13,0)</f>
        <v>-9.7966695250127818E-5</v>
      </c>
      <c r="L3" s="16">
        <f>'JPM Corr'!AH68*VLOOKUP('JPM Cov matrix'!$B3,'[1]Asset Universe'!$C$3:$O$23,13,0)*VLOOKUP('JPM Cov matrix'!L$2,'[1]Asset Universe'!$C$3:$O$23,13,0)</f>
        <v>-8.9988515829374027E-5</v>
      </c>
      <c r="M3" s="16">
        <f>'JPM Corr'!AI68*VLOOKUP('JPM Cov matrix'!$B3,'[1]Asset Universe'!$C$3:$O$23,13,0)*VLOOKUP('JPM Cov matrix'!M$2,'[1]Asset Universe'!$C$3:$O$23,13,0)</f>
        <v>7.1653629793607917E-4</v>
      </c>
      <c r="N3" s="16">
        <f>'JPM Corr'!AJ68*VLOOKUP('JPM Cov matrix'!$B3,'[1]Asset Universe'!$C$3:$O$23,13,0)*VLOOKUP('JPM Cov matrix'!N$2,'[1]Asset Universe'!$C$3:$O$23,13,0)</f>
        <v>1.3865207830472681E-3</v>
      </c>
      <c r="O3" s="16">
        <f>'JPM Corr'!AK68*VLOOKUP('JPM Cov matrix'!$B3,'[1]Asset Universe'!$C$3:$O$23,13,0)*VLOOKUP('JPM Cov matrix'!O$2,'[1]Asset Universe'!$C$3:$O$23,13,0)</f>
        <v>1.47408801585482E-3</v>
      </c>
      <c r="P3" s="16">
        <f>'JPM Corr'!AL68*VLOOKUP('JPM Cov matrix'!$B3,'[1]Asset Universe'!$C$3:$O$23,13,0)*VLOOKUP('JPM Cov matrix'!P$2,'[1]Asset Universe'!$C$3:$O$23,13,0)</f>
        <v>1.6813162142164375E-3</v>
      </c>
      <c r="Q3" s="16">
        <f>'JPM Corr'!AM68*VLOOKUP('JPM Cov matrix'!$B3,'[1]Asset Universe'!$C$3:$O$23,13,0)*VLOOKUP('JPM Cov matrix'!Q$2,'[1]Asset Universe'!$C$3:$O$23,13,0)</f>
        <v>-3.9709466764836353E-4</v>
      </c>
      <c r="R3" s="16">
        <f>'JPM Corr'!AN68*VLOOKUP('JPM Cov matrix'!$B3,'[1]Asset Universe'!$C$3:$O$23,13,0)*VLOOKUP('JPM Cov matrix'!R$2,'[1]Asset Universe'!$C$3:$O$23,13,0)</f>
        <v>-4.4222195898099576E-4</v>
      </c>
      <c r="S3" s="16">
        <f>'JPM Corr'!AO68*VLOOKUP('JPM Cov matrix'!$B3,'[1]Asset Universe'!$C$3:$O$23,13,0)*VLOOKUP('JPM Cov matrix'!S$2,'[1]Asset Universe'!$C$3:$O$23,13,0)</f>
        <v>-1.5103373299796801E-3</v>
      </c>
      <c r="T3" s="16">
        <f>'JPM Corr'!AP68*VLOOKUP('JPM Cov matrix'!$B3,'[1]Asset Universe'!$C$3:$O$23,13,0)*VLOOKUP('JPM Cov matrix'!T$2,'[1]Asset Universe'!$C$3:$O$23,13,0)</f>
        <v>2.7947793814290172E-4</v>
      </c>
      <c r="U3" s="16">
        <f>'JPM Corr'!AQ68*VLOOKUP('JPM Cov matrix'!$B3,'[1]Asset Universe'!$C$3:$O$23,13,0)*VLOOKUP('JPM Cov matrix'!U$2,'[1]Asset Universe'!$C$3:$O$23,13,0)</f>
        <v>7.9373455880417149E-4</v>
      </c>
      <c r="V3" s="16" t="e">
        <f>'JPM Corr'!AR68*VLOOKUP('JPM Cov matrix'!$B3,'[1]Asset Universe'!$C$3:$O$23,13,0)*VLOOKUP('JPM Cov matrix'!V$2,'[1]Asset Universe'!$C$3:$O$23,13,0)</f>
        <v>#REF!</v>
      </c>
      <c r="W3" s="16" t="e">
        <f>'JPM Corr'!AS68*VLOOKUP('JPM Cov matrix'!$B3,'[1]Asset Universe'!$C$3:$O$23,13,0)*VLOOKUP('JPM Cov matrix'!W$2,'[1]Asset Universe'!$C$3:$O$23,13,0)</f>
        <v>#REF!</v>
      </c>
    </row>
    <row r="4" spans="2:23" x14ac:dyDescent="0.35">
      <c r="B4" s="13" t="s">
        <v>90</v>
      </c>
      <c r="C4" s="16">
        <f>'JPM Corr'!Y69*VLOOKUP('JPM Cov matrix'!$B4,'[1]Asset Universe'!$C$3:$O$23,13,0)*VLOOKUP('JPM Cov matrix'!C$2,'[1]Asset Universe'!$C$3:$O$23,13,0)</f>
        <v>2.7267455372295786E-3</v>
      </c>
      <c r="D4" s="16">
        <f>'JPM Corr'!Z69*VLOOKUP('JPM Cov matrix'!$B4,'[1]Asset Universe'!$C$3:$O$23,13,0)*VLOOKUP('JPM Cov matrix'!D$2,'[1]Asset Universe'!$C$3:$O$23,13,0)</f>
        <v>7.2571052528311152E-3</v>
      </c>
      <c r="E4" s="16">
        <f>'JPM Corr'!AA69*VLOOKUP('JPM Cov matrix'!$B4,'[1]Asset Universe'!$C$3:$O$23,13,0)*VLOOKUP('JPM Cov matrix'!E$2,'[1]Asset Universe'!$C$3:$O$23,13,0)</f>
        <v>1.801940372890156E-3</v>
      </c>
      <c r="F4" s="16">
        <f>'JPM Corr'!AB69*VLOOKUP('JPM Cov matrix'!$B4,'[1]Asset Universe'!$C$3:$O$23,13,0)*VLOOKUP('JPM Cov matrix'!F$2,'[1]Asset Universe'!$C$3:$O$23,13,0)</f>
        <v>2.6264257813892887E-3</v>
      </c>
      <c r="G4" s="16">
        <f>'JPM Corr'!AC69*VLOOKUP('JPM Cov matrix'!$B4,'[1]Asset Universe'!$C$3:$O$23,13,0)*VLOOKUP('JPM Cov matrix'!G$2,'[1]Asset Universe'!$C$3:$O$23,13,0)</f>
        <v>1.5034423309582159E-3</v>
      </c>
      <c r="H4" s="16">
        <f>'JPM Corr'!AD69*VLOOKUP('JPM Cov matrix'!$B4,'[1]Asset Universe'!$C$3:$O$23,13,0)*VLOOKUP('JPM Cov matrix'!H$2,'[1]Asset Universe'!$C$3:$O$23,13,0)</f>
        <v>1.7170167041899878E-3</v>
      </c>
      <c r="I4" s="16">
        <f>'JPM Corr'!AE69*VLOOKUP('JPM Cov matrix'!$B4,'[1]Asset Universe'!$C$3:$O$23,13,0)*VLOOKUP('JPM Cov matrix'!I$2,'[1]Asset Universe'!$C$3:$O$23,13,0)</f>
        <v>1.9699749128607668E-3</v>
      </c>
      <c r="J4" s="16">
        <f>'JPM Corr'!AF69*VLOOKUP('JPM Cov matrix'!$B4,'[1]Asset Universe'!$C$3:$O$23,13,0)*VLOOKUP('JPM Cov matrix'!J$2,'[1]Asset Universe'!$C$3:$O$23,13,0)</f>
        <v>2.2535274393227695E-3</v>
      </c>
      <c r="K4" s="16">
        <f>'JPM Corr'!AG69*VLOOKUP('JPM Cov matrix'!$B4,'[1]Asset Universe'!$C$3:$O$23,13,0)*VLOOKUP('JPM Cov matrix'!K$2,'[1]Asset Universe'!$C$3:$O$23,13,0)</f>
        <v>0</v>
      </c>
      <c r="L4" s="16">
        <f>'JPM Corr'!AH69*VLOOKUP('JPM Cov matrix'!$B4,'[1]Asset Universe'!$C$3:$O$23,13,0)*VLOOKUP('JPM Cov matrix'!L$2,'[1]Asset Universe'!$C$3:$O$23,13,0)</f>
        <v>0</v>
      </c>
      <c r="M4" s="16">
        <f>'JPM Corr'!AI69*VLOOKUP('JPM Cov matrix'!$B4,'[1]Asset Universe'!$C$3:$O$23,13,0)*VLOOKUP('JPM Cov matrix'!M$2,'[1]Asset Universe'!$C$3:$O$23,13,0)</f>
        <v>1.6268005932445842E-3</v>
      </c>
      <c r="N4" s="16">
        <f>'JPM Corr'!AJ69*VLOOKUP('JPM Cov matrix'!$B4,'[1]Asset Universe'!$C$3:$O$23,13,0)*VLOOKUP('JPM Cov matrix'!N$2,'[1]Asset Universe'!$C$3:$O$23,13,0)</f>
        <v>2.9057644357307587E-3</v>
      </c>
      <c r="O4" s="16">
        <f>'JPM Corr'!AK69*VLOOKUP('JPM Cov matrix'!$B4,'[1]Asset Universe'!$C$3:$O$23,13,0)*VLOOKUP('JPM Cov matrix'!O$2,'[1]Asset Universe'!$C$3:$O$23,13,0)</f>
        <v>3.0892811589841355E-3</v>
      </c>
      <c r="P4" s="16">
        <f>'JPM Corr'!AL69*VLOOKUP('JPM Cov matrix'!$B4,'[1]Asset Universe'!$C$3:$O$23,13,0)*VLOOKUP('JPM Cov matrix'!P$2,'[1]Asset Universe'!$C$3:$O$23,13,0)</f>
        <v>3.523574201138426E-3</v>
      </c>
      <c r="Q4" s="16">
        <f>'JPM Corr'!AM69*VLOOKUP('JPM Cov matrix'!$B4,'[1]Asset Universe'!$C$3:$O$23,13,0)*VLOOKUP('JPM Cov matrix'!Q$2,'[1]Asset Universe'!$C$3:$O$23,13,0)</f>
        <v>8.1668903500392359E-4</v>
      </c>
      <c r="R4" s="16">
        <f>'JPM Corr'!AN69*VLOOKUP('JPM Cov matrix'!$B4,'[1]Asset Universe'!$C$3:$O$23,13,0)*VLOOKUP('JPM Cov matrix'!R$2,'[1]Asset Universe'!$C$3:$O$23,13,0)</f>
        <v>9.0950056588910851E-4</v>
      </c>
      <c r="S4" s="16">
        <f>'JPM Corr'!AO69*VLOOKUP('JPM Cov matrix'!$B4,'[1]Asset Universe'!$C$3:$O$23,13,0)*VLOOKUP('JPM Cov matrix'!S$2,'[1]Asset Universe'!$C$3:$O$23,13,0)</f>
        <v>2.5248010794573592E-3</v>
      </c>
      <c r="T4" s="16">
        <f>'JPM Corr'!AP69*VLOOKUP('JPM Cov matrix'!$B4,'[1]Asset Universe'!$C$3:$O$23,13,0)*VLOOKUP('JPM Cov matrix'!T$2,'[1]Asset Universe'!$C$3:$O$23,13,0)</f>
        <v>6.1736845325750388E-4</v>
      </c>
      <c r="U4" s="16">
        <f>'JPM Corr'!AQ69*VLOOKUP('JPM Cov matrix'!$B4,'[1]Asset Universe'!$C$3:$O$23,13,0)*VLOOKUP('JPM Cov matrix'!U$2,'[1]Asset Universe'!$C$3:$O$23,13,0)</f>
        <v>1.75336443413791E-3</v>
      </c>
      <c r="V4" s="16" t="e">
        <f>'JPM Corr'!AR69*VLOOKUP('JPM Cov matrix'!$B4,'[1]Asset Universe'!$C$3:$O$23,13,0)*VLOOKUP('JPM Cov matrix'!V$2,'[1]Asset Universe'!$C$3:$O$23,13,0)</f>
        <v>#REF!</v>
      </c>
      <c r="W4" s="16" t="e">
        <f>'JPM Corr'!AS69*VLOOKUP('JPM Cov matrix'!$B4,'[1]Asset Universe'!$C$3:$O$23,13,0)*VLOOKUP('JPM Cov matrix'!W$2,'[1]Asset Universe'!$C$3:$O$23,13,0)</f>
        <v>#REF!</v>
      </c>
    </row>
    <row r="5" spans="2:23" x14ac:dyDescent="0.35">
      <c r="B5" s="13" t="s">
        <v>96</v>
      </c>
      <c r="C5" s="16">
        <f>'JPM Corr'!Y70*VLOOKUP('JPM Cov matrix'!$B5,'[1]Asset Universe'!$C$3:$O$23,13,0)*VLOOKUP('JPM Cov matrix'!C$2,'[1]Asset Universe'!$C$3:$O$23,13,0)</f>
        <v>8.3171910996752182E-4</v>
      </c>
      <c r="D5" s="16">
        <f>'JPM Corr'!Z70*VLOOKUP('JPM Cov matrix'!$B5,'[1]Asset Universe'!$C$3:$O$23,13,0)*VLOOKUP('JPM Cov matrix'!D$2,'[1]Asset Universe'!$C$3:$O$23,13,0)</f>
        <v>1.801940372890156E-3</v>
      </c>
      <c r="E5" s="16">
        <f>'JPM Corr'!AA70*VLOOKUP('JPM Cov matrix'!$B5,'[1]Asset Universe'!$C$3:$O$23,13,0)*VLOOKUP('JPM Cov matrix'!E$2,'[1]Asset Universe'!$C$3:$O$23,13,0)</f>
        <v>1.7201925309735149E-3</v>
      </c>
      <c r="F5" s="16">
        <f>'JPM Corr'!AB70*VLOOKUP('JPM Cov matrix'!$B5,'[1]Asset Universe'!$C$3:$O$23,13,0)*VLOOKUP('JPM Cov matrix'!F$2,'[1]Asset Universe'!$C$3:$O$23,13,0)</f>
        <v>1.0195117668816882E-3</v>
      </c>
      <c r="G5" s="16">
        <f>'JPM Corr'!AC70*VLOOKUP('JPM Cov matrix'!$B5,'[1]Asset Universe'!$C$3:$O$23,13,0)*VLOOKUP('JPM Cov matrix'!G$2,'[1]Asset Universe'!$C$3:$O$23,13,0)</f>
        <v>8.4176610129509707E-4</v>
      </c>
      <c r="H5" s="16">
        <f>'JPM Corr'!AD70*VLOOKUP('JPM Cov matrix'!$B5,'[1]Asset Universe'!$C$3:$O$23,13,0)*VLOOKUP('JPM Cov matrix'!H$2,'[1]Asset Universe'!$C$3:$O$23,13,0)</f>
        <v>9.613447933339666E-4</v>
      </c>
      <c r="I5" s="16">
        <f>'JPM Corr'!AE70*VLOOKUP('JPM Cov matrix'!$B5,'[1]Asset Universe'!$C$3:$O$23,13,0)*VLOOKUP('JPM Cov matrix'!I$2,'[1]Asset Universe'!$C$3:$O$23,13,0)</f>
        <v>1.1029741998757404E-3</v>
      </c>
      <c r="J5" s="16">
        <f>'JPM Corr'!AF70*VLOOKUP('JPM Cov matrix'!$B5,'[1]Asset Universe'!$C$3:$O$23,13,0)*VLOOKUP('JPM Cov matrix'!J$2,'[1]Asset Universe'!$C$3:$O$23,13,0)</f>
        <v>1.2617331358172139E-3</v>
      </c>
      <c r="K5" s="16">
        <f>'JPM Corr'!AG70*VLOOKUP('JPM Cov matrix'!$B5,'[1]Asset Universe'!$C$3:$O$23,13,0)*VLOOKUP('JPM Cov matrix'!K$2,'[1]Asset Universe'!$C$3:$O$23,13,0)</f>
        <v>2.2125926935396482E-3</v>
      </c>
      <c r="L5" s="16">
        <f>'JPM Corr'!AH70*VLOOKUP('JPM Cov matrix'!$B5,'[1]Asset Universe'!$C$3:$O$23,13,0)*VLOOKUP('JPM Cov matrix'!L$2,'[1]Asset Universe'!$C$3:$O$23,13,0)</f>
        <v>2.0324042994222585E-3</v>
      </c>
      <c r="M5" s="16">
        <f>'JPM Corr'!AI70*VLOOKUP('JPM Cov matrix'!$B5,'[1]Asset Universe'!$C$3:$O$23,13,0)*VLOOKUP('JPM Cov matrix'!M$2,'[1]Asset Universe'!$C$3:$O$23,13,0)</f>
        <v>6.3148266322060425E-4</v>
      </c>
      <c r="N5" s="16">
        <f>'JPM Corr'!AJ70*VLOOKUP('JPM Cov matrix'!$B5,'[1]Asset Universe'!$C$3:$O$23,13,0)*VLOOKUP('JPM Cov matrix'!N$2,'[1]Asset Universe'!$C$3:$O$23,13,0)</f>
        <v>1.3191208745463045E-3</v>
      </c>
      <c r="O5" s="16">
        <f>'JPM Corr'!AK70*VLOOKUP('JPM Cov matrix'!$B5,'[1]Asset Universe'!$C$3:$O$23,13,0)*VLOOKUP('JPM Cov matrix'!O$2,'[1]Asset Universe'!$C$3:$O$23,13,0)</f>
        <v>1.40243139259626E-3</v>
      </c>
      <c r="P5" s="16">
        <f>'JPM Corr'!AL70*VLOOKUP('JPM Cov matrix'!$B5,'[1]Asset Universe'!$C$3:$O$23,13,0)*VLOOKUP('JPM Cov matrix'!P$2,'[1]Asset Universe'!$C$3:$O$23,13,0)</f>
        <v>1.599586058862891E-3</v>
      </c>
      <c r="Q5" s="16">
        <f>'JPM Corr'!AM70*VLOOKUP('JPM Cov matrix'!$B5,'[1]Asset Universe'!$C$3:$O$23,13,0)*VLOOKUP('JPM Cov matrix'!Q$2,'[1]Asset Universe'!$C$3:$O$23,13,0)</f>
        <v>2.5035063645293223E-4</v>
      </c>
      <c r="R5" s="16">
        <f>'JPM Corr'!AN70*VLOOKUP('JPM Cov matrix'!$B5,'[1]Asset Universe'!$C$3:$O$23,13,0)*VLOOKUP('JPM Cov matrix'!R$2,'[1]Asset Universe'!$C$3:$O$23,13,0)</f>
        <v>2.7880139902153388E-4</v>
      </c>
      <c r="S5" s="16">
        <f>'JPM Corr'!AO70*VLOOKUP('JPM Cov matrix'!$B5,'[1]Asset Universe'!$C$3:$O$23,13,0)*VLOOKUP('JPM Cov matrix'!S$2,'[1]Asset Universe'!$C$3:$O$23,13,0)</f>
        <v>7.9022080356421127E-4</v>
      </c>
      <c r="T5" s="16">
        <f>'JPM Corr'!AP70*VLOOKUP('JPM Cov matrix'!$B5,'[1]Asset Universe'!$C$3:$O$23,13,0)*VLOOKUP('JPM Cov matrix'!T$2,'[1]Asset Universe'!$C$3:$O$23,13,0)</f>
        <v>6.387195158608273E-4</v>
      </c>
      <c r="U5" s="16">
        <f>'JPM Corr'!AQ70*VLOOKUP('JPM Cov matrix'!$B5,'[1]Asset Universe'!$C$3:$O$23,13,0)*VLOOKUP('JPM Cov matrix'!U$2,'[1]Asset Universe'!$C$3:$O$23,13,0)</f>
        <v>1.8140027670527029E-3</v>
      </c>
      <c r="V5" s="16" t="e">
        <f>'JPM Corr'!AR70*VLOOKUP('JPM Cov matrix'!$B5,'[1]Asset Universe'!$C$3:$O$23,13,0)*VLOOKUP('JPM Cov matrix'!V$2,'[1]Asset Universe'!$C$3:$O$23,13,0)</f>
        <v>#REF!</v>
      </c>
      <c r="W5" s="16" t="e">
        <f>'JPM Corr'!AS70*VLOOKUP('JPM Cov matrix'!$B5,'[1]Asset Universe'!$C$3:$O$23,13,0)*VLOOKUP('JPM Cov matrix'!W$2,'[1]Asset Universe'!$C$3:$O$23,13,0)</f>
        <v>#REF!</v>
      </c>
    </row>
    <row r="6" spans="2:23" x14ac:dyDescent="0.35">
      <c r="B6" s="13" t="s">
        <v>95</v>
      </c>
      <c r="C6" s="16">
        <f>'JPM Corr'!Y71*VLOOKUP('JPM Cov matrix'!$B6,'[1]Asset Universe'!$C$3:$O$23,13,0)*VLOOKUP('JPM Cov matrix'!C$2,'[1]Asset Universe'!$C$3:$O$23,13,0)</f>
        <v>1.1568285713783317E-3</v>
      </c>
      <c r="D6" s="16">
        <f>'JPM Corr'!Z71*VLOOKUP('JPM Cov matrix'!$B6,'[1]Asset Universe'!$C$3:$O$23,13,0)*VLOOKUP('JPM Cov matrix'!D$2,'[1]Asset Universe'!$C$3:$O$23,13,0)</f>
        <v>2.6264257813892883E-3</v>
      </c>
      <c r="E6" s="16">
        <f>'JPM Corr'!AA71*VLOOKUP('JPM Cov matrix'!$B6,'[1]Asset Universe'!$C$3:$O$23,13,0)*VLOOKUP('JPM Cov matrix'!E$2,'[1]Asset Universe'!$C$3:$O$23,13,0)</f>
        <v>1.0195117668816882E-3</v>
      </c>
      <c r="F6" s="16">
        <f>'JPM Corr'!AB71*VLOOKUP('JPM Cov matrix'!$B6,'[1]Asset Universe'!$C$3:$O$23,13,0)*VLOOKUP('JPM Cov matrix'!F$2,'[1]Asset Universe'!$C$3:$O$23,13,0)</f>
        <v>1.7358148694947484E-3</v>
      </c>
      <c r="G6" s="16">
        <f>'JPM Corr'!AC71*VLOOKUP('JPM Cov matrix'!$B6,'[1]Asset Universe'!$C$3:$O$23,13,0)*VLOOKUP('JPM Cov matrix'!G$2,'[1]Asset Universe'!$C$3:$O$23,13,0)</f>
        <v>7.8430591242917617E-4</v>
      </c>
      <c r="H6" s="16">
        <f>'JPM Corr'!AD71*VLOOKUP('JPM Cov matrix'!$B6,'[1]Asset Universe'!$C$3:$O$23,13,0)*VLOOKUP('JPM Cov matrix'!H$2,'[1]Asset Universe'!$C$3:$O$23,13,0)</f>
        <v>8.9572198753880392E-4</v>
      </c>
      <c r="I6" s="16">
        <f>'JPM Corr'!AE71*VLOOKUP('JPM Cov matrix'!$B6,'[1]Asset Universe'!$C$3:$O$23,13,0)*VLOOKUP('JPM Cov matrix'!I$2,'[1]Asset Universe'!$C$3:$O$23,13,0)</f>
        <v>1.0276835630330483E-3</v>
      </c>
      <c r="J6" s="16">
        <f>'JPM Corr'!AF71*VLOOKUP('JPM Cov matrix'!$B6,'[1]Asset Universe'!$C$3:$O$23,13,0)*VLOOKUP('JPM Cov matrix'!J$2,'[1]Asset Universe'!$C$3:$O$23,13,0)</f>
        <v>1.1756053811227639E-3</v>
      </c>
      <c r="K6" s="16">
        <f>'JPM Corr'!AG71*VLOOKUP('JPM Cov matrix'!$B6,'[1]Asset Universe'!$C$3:$O$23,13,0)*VLOOKUP('JPM Cov matrix'!K$2,'[1]Asset Universe'!$C$3:$O$23,13,0)</f>
        <v>1.0054696310917415E-3</v>
      </c>
      <c r="L6" s="16">
        <f>'JPM Corr'!AH71*VLOOKUP('JPM Cov matrix'!$B6,'[1]Asset Universe'!$C$3:$O$23,13,0)*VLOOKUP('JPM Cov matrix'!L$2,'[1]Asset Universe'!$C$3:$O$23,13,0)</f>
        <v>9.235865268542473E-4</v>
      </c>
      <c r="M6" s="16">
        <f>'JPM Corr'!AI71*VLOOKUP('JPM Cov matrix'!$B6,'[1]Asset Universe'!$C$3:$O$23,13,0)*VLOOKUP('JPM Cov matrix'!M$2,'[1]Asset Universe'!$C$3:$O$23,13,0)</f>
        <v>1.0751587497603381E-3</v>
      </c>
      <c r="N6" s="16">
        <f>'JPM Corr'!AJ71*VLOOKUP('JPM Cov matrix'!$B6,'[1]Asset Universe'!$C$3:$O$23,13,0)*VLOOKUP('JPM Cov matrix'!N$2,'[1]Asset Universe'!$C$3:$O$23,13,0)</f>
        <v>1.3443016000572855E-3</v>
      </c>
      <c r="O6" s="16">
        <f>'JPM Corr'!AK71*VLOOKUP('JPM Cov matrix'!$B6,'[1]Asset Universe'!$C$3:$O$23,13,0)*VLOOKUP('JPM Cov matrix'!O$2,'[1]Asset Universe'!$C$3:$O$23,13,0)</f>
        <v>1.4292024343001489E-3</v>
      </c>
      <c r="P6" s="16">
        <f>'JPM Corr'!AL71*VLOOKUP('JPM Cov matrix'!$B6,'[1]Asset Universe'!$C$3:$O$23,13,0)*VLOOKUP('JPM Cov matrix'!P$2,'[1]Asset Universe'!$C$3:$O$23,13,0)</f>
        <v>1.6301205900469812E-3</v>
      </c>
      <c r="Q6" s="16">
        <f>'JPM Corr'!AM71*VLOOKUP('JPM Cov matrix'!$B6,'[1]Asset Universe'!$C$3:$O$23,13,0)*VLOOKUP('JPM Cov matrix'!Q$2,'[1]Asset Universe'!$C$3:$O$23,13,0)</f>
        <v>-7.3966140160768194E-5</v>
      </c>
      <c r="R6" s="16">
        <f>'JPM Corr'!AN71*VLOOKUP('JPM Cov matrix'!$B6,'[1]Asset Universe'!$C$3:$O$23,13,0)*VLOOKUP('JPM Cov matrix'!R$2,'[1]Asset Universe'!$C$3:$O$23,13,0)</f>
        <v>-8.2371923032526824E-5</v>
      </c>
      <c r="S6" s="16">
        <f>'JPM Corr'!AO71*VLOOKUP('JPM Cov matrix'!$B6,'[1]Asset Universe'!$C$3:$O$23,13,0)*VLOOKUP('JPM Cov matrix'!S$2,'[1]Asset Universe'!$C$3:$O$23,13,0)</f>
        <v>-4.4100054592891529E-4</v>
      </c>
      <c r="T6" s="16">
        <f>'JPM Corr'!AP71*VLOOKUP('JPM Cov matrix'!$B6,'[1]Asset Universe'!$C$3:$O$23,13,0)*VLOOKUP('JPM Cov matrix'!T$2,'[1]Asset Universe'!$C$3:$O$23,13,0)</f>
        <v>4.6548416051157056E-4</v>
      </c>
      <c r="U6" s="16">
        <f>'JPM Corr'!AQ71*VLOOKUP('JPM Cov matrix'!$B6,'[1]Asset Universe'!$C$3:$O$23,13,0)*VLOOKUP('JPM Cov matrix'!U$2,'[1]Asset Universe'!$C$3:$O$23,13,0)</f>
        <v>1.3220036874075729E-3</v>
      </c>
      <c r="V6" s="16" t="e">
        <f>'JPM Corr'!AR71*VLOOKUP('JPM Cov matrix'!$B6,'[1]Asset Universe'!$C$3:$O$23,13,0)*VLOOKUP('JPM Cov matrix'!V$2,'[1]Asset Universe'!$C$3:$O$23,13,0)</f>
        <v>#REF!</v>
      </c>
      <c r="W6" s="16" t="e">
        <f>'JPM Corr'!AS71*VLOOKUP('JPM Cov matrix'!$B6,'[1]Asset Universe'!$C$3:$O$23,13,0)*VLOOKUP('JPM Cov matrix'!W$2,'[1]Asset Universe'!$C$3:$O$23,13,0)</f>
        <v>#REF!</v>
      </c>
    </row>
    <row r="7" spans="2:23" x14ac:dyDescent="0.35">
      <c r="B7" s="13" t="s">
        <v>92</v>
      </c>
      <c r="C7" s="16">
        <f>'JPM Corr'!Y72*VLOOKUP('JPM Cov matrix'!$B7,'[1]Asset Universe'!$C$3:$O$23,13,0)*VLOOKUP('JPM Cov matrix'!C$2,'[1]Asset Universe'!$C$3:$O$23,13,0)</f>
        <v>5.8985051657313946E-4</v>
      </c>
      <c r="D7" s="16">
        <f>'JPM Corr'!Z72*VLOOKUP('JPM Cov matrix'!$B7,'[1]Asset Universe'!$C$3:$O$23,13,0)*VLOOKUP('JPM Cov matrix'!D$2,'[1]Asset Universe'!$C$3:$O$23,13,0)</f>
        <v>1.5034423309582159E-3</v>
      </c>
      <c r="E7" s="16">
        <f>'JPM Corr'!AA72*VLOOKUP('JPM Cov matrix'!$B7,'[1]Asset Universe'!$C$3:$O$23,13,0)*VLOOKUP('JPM Cov matrix'!E$2,'[1]Asset Universe'!$C$3:$O$23,13,0)</f>
        <v>8.4176610129509707E-4</v>
      </c>
      <c r="F7" s="16">
        <f>'JPM Corr'!AB72*VLOOKUP('JPM Cov matrix'!$B7,'[1]Asset Universe'!$C$3:$O$23,13,0)*VLOOKUP('JPM Cov matrix'!F$2,'[1]Asset Universe'!$C$3:$O$23,13,0)</f>
        <v>7.8430591242917617E-4</v>
      </c>
      <c r="G7" s="16">
        <f>'JPM Corr'!AC72*VLOOKUP('JPM Cov matrix'!$B7,'[1]Asset Universe'!$C$3:$O$23,13,0)*VLOOKUP('JPM Cov matrix'!G$2,'[1]Asset Universe'!$C$3:$O$23,13,0)</f>
        <v>8.651822990361675E-4</v>
      </c>
      <c r="H7" s="16">
        <f>'JPM Corr'!AD72*VLOOKUP('JPM Cov matrix'!$B7,'[1]Asset Universe'!$C$3:$O$23,13,0)*VLOOKUP('JPM Cov matrix'!H$2,'[1]Asset Universe'!$C$3:$O$23,13,0)</f>
        <v>9.8808742379083848E-4</v>
      </c>
      <c r="I7" s="16">
        <f>'JPM Corr'!AE72*VLOOKUP('JPM Cov matrix'!$B7,'[1]Asset Universe'!$C$3:$O$23,13,0)*VLOOKUP('JPM Cov matrix'!I$2,'[1]Asset Universe'!$C$3:$O$23,13,0)</f>
        <v>1.1336566684710574E-3</v>
      </c>
      <c r="J7" s="16">
        <f>'JPM Corr'!AF72*VLOOKUP('JPM Cov matrix'!$B7,'[1]Asset Universe'!$C$3:$O$23,13,0)*VLOOKUP('JPM Cov matrix'!J$2,'[1]Asset Universe'!$C$3:$O$23,13,0)</f>
        <v>1.2968319507484644E-3</v>
      </c>
      <c r="K7" s="16">
        <f>'JPM Corr'!AG72*VLOOKUP('JPM Cov matrix'!$B7,'[1]Asset Universe'!$C$3:$O$23,13,0)*VLOOKUP('JPM Cov matrix'!K$2,'[1]Asset Universe'!$C$3:$O$23,13,0)</f>
        <v>2.4658201830241311E-3</v>
      </c>
      <c r="L7" s="16">
        <f>'JPM Corr'!AH72*VLOOKUP('JPM Cov matrix'!$B7,'[1]Asset Universe'!$C$3:$O$23,13,0)*VLOOKUP('JPM Cov matrix'!L$2,'[1]Asset Universe'!$C$3:$O$23,13,0)</f>
        <v>2.2650095321263526E-3</v>
      </c>
      <c r="M7" s="16">
        <f>'JPM Corr'!AI72*VLOOKUP('JPM Cov matrix'!$B7,'[1]Asset Universe'!$C$3:$O$23,13,0)*VLOOKUP('JPM Cov matrix'!M$2,'[1]Asset Universe'!$C$3:$O$23,13,0)</f>
        <v>4.8579683182599077E-4</v>
      </c>
      <c r="N7" s="16">
        <f>'JPM Corr'!AJ72*VLOOKUP('JPM Cov matrix'!$B7,'[1]Asset Universe'!$C$3:$O$23,13,0)*VLOOKUP('JPM Cov matrix'!N$2,'[1]Asset Universe'!$C$3:$O$23,13,0)</f>
        <v>1.0168620735534414E-3</v>
      </c>
      <c r="O7" s="16">
        <f>'JPM Corr'!AK72*VLOOKUP('JPM Cov matrix'!$B7,'[1]Asset Universe'!$C$3:$O$23,13,0)*VLOOKUP('JPM Cov matrix'!O$2,'[1]Asset Universe'!$C$3:$O$23,13,0)</f>
        <v>1.0810831072492551E-3</v>
      </c>
      <c r="P7" s="16">
        <f>'JPM Corr'!AL72*VLOOKUP('JPM Cov matrix'!$B7,'[1]Asset Universe'!$C$3:$O$23,13,0)*VLOOKUP('JPM Cov matrix'!P$2,'[1]Asset Universe'!$C$3:$O$23,13,0)</f>
        <v>1.233062434253367E-3</v>
      </c>
      <c r="Q7" s="16">
        <f>'JPM Corr'!AM72*VLOOKUP('JPM Cov matrix'!$B7,'[1]Asset Universe'!$C$3:$O$23,13,0)*VLOOKUP('JPM Cov matrix'!Q$2,'[1]Asset Universe'!$C$3:$O$23,13,0)</f>
        <v>2.9243078745761522E-4</v>
      </c>
      <c r="R7" s="16">
        <f>'JPM Corr'!AN72*VLOOKUP('JPM Cov matrix'!$B7,'[1]Asset Universe'!$C$3:$O$23,13,0)*VLOOKUP('JPM Cov matrix'!R$2,'[1]Asset Universe'!$C$3:$O$23,13,0)</f>
        <v>3.2566369239281004E-4</v>
      </c>
      <c r="S7" s="16">
        <f>'JPM Corr'!AO72*VLOOKUP('JPM Cov matrix'!$B7,'[1]Asset Universe'!$C$3:$O$23,13,0)*VLOOKUP('JPM Cov matrix'!S$2,'[1]Asset Universe'!$C$3:$O$23,13,0)</f>
        <v>1.1208403019798184E-3</v>
      </c>
      <c r="T7" s="16">
        <f>'JPM Corr'!AP72*VLOOKUP('JPM Cov matrix'!$B7,'[1]Asset Universe'!$C$3:$O$23,13,0)*VLOOKUP('JPM Cov matrix'!T$2,'[1]Asset Universe'!$C$3:$O$23,13,0)</f>
        <v>4.5297628954391397E-4</v>
      </c>
      <c r="U7" s="16">
        <f>'JPM Corr'!AQ72*VLOOKUP('JPM Cov matrix'!$B7,'[1]Asset Universe'!$C$3:$O$23,13,0)*VLOOKUP('JPM Cov matrix'!U$2,'[1]Asset Universe'!$C$3:$O$23,13,0)</f>
        <v>1.2864805634355617E-3</v>
      </c>
      <c r="V7" s="16" t="e">
        <f>'JPM Corr'!AR72*VLOOKUP('JPM Cov matrix'!$B7,'[1]Asset Universe'!$C$3:$O$23,13,0)*VLOOKUP('JPM Cov matrix'!V$2,'[1]Asset Universe'!$C$3:$O$23,13,0)</f>
        <v>#REF!</v>
      </c>
      <c r="W7" s="16" t="e">
        <f>'JPM Corr'!AS72*VLOOKUP('JPM Cov matrix'!$B7,'[1]Asset Universe'!$C$3:$O$23,13,0)*VLOOKUP('JPM Cov matrix'!W$2,'[1]Asset Universe'!$C$3:$O$23,13,0)</f>
        <v>#REF!</v>
      </c>
    </row>
    <row r="8" spans="2:23" x14ac:dyDescent="0.35">
      <c r="B8" s="13" t="s">
        <v>100</v>
      </c>
      <c r="C8" s="16">
        <f>'JPM Corr'!Y73*VLOOKUP('JPM Cov matrix'!$B8,'[1]Asset Universe'!$C$3:$O$23,13,0)*VLOOKUP('JPM Cov matrix'!C$2,'[1]Asset Universe'!$C$3:$O$23,13,0)</f>
        <v>6.7364285884226674E-4</v>
      </c>
      <c r="D8" s="16">
        <f>'JPM Corr'!Z73*VLOOKUP('JPM Cov matrix'!$B8,'[1]Asset Universe'!$C$3:$O$23,13,0)*VLOOKUP('JPM Cov matrix'!D$2,'[1]Asset Universe'!$C$3:$O$23,13,0)</f>
        <v>1.7170167041899878E-3</v>
      </c>
      <c r="E8" s="16">
        <f>'JPM Corr'!AA73*VLOOKUP('JPM Cov matrix'!$B8,'[1]Asset Universe'!$C$3:$O$23,13,0)*VLOOKUP('JPM Cov matrix'!E$2,'[1]Asset Universe'!$C$3:$O$23,13,0)</f>
        <v>9.613447933339666E-4</v>
      </c>
      <c r="F8" s="16">
        <f>'JPM Corr'!AB73*VLOOKUP('JPM Cov matrix'!$B8,'[1]Asset Universe'!$C$3:$O$23,13,0)*VLOOKUP('JPM Cov matrix'!F$2,'[1]Asset Universe'!$C$3:$O$23,13,0)</f>
        <v>8.9572198753880392E-4</v>
      </c>
      <c r="G8" s="16">
        <f>'JPM Corr'!AC73*VLOOKUP('JPM Cov matrix'!$B8,'[1]Asset Universe'!$C$3:$O$23,13,0)*VLOOKUP('JPM Cov matrix'!G$2,'[1]Asset Universe'!$C$3:$O$23,13,0)</f>
        <v>9.8808742379083848E-4</v>
      </c>
      <c r="H8" s="16">
        <f>'JPM Corr'!AD73*VLOOKUP('JPM Cov matrix'!$B8,'[1]Asset Universe'!$C$3:$O$23,13,0)*VLOOKUP('JPM Cov matrix'!H$2,'[1]Asset Universe'!$C$3:$O$23,13,0)</f>
        <v>1.1284520709002658E-3</v>
      </c>
      <c r="I8" s="16">
        <f>'JPM Corr'!AE73*VLOOKUP('JPM Cov matrix'!$B8,'[1]Asset Universe'!$C$3:$O$23,13,0)*VLOOKUP('JPM Cov matrix'!I$2,'[1]Asset Universe'!$C$3:$O$23,13,0)</f>
        <v>1.2947004327998229E-3</v>
      </c>
      <c r="J8" s="16">
        <f>'JPM Corr'!AF73*VLOOKUP('JPM Cov matrix'!$B8,'[1]Asset Universe'!$C$3:$O$23,13,0)*VLOOKUP('JPM Cov matrix'!J$2,'[1]Asset Universe'!$C$3:$O$23,13,0)</f>
        <v>1.4810558916105744E-3</v>
      </c>
      <c r="K8" s="16">
        <f>'JPM Corr'!AG73*VLOOKUP('JPM Cov matrix'!$B8,'[1]Asset Universe'!$C$3:$O$23,13,0)*VLOOKUP('JPM Cov matrix'!K$2,'[1]Asset Universe'!$C$3:$O$23,13,0)</f>
        <v>2.8161069810258752E-3</v>
      </c>
      <c r="L8" s="16">
        <f>'JPM Corr'!AH73*VLOOKUP('JPM Cov matrix'!$B8,'[1]Asset Universe'!$C$3:$O$23,13,0)*VLOOKUP('JPM Cov matrix'!L$2,'[1]Asset Universe'!$C$3:$O$23,13,0)</f>
        <v>2.5867697893884709E-3</v>
      </c>
      <c r="M8" s="16">
        <f>'JPM Corr'!AI73*VLOOKUP('JPM Cov matrix'!$B8,'[1]Asset Universe'!$C$3:$O$23,13,0)*VLOOKUP('JPM Cov matrix'!M$2,'[1]Asset Universe'!$C$3:$O$23,13,0)</f>
        <v>5.5480762907359079E-4</v>
      </c>
      <c r="N8" s="16">
        <f>'JPM Corr'!AJ73*VLOOKUP('JPM Cov matrix'!$B8,'[1]Asset Universe'!$C$3:$O$23,13,0)*VLOOKUP('JPM Cov matrix'!N$2,'[1]Asset Universe'!$C$3:$O$23,13,0)</f>
        <v>1.1613143585199822E-3</v>
      </c>
      <c r="O8" s="16">
        <f>'JPM Corr'!AK73*VLOOKUP('JPM Cov matrix'!$B8,'[1]Asset Universe'!$C$3:$O$23,13,0)*VLOOKUP('JPM Cov matrix'!O$2,'[1]Asset Universe'!$C$3:$O$23,13,0)</f>
        <v>1.2346584338765543E-3</v>
      </c>
      <c r="P8" s="16">
        <f>'JPM Corr'!AL73*VLOOKUP('JPM Cov matrix'!$B8,'[1]Asset Universe'!$C$3:$O$23,13,0)*VLOOKUP('JPM Cov matrix'!P$2,'[1]Asset Universe'!$C$3:$O$23,13,0)</f>
        <v>1.4082274745934645E-3</v>
      </c>
      <c r="Q8" s="16">
        <f>'JPM Corr'!AM73*VLOOKUP('JPM Cov matrix'!$B8,'[1]Asset Universe'!$C$3:$O$23,13,0)*VLOOKUP('JPM Cov matrix'!Q$2,'[1]Asset Universe'!$C$3:$O$23,13,0)</f>
        <v>3.3397260177192128E-4</v>
      </c>
      <c r="R8" s="16">
        <f>'JPM Corr'!AN73*VLOOKUP('JPM Cov matrix'!$B8,'[1]Asset Universe'!$C$3:$O$23,13,0)*VLOOKUP('JPM Cov matrix'!R$2,'[1]Asset Universe'!$C$3:$O$23,13,0)</f>
        <v>3.7192647052199129E-4</v>
      </c>
      <c r="S8" s="16">
        <f>'JPM Corr'!AO73*VLOOKUP('JPM Cov matrix'!$B8,'[1]Asset Universe'!$C$3:$O$23,13,0)*VLOOKUP('JPM Cov matrix'!S$2,'[1]Asset Universe'!$C$3:$O$23,13,0)</f>
        <v>1.2800634128760505E-3</v>
      </c>
      <c r="T8" s="16">
        <f>'JPM Corr'!AP73*VLOOKUP('JPM Cov matrix'!$B8,'[1]Asset Universe'!$C$3:$O$23,13,0)*VLOOKUP('JPM Cov matrix'!T$2,'[1]Asset Universe'!$C$3:$O$23,13,0)</f>
        <v>5.1732470194130564E-4</v>
      </c>
      <c r="U8" s="16">
        <f>'JPM Corr'!AQ73*VLOOKUP('JPM Cov matrix'!$B8,'[1]Asset Universe'!$C$3:$O$23,13,0)*VLOOKUP('JPM Cov matrix'!U$2,'[1]Asset Universe'!$C$3:$O$23,13,0)</f>
        <v>1.4692340181926119E-3</v>
      </c>
      <c r="V8" s="16" t="e">
        <f>'JPM Corr'!AR73*VLOOKUP('JPM Cov matrix'!$B8,'[1]Asset Universe'!$C$3:$O$23,13,0)*VLOOKUP('JPM Cov matrix'!V$2,'[1]Asset Universe'!$C$3:$O$23,13,0)</f>
        <v>#REF!</v>
      </c>
      <c r="W8" s="16" t="e">
        <f>'JPM Corr'!AS73*VLOOKUP('JPM Cov matrix'!$B8,'[1]Asset Universe'!$C$3:$O$23,13,0)*VLOOKUP('JPM Cov matrix'!W$2,'[1]Asset Universe'!$C$3:$O$23,13,0)</f>
        <v>#REF!</v>
      </c>
    </row>
    <row r="9" spans="2:23" x14ac:dyDescent="0.35">
      <c r="B9" s="13" t="s">
        <v>101</v>
      </c>
      <c r="C9" s="16">
        <f>'JPM Corr'!Y74*VLOOKUP('JPM Cov matrix'!$B9,'[1]Asset Universe'!$C$3:$O$23,13,0)*VLOOKUP('JPM Cov matrix'!C$2,'[1]Asset Universe'!$C$3:$O$23,13,0)</f>
        <v>7.7288679190405424E-4</v>
      </c>
      <c r="D9" s="16">
        <f>'JPM Corr'!Z74*VLOOKUP('JPM Cov matrix'!$B9,'[1]Asset Universe'!$C$3:$O$23,13,0)*VLOOKUP('JPM Cov matrix'!D$2,'[1]Asset Universe'!$C$3:$O$23,13,0)</f>
        <v>1.9699749128607668E-3</v>
      </c>
      <c r="E9" s="16">
        <f>'JPM Corr'!AA74*VLOOKUP('JPM Cov matrix'!$B9,'[1]Asset Universe'!$C$3:$O$23,13,0)*VLOOKUP('JPM Cov matrix'!E$2,'[1]Asset Universe'!$C$3:$O$23,13,0)</f>
        <v>1.1029741998757404E-3</v>
      </c>
      <c r="F9" s="16">
        <f>'JPM Corr'!AB74*VLOOKUP('JPM Cov matrix'!$B9,'[1]Asset Universe'!$C$3:$O$23,13,0)*VLOOKUP('JPM Cov matrix'!F$2,'[1]Asset Universe'!$C$3:$O$23,13,0)</f>
        <v>1.0276835630330483E-3</v>
      </c>
      <c r="G9" s="16">
        <f>'JPM Corr'!AC74*VLOOKUP('JPM Cov matrix'!$B9,'[1]Asset Universe'!$C$3:$O$23,13,0)*VLOOKUP('JPM Cov matrix'!G$2,'[1]Asset Universe'!$C$3:$O$23,13,0)</f>
        <v>1.1336566684710574E-3</v>
      </c>
      <c r="H9" s="16">
        <f>'JPM Corr'!AD74*VLOOKUP('JPM Cov matrix'!$B9,'[1]Asset Universe'!$C$3:$O$23,13,0)*VLOOKUP('JPM Cov matrix'!H$2,'[1]Asset Universe'!$C$3:$O$23,13,0)</f>
        <v>1.2947004327998229E-3</v>
      </c>
      <c r="I9" s="16">
        <f>'JPM Corr'!AE74*VLOOKUP('JPM Cov matrix'!$B9,'[1]Asset Universe'!$C$3:$O$23,13,0)*VLOOKUP('JPM Cov matrix'!I$2,'[1]Asset Universe'!$C$3:$O$23,13,0)</f>
        <v>1.485441210945501E-3</v>
      </c>
      <c r="J9" s="16">
        <f>'JPM Corr'!AF74*VLOOKUP('JPM Cov matrix'!$B9,'[1]Asset Universe'!$C$3:$O$23,13,0)*VLOOKUP('JPM Cov matrix'!J$2,'[1]Asset Universe'!$C$3:$O$23,13,0)</f>
        <v>1.6992513490973176E-3</v>
      </c>
      <c r="K9" s="16">
        <f>'JPM Corr'!AG74*VLOOKUP('JPM Cov matrix'!$B9,'[1]Asset Universe'!$C$3:$O$23,13,0)*VLOOKUP('JPM Cov matrix'!K$2,'[1]Asset Universe'!$C$3:$O$23,13,0)</f>
        <v>3.2309878471276643E-3</v>
      </c>
      <c r="L9" s="16">
        <f>'JPM Corr'!AH74*VLOOKUP('JPM Cov matrix'!$B9,'[1]Asset Universe'!$C$3:$O$23,13,0)*VLOOKUP('JPM Cov matrix'!L$2,'[1]Asset Universe'!$C$3:$O$23,13,0)</f>
        <v>2.9678637243342508E-3</v>
      </c>
      <c r="M9" s="16">
        <f>'JPM Corr'!AI74*VLOOKUP('JPM Cov matrix'!$B9,'[1]Asset Universe'!$C$3:$O$23,13,0)*VLOOKUP('JPM Cov matrix'!M$2,'[1]Asset Universe'!$C$3:$O$23,13,0)</f>
        <v>6.3654425031021717E-4</v>
      </c>
      <c r="N9" s="16">
        <f>'JPM Corr'!AJ74*VLOOKUP('JPM Cov matrix'!$B9,'[1]Asset Universe'!$C$3:$O$23,13,0)*VLOOKUP('JPM Cov matrix'!N$2,'[1]Asset Universe'!$C$3:$O$23,13,0)</f>
        <v>1.3324041324971401E-3</v>
      </c>
      <c r="O9" s="16">
        <f>'JPM Corr'!AK74*VLOOKUP('JPM Cov matrix'!$B9,'[1]Asset Universe'!$C$3:$O$23,13,0)*VLOOKUP('JPM Cov matrix'!O$2,'[1]Asset Universe'!$C$3:$O$23,13,0)</f>
        <v>1.41655356919559E-3</v>
      </c>
      <c r="P9" s="16">
        <f>'JPM Corr'!AL74*VLOOKUP('JPM Cov matrix'!$B9,'[1]Asset Universe'!$C$3:$O$23,13,0)*VLOOKUP('JPM Cov matrix'!P$2,'[1]Asset Universe'!$C$3:$O$23,13,0)</f>
        <v>1.6156935397195972E-3</v>
      </c>
      <c r="Q9" s="16">
        <f>'JPM Corr'!AM74*VLOOKUP('JPM Cov matrix'!$B9,'[1]Asset Universe'!$C$3:$O$23,13,0)*VLOOKUP('JPM Cov matrix'!Q$2,'[1]Asset Universe'!$C$3:$O$23,13,0)</f>
        <v>3.8317486688861337E-4</v>
      </c>
      <c r="R9" s="16">
        <f>'JPM Corr'!AN74*VLOOKUP('JPM Cov matrix'!$B9,'[1]Asset Universe'!$C$3:$O$23,13,0)*VLOOKUP('JPM Cov matrix'!R$2,'[1]Asset Universe'!$C$3:$O$23,13,0)</f>
        <v>4.2672026111872978E-4</v>
      </c>
      <c r="S9" s="16">
        <f>'JPM Corr'!AO74*VLOOKUP('JPM Cov matrix'!$B9,'[1]Asset Universe'!$C$3:$O$23,13,0)*VLOOKUP('JPM Cov matrix'!S$2,'[1]Asset Universe'!$C$3:$O$23,13,0)</f>
        <v>1.4686478029498123E-3</v>
      </c>
      <c r="T9" s="16">
        <f>'JPM Corr'!AP74*VLOOKUP('JPM Cov matrix'!$B9,'[1]Asset Universe'!$C$3:$O$23,13,0)*VLOOKUP('JPM Cov matrix'!T$2,'[1]Asset Universe'!$C$3:$O$23,13,0)</f>
        <v>5.935391788213963E-4</v>
      </c>
      <c r="U9" s="16">
        <f>'JPM Corr'!AQ74*VLOOKUP('JPM Cov matrix'!$B9,'[1]Asset Universe'!$C$3:$O$23,13,0)*VLOOKUP('JPM Cov matrix'!U$2,'[1]Asset Universe'!$C$3:$O$23,13,0)</f>
        <v>1.6856878269722441E-3</v>
      </c>
      <c r="V9" s="16" t="e">
        <f>'JPM Corr'!AR74*VLOOKUP('JPM Cov matrix'!$B9,'[1]Asset Universe'!$C$3:$O$23,13,0)*VLOOKUP('JPM Cov matrix'!V$2,'[1]Asset Universe'!$C$3:$O$23,13,0)</f>
        <v>#REF!</v>
      </c>
      <c r="W9" s="16" t="e">
        <f>'JPM Corr'!AS74*VLOOKUP('JPM Cov matrix'!$B9,'[1]Asset Universe'!$C$3:$O$23,13,0)*VLOOKUP('JPM Cov matrix'!W$2,'[1]Asset Universe'!$C$3:$O$23,13,0)</f>
        <v>#REF!</v>
      </c>
    </row>
    <row r="10" spans="2:23" x14ac:dyDescent="0.35">
      <c r="B10" s="13" t="s">
        <v>102</v>
      </c>
      <c r="C10" s="16">
        <f>'JPM Corr'!Y75*VLOOKUP('JPM Cov matrix'!$B10,'[1]Asset Universe'!$C$3:$O$23,13,0)*VLOOKUP('JPM Cov matrix'!C$2,'[1]Asset Universe'!$C$3:$O$23,13,0)</f>
        <v>8.841338951452092E-4</v>
      </c>
      <c r="D10" s="16">
        <f>'JPM Corr'!Z75*VLOOKUP('JPM Cov matrix'!$B10,'[1]Asset Universe'!$C$3:$O$23,13,0)*VLOOKUP('JPM Cov matrix'!D$2,'[1]Asset Universe'!$C$3:$O$23,13,0)</f>
        <v>2.25352743932277E-3</v>
      </c>
      <c r="E10" s="16">
        <f>'JPM Corr'!AA75*VLOOKUP('JPM Cov matrix'!$B10,'[1]Asset Universe'!$C$3:$O$23,13,0)*VLOOKUP('JPM Cov matrix'!E$2,'[1]Asset Universe'!$C$3:$O$23,13,0)</f>
        <v>1.2617331358172139E-3</v>
      </c>
      <c r="F10" s="16">
        <f>'JPM Corr'!AB75*VLOOKUP('JPM Cov matrix'!$B10,'[1]Asset Universe'!$C$3:$O$23,13,0)*VLOOKUP('JPM Cov matrix'!F$2,'[1]Asset Universe'!$C$3:$O$23,13,0)</f>
        <v>1.1756053811227639E-3</v>
      </c>
      <c r="G10" s="16">
        <f>'JPM Corr'!AC75*VLOOKUP('JPM Cov matrix'!$B10,'[1]Asset Universe'!$C$3:$O$23,13,0)*VLOOKUP('JPM Cov matrix'!G$2,'[1]Asset Universe'!$C$3:$O$23,13,0)</f>
        <v>1.2968319507484644E-3</v>
      </c>
      <c r="H10" s="16">
        <f>'JPM Corr'!AD75*VLOOKUP('JPM Cov matrix'!$B10,'[1]Asset Universe'!$C$3:$O$23,13,0)*VLOOKUP('JPM Cov matrix'!H$2,'[1]Asset Universe'!$C$3:$O$23,13,0)</f>
        <v>1.4810558916105744E-3</v>
      </c>
      <c r="I10" s="16">
        <f>'JPM Corr'!AE75*VLOOKUP('JPM Cov matrix'!$B10,'[1]Asset Universe'!$C$3:$O$23,13,0)*VLOOKUP('JPM Cov matrix'!I$2,'[1]Asset Universe'!$C$3:$O$23,13,0)</f>
        <v>1.6992513490973176E-3</v>
      </c>
      <c r="J10" s="16">
        <f>'JPM Corr'!AF75*VLOOKUP('JPM Cov matrix'!$B10,'[1]Asset Universe'!$C$3:$O$23,13,0)*VLOOKUP('JPM Cov matrix'!J$2,'[1]Asset Universe'!$C$3:$O$23,13,0)</f>
        <v>1.9438367039589233E-3</v>
      </c>
      <c r="K10" s="16">
        <f>'JPM Corr'!AG75*VLOOKUP('JPM Cov matrix'!$B10,'[1]Asset Universe'!$C$3:$O$23,13,0)*VLOOKUP('JPM Cov matrix'!K$2,'[1]Asset Universe'!$C$3:$O$23,13,0)</f>
        <v>3.696046950692923E-3</v>
      </c>
      <c r="L10" s="16">
        <f>'JPM Corr'!AH75*VLOOKUP('JPM Cov matrix'!$B10,'[1]Asset Universe'!$C$3:$O$23,13,0)*VLOOKUP('JPM Cov matrix'!L$2,'[1]Asset Universe'!$C$3:$O$23,13,0)</f>
        <v>3.3950494979885087E-3</v>
      </c>
      <c r="M10" s="16">
        <f>'JPM Corr'!AI75*VLOOKUP('JPM Cov matrix'!$B10,'[1]Asset Universe'!$C$3:$O$23,13,0)*VLOOKUP('JPM Cov matrix'!M$2,'[1]Asset Universe'!$C$3:$O$23,13,0)</f>
        <v>7.2816660001730725E-4</v>
      </c>
      <c r="N10" s="16">
        <f>'JPM Corr'!AJ75*VLOOKUP('JPM Cov matrix'!$B10,'[1]Asset Universe'!$C$3:$O$23,13,0)*VLOOKUP('JPM Cov matrix'!N$2,'[1]Asset Universe'!$C$3:$O$23,13,0)</f>
        <v>1.5241865534668226E-3</v>
      </c>
      <c r="O10" s="16">
        <f>'JPM Corr'!AK75*VLOOKUP('JPM Cov matrix'!$B10,'[1]Asset Universe'!$C$3:$O$23,13,0)*VLOOKUP('JPM Cov matrix'!O$2,'[1]Asset Universe'!$C$3:$O$23,13,0)</f>
        <v>1.6204482182045371E-3</v>
      </c>
      <c r="P10" s="16">
        <f>'JPM Corr'!AL75*VLOOKUP('JPM Cov matrix'!$B10,'[1]Asset Universe'!$C$3:$O$23,13,0)*VLOOKUP('JPM Cov matrix'!P$2,'[1]Asset Universe'!$C$3:$O$23,13,0)</f>
        <v>1.8482518236779106E-3</v>
      </c>
      <c r="Q10" s="16">
        <f>'JPM Corr'!AM75*VLOOKUP('JPM Cov matrix'!$B10,'[1]Asset Universe'!$C$3:$O$23,13,0)*VLOOKUP('JPM Cov matrix'!Q$2,'[1]Asset Universe'!$C$3:$O$23,13,0)</f>
        <v>4.3832795583086185E-4</v>
      </c>
      <c r="R10" s="16">
        <f>'JPM Corr'!AN75*VLOOKUP('JPM Cov matrix'!$B10,'[1]Asset Universe'!$C$3:$O$23,13,0)*VLOOKUP('JPM Cov matrix'!R$2,'[1]Asset Universe'!$C$3:$O$23,13,0)</f>
        <v>4.8814114893959578E-4</v>
      </c>
      <c r="S10" s="16">
        <f>'JPM Corr'!AO75*VLOOKUP('JPM Cov matrix'!$B10,'[1]Asset Universe'!$C$3:$O$23,13,0)*VLOOKUP('JPM Cov matrix'!S$2,'[1]Asset Universe'!$C$3:$O$23,13,0)</f>
        <v>1.6800407462256957E-3</v>
      </c>
      <c r="T10" s="16">
        <f>'JPM Corr'!AP75*VLOOKUP('JPM Cov matrix'!$B10,'[1]Asset Universe'!$C$3:$O$23,13,0)*VLOOKUP('JPM Cov matrix'!T$2,'[1]Asset Universe'!$C$3:$O$23,13,0)</f>
        <v>6.7897150215214756E-4</v>
      </c>
      <c r="U10" s="16">
        <f>'JPM Corr'!AQ75*VLOOKUP('JPM Cov matrix'!$B10,'[1]Asset Universe'!$C$3:$O$23,13,0)*VLOOKUP('JPM Cov matrix'!U$2,'[1]Asset Universe'!$C$3:$O$23,13,0)</f>
        <v>1.9283208874461501E-3</v>
      </c>
      <c r="V10" s="16" t="e">
        <f>'JPM Corr'!AR75*VLOOKUP('JPM Cov matrix'!$B10,'[1]Asset Universe'!$C$3:$O$23,13,0)*VLOOKUP('JPM Cov matrix'!V$2,'[1]Asset Universe'!$C$3:$O$23,13,0)</f>
        <v>#REF!</v>
      </c>
      <c r="W10" s="16" t="e">
        <f>'JPM Corr'!AS75*VLOOKUP('JPM Cov matrix'!$B10,'[1]Asset Universe'!$C$3:$O$23,13,0)*VLOOKUP('JPM Cov matrix'!W$2,'[1]Asset Universe'!$C$3:$O$23,13,0)</f>
        <v>#REF!</v>
      </c>
    </row>
    <row r="11" spans="2:23" x14ac:dyDescent="0.35">
      <c r="B11" s="13" t="s">
        <v>93</v>
      </c>
      <c r="C11" s="16">
        <f>'JPM Corr'!Y76*VLOOKUP('JPM Cov matrix'!$B11,'[1]Asset Universe'!$C$3:$O$23,13,0)*VLOOKUP('JPM Cov matrix'!C$2,'[1]Asset Universe'!$C$3:$O$23,13,0)</f>
        <v>-9.7966695250127818E-5</v>
      </c>
      <c r="D11" s="16">
        <f>'JPM Corr'!Z76*VLOOKUP('JPM Cov matrix'!$B11,'[1]Asset Universe'!$C$3:$O$23,13,0)*VLOOKUP('JPM Cov matrix'!D$2,'[1]Asset Universe'!$C$3:$O$23,13,0)</f>
        <v>0</v>
      </c>
      <c r="E11" s="16">
        <f>'JPM Corr'!AA76*VLOOKUP('JPM Cov matrix'!$B11,'[1]Asset Universe'!$C$3:$O$23,13,0)*VLOOKUP('JPM Cov matrix'!E$2,'[1]Asset Universe'!$C$3:$O$23,13,0)</f>
        <v>2.2125926935396482E-3</v>
      </c>
      <c r="F11" s="16">
        <f>'JPM Corr'!AB76*VLOOKUP('JPM Cov matrix'!$B11,'[1]Asset Universe'!$C$3:$O$23,13,0)*VLOOKUP('JPM Cov matrix'!F$2,'[1]Asset Universe'!$C$3:$O$23,13,0)</f>
        <v>1.0054696310917415E-3</v>
      </c>
      <c r="G11" s="16">
        <f>'JPM Corr'!AC76*VLOOKUP('JPM Cov matrix'!$B11,'[1]Asset Universe'!$C$3:$O$23,13,0)*VLOOKUP('JPM Cov matrix'!G$2,'[1]Asset Universe'!$C$3:$O$23,13,0)</f>
        <v>2.4658201830241311E-3</v>
      </c>
      <c r="H11" s="16">
        <f>'JPM Corr'!AD76*VLOOKUP('JPM Cov matrix'!$B11,'[1]Asset Universe'!$C$3:$O$23,13,0)*VLOOKUP('JPM Cov matrix'!H$2,'[1]Asset Universe'!$C$3:$O$23,13,0)</f>
        <v>2.8161069810258752E-3</v>
      </c>
      <c r="I11" s="16">
        <f>'JPM Corr'!AE76*VLOOKUP('JPM Cov matrix'!$B11,'[1]Asset Universe'!$C$3:$O$23,13,0)*VLOOKUP('JPM Cov matrix'!I$2,'[1]Asset Universe'!$C$3:$O$23,13,0)</f>
        <v>3.2309878471276643E-3</v>
      </c>
      <c r="J11" s="16">
        <f>'JPM Corr'!AF76*VLOOKUP('JPM Cov matrix'!$B11,'[1]Asset Universe'!$C$3:$O$23,13,0)*VLOOKUP('JPM Cov matrix'!J$2,'[1]Asset Universe'!$C$3:$O$23,13,0)</f>
        <v>3.696046950692923E-3</v>
      </c>
      <c r="K11" s="16">
        <f>'JPM Corr'!AG76*VLOOKUP('JPM Cov matrix'!$B11,'[1]Asset Universe'!$C$3:$O$23,13,0)*VLOOKUP('JPM Cov matrix'!K$2,'[1]Asset Universe'!$C$3:$O$23,13,0)</f>
        <v>1.6133452300916451E-2</v>
      </c>
      <c r="L11" s="16">
        <f>'JPM Corr'!AH76*VLOOKUP('JPM Cov matrix'!$B11,'[1]Asset Universe'!$C$3:$O$23,13,0)*VLOOKUP('JPM Cov matrix'!L$2,'[1]Asset Universe'!$C$3:$O$23,13,0)</f>
        <v>1.4819581532853399E-2</v>
      </c>
      <c r="M11" s="16">
        <f>'JPM Corr'!AI76*VLOOKUP('JPM Cov matrix'!$B11,'[1]Asset Universe'!$C$3:$O$23,13,0)*VLOOKUP('JPM Cov matrix'!M$2,'[1]Asset Universe'!$C$3:$O$23,13,0)</f>
        <v>6.2278500460204514E-4</v>
      </c>
      <c r="N11" s="16">
        <f>'JPM Corr'!AJ76*VLOOKUP('JPM Cov matrix'!$B11,'[1]Asset Universe'!$C$3:$O$23,13,0)*VLOOKUP('JPM Cov matrix'!N$2,'[1]Asset Universe'!$C$3:$O$23,13,0)</f>
        <v>2.2248166431630533E-3</v>
      </c>
      <c r="O11" s="16">
        <f>'JPM Corr'!AK76*VLOOKUP('JPM Cov matrix'!$B11,'[1]Asset Universe'!$C$3:$O$23,13,0)*VLOOKUP('JPM Cov matrix'!O$2,'[1]Asset Universe'!$C$3:$O$23,13,0)</f>
        <v>2.365327365633294E-3</v>
      </c>
      <c r="P11" s="16">
        <f>'JPM Corr'!AL76*VLOOKUP('JPM Cov matrix'!$B11,'[1]Asset Universe'!$C$3:$O$23,13,0)*VLOOKUP('JPM Cov matrix'!P$2,'[1]Asset Universe'!$C$3:$O$23,13,0)</f>
        <v>2.6978465390093656E-3</v>
      </c>
      <c r="Q11" s="16">
        <f>'JPM Corr'!AM76*VLOOKUP('JPM Cov matrix'!$B11,'[1]Asset Universe'!$C$3:$O$23,13,0)*VLOOKUP('JPM Cov matrix'!Q$2,'[1]Asset Universe'!$C$3:$O$23,13,0)</f>
        <v>3.0216886063971909E-3</v>
      </c>
      <c r="R11" s="16">
        <f>'JPM Corr'!AN76*VLOOKUP('JPM Cov matrix'!$B11,'[1]Asset Universe'!$C$3:$O$23,13,0)*VLOOKUP('JPM Cov matrix'!R$2,'[1]Asset Universe'!$C$3:$O$23,13,0)</f>
        <v>3.3650843585107198E-3</v>
      </c>
      <c r="S11" s="16">
        <f>'JPM Corr'!AO76*VLOOKUP('JPM Cov matrix'!$B11,'[1]Asset Universe'!$C$3:$O$23,13,0)*VLOOKUP('JPM Cov matrix'!S$2,'[1]Asset Universe'!$C$3:$O$23,13,0)</f>
        <v>1.0352418133456319E-2</v>
      </c>
      <c r="T11" s="16">
        <f>'JPM Corr'!AP76*VLOOKUP('JPM Cov matrix'!$B11,'[1]Asset Universe'!$C$3:$O$23,13,0)*VLOOKUP('JPM Cov matrix'!T$2,'[1]Asset Universe'!$C$3:$O$23,13,0)</f>
        <v>1.8793653518428234E-3</v>
      </c>
      <c r="U11" s="16">
        <f>'JPM Corr'!AQ76*VLOOKUP('JPM Cov matrix'!$B11,'[1]Asset Universe'!$C$3:$O$23,13,0)*VLOOKUP('JPM Cov matrix'!U$2,'[1]Asset Universe'!$C$3:$O$23,13,0)</f>
        <v>5.3375133589760142E-3</v>
      </c>
      <c r="V11" s="16" t="e">
        <f>'JPM Corr'!AR76*VLOOKUP('JPM Cov matrix'!$B11,'[1]Asset Universe'!$C$3:$O$23,13,0)*VLOOKUP('JPM Cov matrix'!V$2,'[1]Asset Universe'!$C$3:$O$23,13,0)</f>
        <v>#REF!</v>
      </c>
      <c r="W11" s="16" t="e">
        <f>'JPM Corr'!AS76*VLOOKUP('JPM Cov matrix'!$B11,'[1]Asset Universe'!$C$3:$O$23,13,0)*VLOOKUP('JPM Cov matrix'!W$2,'[1]Asset Universe'!$C$3:$O$23,13,0)</f>
        <v>#REF!</v>
      </c>
    </row>
    <row r="12" spans="2:23" x14ac:dyDescent="0.35">
      <c r="B12" s="13" t="s">
        <v>103</v>
      </c>
      <c r="C12" s="16">
        <f>'JPM Corr'!Y77*VLOOKUP('JPM Cov matrix'!$B12,'[1]Asset Universe'!$C$3:$O$23,13,0)*VLOOKUP('JPM Cov matrix'!C$2,'[1]Asset Universe'!$C$3:$O$23,13,0)</f>
        <v>-8.9988515829374027E-5</v>
      </c>
      <c r="D12" s="16">
        <f>'JPM Corr'!Z77*VLOOKUP('JPM Cov matrix'!$B12,'[1]Asset Universe'!$C$3:$O$23,13,0)*VLOOKUP('JPM Cov matrix'!D$2,'[1]Asset Universe'!$C$3:$O$23,13,0)</f>
        <v>0</v>
      </c>
      <c r="E12" s="16">
        <f>'JPM Corr'!AA77*VLOOKUP('JPM Cov matrix'!$B12,'[1]Asset Universe'!$C$3:$O$23,13,0)*VLOOKUP('JPM Cov matrix'!E$2,'[1]Asset Universe'!$C$3:$O$23,13,0)</f>
        <v>2.0324042994222589E-3</v>
      </c>
      <c r="F12" s="16">
        <f>'JPM Corr'!AB77*VLOOKUP('JPM Cov matrix'!$B12,'[1]Asset Universe'!$C$3:$O$23,13,0)*VLOOKUP('JPM Cov matrix'!F$2,'[1]Asset Universe'!$C$3:$O$23,13,0)</f>
        <v>9.2358652685424741E-4</v>
      </c>
      <c r="G12" s="16">
        <f>'JPM Corr'!AC77*VLOOKUP('JPM Cov matrix'!$B12,'[1]Asset Universe'!$C$3:$O$23,13,0)*VLOOKUP('JPM Cov matrix'!G$2,'[1]Asset Universe'!$C$3:$O$23,13,0)</f>
        <v>2.2650095321263526E-3</v>
      </c>
      <c r="H12" s="16">
        <f>'JPM Corr'!AD77*VLOOKUP('JPM Cov matrix'!$B12,'[1]Asset Universe'!$C$3:$O$23,13,0)*VLOOKUP('JPM Cov matrix'!H$2,'[1]Asset Universe'!$C$3:$O$23,13,0)</f>
        <v>2.5867697893884713E-3</v>
      </c>
      <c r="I12" s="16">
        <f>'JPM Corr'!AE77*VLOOKUP('JPM Cov matrix'!$B12,'[1]Asset Universe'!$C$3:$O$23,13,0)*VLOOKUP('JPM Cov matrix'!I$2,'[1]Asset Universe'!$C$3:$O$23,13,0)</f>
        <v>2.9678637243342508E-3</v>
      </c>
      <c r="J12" s="16">
        <f>'JPM Corr'!AF77*VLOOKUP('JPM Cov matrix'!$B12,'[1]Asset Universe'!$C$3:$O$23,13,0)*VLOOKUP('JPM Cov matrix'!J$2,'[1]Asset Universe'!$C$3:$O$23,13,0)</f>
        <v>3.3950494979885087E-3</v>
      </c>
      <c r="K12" s="16">
        <f>'JPM Corr'!AG77*VLOOKUP('JPM Cov matrix'!$B12,'[1]Asset Universe'!$C$3:$O$23,13,0)*VLOOKUP('JPM Cov matrix'!K$2,'[1]Asset Universe'!$C$3:$O$23,13,0)</f>
        <v>1.4819581532853399E-2</v>
      </c>
      <c r="L12" s="16">
        <f>'JPM Corr'!AH77*VLOOKUP('JPM Cov matrix'!$B12,'[1]Asset Universe'!$C$3:$O$23,13,0)*VLOOKUP('JPM Cov matrix'!L$2,'[1]Asset Universe'!$C$3:$O$23,13,0)</f>
        <v>1.3612709339117337E-2</v>
      </c>
      <c r="M12" s="16">
        <f>'JPM Corr'!AI77*VLOOKUP('JPM Cov matrix'!$B12,'[1]Asset Universe'!$C$3:$O$23,13,0)*VLOOKUP('JPM Cov matrix'!M$2,'[1]Asset Universe'!$C$3:$O$23,13,0)</f>
        <v>5.7206684477656498E-4</v>
      </c>
      <c r="N12" s="16">
        <f>'JPM Corr'!AJ77*VLOOKUP('JPM Cov matrix'!$B12,'[1]Asset Universe'!$C$3:$O$23,13,0)*VLOOKUP('JPM Cov matrix'!N$2,'[1]Asset Universe'!$C$3:$O$23,13,0)</f>
        <v>2.0436327590673932E-3</v>
      </c>
      <c r="O12" s="16">
        <f>'JPM Corr'!AK77*VLOOKUP('JPM Cov matrix'!$B12,'[1]Asset Universe'!$C$3:$O$23,13,0)*VLOOKUP('JPM Cov matrix'!O$2,'[1]Asset Universe'!$C$3:$O$23,13,0)</f>
        <v>2.1727006156581109E-3</v>
      </c>
      <c r="P12" s="16">
        <f>'JPM Corr'!AL77*VLOOKUP('JPM Cov matrix'!$B12,'[1]Asset Universe'!$C$3:$O$23,13,0)*VLOOKUP('JPM Cov matrix'!P$2,'[1]Asset Universe'!$C$3:$O$23,13,0)</f>
        <v>2.4781402022494934E-3</v>
      </c>
      <c r="Q12" s="16">
        <f>'JPM Corr'!AM77*VLOOKUP('JPM Cov matrix'!$B12,'[1]Asset Universe'!$C$3:$O$23,13,0)*VLOOKUP('JPM Cov matrix'!Q$2,'[1]Asset Universe'!$C$3:$O$23,13,0)</f>
        <v>2.7756093261486025E-3</v>
      </c>
      <c r="R12" s="16">
        <f>'JPM Corr'!AN77*VLOOKUP('JPM Cov matrix'!$B12,'[1]Asset Universe'!$C$3:$O$23,13,0)*VLOOKUP('JPM Cov matrix'!R$2,'[1]Asset Universe'!$C$3:$O$23,13,0)</f>
        <v>3.0910397282450514E-3</v>
      </c>
      <c r="S12" s="16">
        <f>'JPM Corr'!AO77*VLOOKUP('JPM Cov matrix'!$B12,'[1]Asset Universe'!$C$3:$O$23,13,0)*VLOOKUP('JPM Cov matrix'!S$2,'[1]Asset Universe'!$C$3:$O$23,13,0)</f>
        <v>9.5093413194788472E-3</v>
      </c>
      <c r="T12" s="16">
        <f>'JPM Corr'!AP77*VLOOKUP('JPM Cov matrix'!$B12,'[1]Asset Universe'!$C$3:$O$23,13,0)*VLOOKUP('JPM Cov matrix'!T$2,'[1]Asset Universe'!$C$3:$O$23,13,0)</f>
        <v>1.7263142160882921E-3</v>
      </c>
      <c r="U12" s="16">
        <f>'JPM Corr'!AQ77*VLOOKUP('JPM Cov matrix'!$B12,'[1]Asset Universe'!$C$3:$O$23,13,0)*VLOOKUP('JPM Cov matrix'!U$2,'[1]Asset Universe'!$C$3:$O$23,13,0)</f>
        <v>4.9028387062294183E-3</v>
      </c>
      <c r="V12" s="16" t="e">
        <f>'JPM Corr'!AR77*VLOOKUP('JPM Cov matrix'!$B12,'[1]Asset Universe'!$C$3:$O$23,13,0)*VLOOKUP('JPM Cov matrix'!V$2,'[1]Asset Universe'!$C$3:$O$23,13,0)</f>
        <v>#REF!</v>
      </c>
      <c r="W12" s="16" t="e">
        <f>'JPM Corr'!AS77*VLOOKUP('JPM Cov matrix'!$B12,'[1]Asset Universe'!$C$3:$O$23,13,0)*VLOOKUP('JPM Cov matrix'!W$2,'[1]Asset Universe'!$C$3:$O$23,13,0)</f>
        <v>#REF!</v>
      </c>
    </row>
    <row r="13" spans="2:23" x14ac:dyDescent="0.35">
      <c r="B13" s="13" t="s">
        <v>104</v>
      </c>
      <c r="C13" s="16">
        <f>'JPM Corr'!Y78*VLOOKUP('JPM Cov matrix'!$B13,'[1]Asset Universe'!$C$3:$O$23,13,0)*VLOOKUP('JPM Cov matrix'!C$2,'[1]Asset Universe'!$C$3:$O$23,13,0)</f>
        <v>7.1653629793607906E-4</v>
      </c>
      <c r="D13" s="16">
        <f>'JPM Corr'!Z78*VLOOKUP('JPM Cov matrix'!$B13,'[1]Asset Universe'!$C$3:$O$23,13,0)*VLOOKUP('JPM Cov matrix'!D$2,'[1]Asset Universe'!$C$3:$O$23,13,0)</f>
        <v>1.626800593244584E-3</v>
      </c>
      <c r="E13" s="16">
        <f>'JPM Corr'!AA78*VLOOKUP('JPM Cov matrix'!$B13,'[1]Asset Universe'!$C$3:$O$23,13,0)*VLOOKUP('JPM Cov matrix'!E$2,'[1]Asset Universe'!$C$3:$O$23,13,0)</f>
        <v>6.3148266322060425E-4</v>
      </c>
      <c r="F13" s="16">
        <f>'JPM Corr'!AB78*VLOOKUP('JPM Cov matrix'!$B13,'[1]Asset Universe'!$C$3:$O$23,13,0)*VLOOKUP('JPM Cov matrix'!F$2,'[1]Asset Universe'!$C$3:$O$23,13,0)</f>
        <v>1.0751587497603381E-3</v>
      </c>
      <c r="G13" s="16">
        <f>'JPM Corr'!AC78*VLOOKUP('JPM Cov matrix'!$B13,'[1]Asset Universe'!$C$3:$O$23,13,0)*VLOOKUP('JPM Cov matrix'!G$2,'[1]Asset Universe'!$C$3:$O$23,13,0)</f>
        <v>4.8579683182599077E-4</v>
      </c>
      <c r="H13" s="16">
        <f>'JPM Corr'!AD78*VLOOKUP('JPM Cov matrix'!$B13,'[1]Asset Universe'!$C$3:$O$23,13,0)*VLOOKUP('JPM Cov matrix'!H$2,'[1]Asset Universe'!$C$3:$O$23,13,0)</f>
        <v>5.5480762907359068E-4</v>
      </c>
      <c r="I13" s="16">
        <f>'JPM Corr'!AE78*VLOOKUP('JPM Cov matrix'!$B13,'[1]Asset Universe'!$C$3:$O$23,13,0)*VLOOKUP('JPM Cov matrix'!I$2,'[1]Asset Universe'!$C$3:$O$23,13,0)</f>
        <v>6.3654425031021706E-4</v>
      </c>
      <c r="J13" s="16">
        <f>'JPM Corr'!AF78*VLOOKUP('JPM Cov matrix'!$B13,'[1]Asset Universe'!$C$3:$O$23,13,0)*VLOOKUP('JPM Cov matrix'!J$2,'[1]Asset Universe'!$C$3:$O$23,13,0)</f>
        <v>7.2816660001730725E-4</v>
      </c>
      <c r="K13" s="16">
        <f>'JPM Corr'!AG78*VLOOKUP('JPM Cov matrix'!$B13,'[1]Asset Universe'!$C$3:$O$23,13,0)*VLOOKUP('JPM Cov matrix'!K$2,'[1]Asset Universe'!$C$3:$O$23,13,0)</f>
        <v>6.2278500460204525E-4</v>
      </c>
      <c r="L13" s="16">
        <f>'JPM Corr'!AH78*VLOOKUP('JPM Cov matrix'!$B13,'[1]Asset Universe'!$C$3:$O$23,13,0)*VLOOKUP('JPM Cov matrix'!L$2,'[1]Asset Universe'!$C$3:$O$23,13,0)</f>
        <v>5.7206684477656509E-4</v>
      </c>
      <c r="M13" s="16">
        <f>'JPM Corr'!AI78*VLOOKUP('JPM Cov matrix'!$B13,'[1]Asset Universe'!$C$3:$O$23,13,0)*VLOOKUP('JPM Cov matrix'!M$2,'[1]Asset Universe'!$C$3:$O$23,13,0)</f>
        <v>6.6595024475316652E-4</v>
      </c>
      <c r="N13" s="16">
        <f>'JPM Corr'!AJ78*VLOOKUP('JPM Cov matrix'!$B13,'[1]Asset Universe'!$C$3:$O$23,13,0)*VLOOKUP('JPM Cov matrix'!N$2,'[1]Asset Universe'!$C$3:$O$23,13,0)</f>
        <v>8.3265655400170321E-4</v>
      </c>
      <c r="O13" s="16">
        <f>'JPM Corr'!AK78*VLOOKUP('JPM Cov matrix'!$B13,'[1]Asset Universe'!$C$3:$O$23,13,0)*VLOOKUP('JPM Cov matrix'!O$2,'[1]Asset Universe'!$C$3:$O$23,13,0)</f>
        <v>8.8524388713402994E-4</v>
      </c>
      <c r="P13" s="16">
        <f>'JPM Corr'!AL78*VLOOKUP('JPM Cov matrix'!$B13,'[1]Asset Universe'!$C$3:$O$23,13,0)*VLOOKUP('JPM Cov matrix'!P$2,'[1]Asset Universe'!$C$3:$O$23,13,0)</f>
        <v>1.0096920163287031E-3</v>
      </c>
      <c r="Q13" s="16">
        <f>'JPM Corr'!AM78*VLOOKUP('JPM Cov matrix'!$B13,'[1]Asset Universe'!$C$3:$O$23,13,0)*VLOOKUP('JPM Cov matrix'!Q$2,'[1]Asset Universe'!$C$3:$O$23,13,0)</f>
        <v>-4.5814414991730825E-5</v>
      </c>
      <c r="R13" s="16">
        <f>'JPM Corr'!AN78*VLOOKUP('JPM Cov matrix'!$B13,'[1]Asset Universe'!$C$3:$O$23,13,0)*VLOOKUP('JPM Cov matrix'!R$2,'[1]Asset Universe'!$C$3:$O$23,13,0)</f>
        <v>-5.1020932784603209E-5</v>
      </c>
      <c r="S13" s="16">
        <f>'JPM Corr'!AO78*VLOOKUP('JPM Cov matrix'!$B13,'[1]Asset Universe'!$C$3:$O$23,13,0)*VLOOKUP('JPM Cov matrix'!S$2,'[1]Asset Universe'!$C$3:$O$23,13,0)</f>
        <v>-2.7315447282841342E-4</v>
      </c>
      <c r="T13" s="16">
        <f>'JPM Corr'!AP78*VLOOKUP('JPM Cov matrix'!$B13,'[1]Asset Universe'!$C$3:$O$23,13,0)*VLOOKUP('JPM Cov matrix'!T$2,'[1]Asset Universe'!$C$3:$O$23,13,0)</f>
        <v>2.8831955345245703E-4</v>
      </c>
      <c r="U13" s="16">
        <f>'JPM Corr'!AQ78*VLOOKUP('JPM Cov matrix'!$B13,'[1]Asset Universe'!$C$3:$O$23,13,0)*VLOOKUP('JPM Cov matrix'!U$2,'[1]Asset Universe'!$C$3:$O$23,13,0)</f>
        <v>8.1884529088370234E-4</v>
      </c>
      <c r="V13" s="16" t="e">
        <f>'JPM Corr'!AR78*VLOOKUP('JPM Cov matrix'!$B13,'[1]Asset Universe'!$C$3:$O$23,13,0)*VLOOKUP('JPM Cov matrix'!V$2,'[1]Asset Universe'!$C$3:$O$23,13,0)</f>
        <v>#REF!</v>
      </c>
      <c r="W13" s="16" t="e">
        <f>'JPM Corr'!AS78*VLOOKUP('JPM Cov matrix'!$B13,'[1]Asset Universe'!$C$3:$O$23,13,0)*VLOOKUP('JPM Cov matrix'!W$2,'[1]Asset Universe'!$C$3:$O$23,13,0)</f>
        <v>#REF!</v>
      </c>
    </row>
    <row r="14" spans="2:23" x14ac:dyDescent="0.35">
      <c r="B14" s="13" t="s">
        <v>91</v>
      </c>
      <c r="C14" s="16">
        <f>'JPM Corr'!Y79*VLOOKUP('JPM Cov matrix'!$B14,'[1]Asset Universe'!$C$3:$O$23,13,0)*VLOOKUP('JPM Cov matrix'!C$2,'[1]Asset Universe'!$C$3:$O$23,13,0)</f>
        <v>1.3865207830472681E-3</v>
      </c>
      <c r="D14" s="16">
        <f>'JPM Corr'!Z79*VLOOKUP('JPM Cov matrix'!$B14,'[1]Asset Universe'!$C$3:$O$23,13,0)*VLOOKUP('JPM Cov matrix'!D$2,'[1]Asset Universe'!$C$3:$O$23,13,0)</f>
        <v>2.9057644357307582E-3</v>
      </c>
      <c r="E14" s="16">
        <f>'JPM Corr'!AA79*VLOOKUP('JPM Cov matrix'!$B14,'[1]Asset Universe'!$C$3:$O$23,13,0)*VLOOKUP('JPM Cov matrix'!E$2,'[1]Asset Universe'!$C$3:$O$23,13,0)</f>
        <v>1.3191208745463043E-3</v>
      </c>
      <c r="F14" s="16">
        <f>'JPM Corr'!AB79*VLOOKUP('JPM Cov matrix'!$B14,'[1]Asset Universe'!$C$3:$O$23,13,0)*VLOOKUP('JPM Cov matrix'!F$2,'[1]Asset Universe'!$C$3:$O$23,13,0)</f>
        <v>1.3443016000572858E-3</v>
      </c>
      <c r="G14" s="16">
        <f>'JPM Corr'!AC79*VLOOKUP('JPM Cov matrix'!$B14,'[1]Asset Universe'!$C$3:$O$23,13,0)*VLOOKUP('JPM Cov matrix'!G$2,'[1]Asset Universe'!$C$3:$O$23,13,0)</f>
        <v>1.0168620735534414E-3</v>
      </c>
      <c r="H14" s="16">
        <f>'JPM Corr'!AD79*VLOOKUP('JPM Cov matrix'!$B14,'[1]Asset Universe'!$C$3:$O$23,13,0)*VLOOKUP('JPM Cov matrix'!H$2,'[1]Asset Universe'!$C$3:$O$23,13,0)</f>
        <v>1.161314358519982E-3</v>
      </c>
      <c r="I14" s="16">
        <f>'JPM Corr'!AE79*VLOOKUP('JPM Cov matrix'!$B14,'[1]Asset Universe'!$C$3:$O$23,13,0)*VLOOKUP('JPM Cov matrix'!I$2,'[1]Asset Universe'!$C$3:$O$23,13,0)</f>
        <v>1.3324041324971399E-3</v>
      </c>
      <c r="J14" s="16">
        <f>'JPM Corr'!AF79*VLOOKUP('JPM Cov matrix'!$B14,'[1]Asset Universe'!$C$3:$O$23,13,0)*VLOOKUP('JPM Cov matrix'!J$2,'[1]Asset Universe'!$C$3:$O$23,13,0)</f>
        <v>1.5241865534668226E-3</v>
      </c>
      <c r="K14" s="16">
        <f>'JPM Corr'!AG79*VLOOKUP('JPM Cov matrix'!$B14,'[1]Asset Universe'!$C$3:$O$23,13,0)*VLOOKUP('JPM Cov matrix'!K$2,'[1]Asset Universe'!$C$3:$O$23,13,0)</f>
        <v>2.2248166431630538E-3</v>
      </c>
      <c r="L14" s="16">
        <f>'JPM Corr'!AH79*VLOOKUP('JPM Cov matrix'!$B14,'[1]Asset Universe'!$C$3:$O$23,13,0)*VLOOKUP('JPM Cov matrix'!L$2,'[1]Asset Universe'!$C$3:$O$23,13,0)</f>
        <v>2.0436327590673937E-3</v>
      </c>
      <c r="M14" s="16">
        <f>'JPM Corr'!AI79*VLOOKUP('JPM Cov matrix'!$B14,'[1]Asset Universe'!$C$3:$O$23,13,0)*VLOOKUP('JPM Cov matrix'!M$2,'[1]Asset Universe'!$C$3:$O$23,13,0)</f>
        <v>8.3265655400170332E-4</v>
      </c>
      <c r="N14" s="16">
        <f>'JPM Corr'!AJ79*VLOOKUP('JPM Cov matrix'!$B14,'[1]Asset Universe'!$C$3:$O$23,13,0)*VLOOKUP('JPM Cov matrix'!N$2,'[1]Asset Universe'!$C$3:$O$23,13,0)</f>
        <v>2.124682039654535E-3</v>
      </c>
      <c r="O14" s="16">
        <f>'JPM Corr'!AK79*VLOOKUP('JPM Cov matrix'!$B14,'[1]Asset Universe'!$C$3:$O$23,13,0)*VLOOKUP('JPM Cov matrix'!O$2,'[1]Asset Universe'!$C$3:$O$23,13,0)</f>
        <v>2.2588686519890077E-3</v>
      </c>
      <c r="P14" s="16">
        <f>'JPM Corr'!AL79*VLOOKUP('JPM Cov matrix'!$B14,'[1]Asset Universe'!$C$3:$O$23,13,0)*VLOOKUP('JPM Cov matrix'!P$2,'[1]Asset Universe'!$C$3:$O$23,13,0)</f>
        <v>2.57642179403512E-3</v>
      </c>
      <c r="Q14" s="16">
        <f>'JPM Corr'!AM79*VLOOKUP('JPM Cov matrix'!$B14,'[1]Asset Universe'!$C$3:$O$23,13,0)*VLOOKUP('JPM Cov matrix'!Q$2,'[1]Asset Universe'!$C$3:$O$23,13,0)</f>
        <v>2.1276567978088565E-4</v>
      </c>
      <c r="R14" s="16">
        <f>'JPM Corr'!AN79*VLOOKUP('JPM Cov matrix'!$B14,'[1]Asset Universe'!$C$3:$O$23,13,0)*VLOOKUP('JPM Cov matrix'!R$2,'[1]Asset Universe'!$C$3:$O$23,13,0)</f>
        <v>2.3694515031852565E-4</v>
      </c>
      <c r="S14" s="16">
        <f>'JPM Corr'!AO79*VLOOKUP('JPM Cov matrix'!$B14,'[1]Asset Universe'!$C$3:$O$23,13,0)*VLOOKUP('JPM Cov matrix'!S$2,'[1]Asset Universe'!$C$3:$O$23,13,0)</f>
        <v>1.9516160884169381E-4</v>
      </c>
      <c r="T14" s="16">
        <f>'JPM Corr'!AP79*VLOOKUP('JPM Cov matrix'!$B14,'[1]Asset Universe'!$C$3:$O$23,13,0)*VLOOKUP('JPM Cov matrix'!T$2,'[1]Asset Universe'!$C$3:$O$23,13,0)</f>
        <v>6.9593464788435776E-4</v>
      </c>
      <c r="U14" s="16">
        <f>'JPM Corr'!AQ79*VLOOKUP('JPM Cov matrix'!$B14,'[1]Asset Universe'!$C$3:$O$23,13,0)*VLOOKUP('JPM Cov matrix'!U$2,'[1]Asset Universe'!$C$3:$O$23,13,0)</f>
        <v>1.9764972661726965E-3</v>
      </c>
      <c r="V14" s="16" t="e">
        <f>'JPM Corr'!AR79*VLOOKUP('JPM Cov matrix'!$B14,'[1]Asset Universe'!$C$3:$O$23,13,0)*VLOOKUP('JPM Cov matrix'!V$2,'[1]Asset Universe'!$C$3:$O$23,13,0)</f>
        <v>#REF!</v>
      </c>
      <c r="W14" s="16" t="e">
        <f>'JPM Corr'!AS79*VLOOKUP('JPM Cov matrix'!$B14,'[1]Asset Universe'!$C$3:$O$23,13,0)*VLOOKUP('JPM Cov matrix'!W$2,'[1]Asset Universe'!$C$3:$O$23,13,0)</f>
        <v>#REF!</v>
      </c>
    </row>
    <row r="15" spans="2:23" x14ac:dyDescent="0.35">
      <c r="B15" s="13" t="s">
        <v>105</v>
      </c>
      <c r="C15" s="16">
        <f>'JPM Corr'!Y80*VLOOKUP('JPM Cov matrix'!$B15,'[1]Asset Universe'!$C$3:$O$23,13,0)*VLOOKUP('JPM Cov matrix'!C$2,'[1]Asset Universe'!$C$3:$O$23,13,0)</f>
        <v>1.47408801585482E-3</v>
      </c>
      <c r="D15" s="16">
        <f>'JPM Corr'!Z80*VLOOKUP('JPM Cov matrix'!$B15,'[1]Asset Universe'!$C$3:$O$23,13,0)*VLOOKUP('JPM Cov matrix'!D$2,'[1]Asset Universe'!$C$3:$O$23,13,0)</f>
        <v>3.089281158984135E-3</v>
      </c>
      <c r="E15" s="16">
        <f>'JPM Corr'!AA80*VLOOKUP('JPM Cov matrix'!$B15,'[1]Asset Universe'!$C$3:$O$23,13,0)*VLOOKUP('JPM Cov matrix'!E$2,'[1]Asset Universe'!$C$3:$O$23,13,0)</f>
        <v>1.40243139259626E-3</v>
      </c>
      <c r="F15" s="16">
        <f>'JPM Corr'!AB80*VLOOKUP('JPM Cov matrix'!$B15,'[1]Asset Universe'!$C$3:$O$23,13,0)*VLOOKUP('JPM Cov matrix'!F$2,'[1]Asset Universe'!$C$3:$O$23,13,0)</f>
        <v>1.4292024343001489E-3</v>
      </c>
      <c r="G15" s="16">
        <f>'JPM Corr'!AC80*VLOOKUP('JPM Cov matrix'!$B15,'[1]Asset Universe'!$C$3:$O$23,13,0)*VLOOKUP('JPM Cov matrix'!G$2,'[1]Asset Universe'!$C$3:$O$23,13,0)</f>
        <v>1.0810831072492551E-3</v>
      </c>
      <c r="H15" s="16">
        <f>'JPM Corr'!AD80*VLOOKUP('JPM Cov matrix'!$B15,'[1]Asset Universe'!$C$3:$O$23,13,0)*VLOOKUP('JPM Cov matrix'!H$2,'[1]Asset Universe'!$C$3:$O$23,13,0)</f>
        <v>1.2346584338765545E-3</v>
      </c>
      <c r="I15" s="16">
        <f>'JPM Corr'!AE80*VLOOKUP('JPM Cov matrix'!$B15,'[1]Asset Universe'!$C$3:$O$23,13,0)*VLOOKUP('JPM Cov matrix'!I$2,'[1]Asset Universe'!$C$3:$O$23,13,0)</f>
        <v>1.4165535691955903E-3</v>
      </c>
      <c r="J15" s="16">
        <f>'JPM Corr'!AF80*VLOOKUP('JPM Cov matrix'!$B15,'[1]Asset Universe'!$C$3:$O$23,13,0)*VLOOKUP('JPM Cov matrix'!J$2,'[1]Asset Universe'!$C$3:$O$23,13,0)</f>
        <v>1.6204482182045374E-3</v>
      </c>
      <c r="K15" s="16">
        <f>'JPM Corr'!AG80*VLOOKUP('JPM Cov matrix'!$B15,'[1]Asset Universe'!$C$3:$O$23,13,0)*VLOOKUP('JPM Cov matrix'!K$2,'[1]Asset Universe'!$C$3:$O$23,13,0)</f>
        <v>2.365327365633294E-3</v>
      </c>
      <c r="L15" s="16">
        <f>'JPM Corr'!AH80*VLOOKUP('JPM Cov matrix'!$B15,'[1]Asset Universe'!$C$3:$O$23,13,0)*VLOOKUP('JPM Cov matrix'!L$2,'[1]Asset Universe'!$C$3:$O$23,13,0)</f>
        <v>2.1727006156581109E-3</v>
      </c>
      <c r="M15" s="16">
        <f>'JPM Corr'!AI80*VLOOKUP('JPM Cov matrix'!$B15,'[1]Asset Universe'!$C$3:$O$23,13,0)*VLOOKUP('JPM Cov matrix'!M$2,'[1]Asset Universe'!$C$3:$O$23,13,0)</f>
        <v>8.8524388713403005E-4</v>
      </c>
      <c r="N15" s="16">
        <f>'JPM Corr'!AJ80*VLOOKUP('JPM Cov matrix'!$B15,'[1]Asset Universe'!$C$3:$O$23,13,0)*VLOOKUP('JPM Cov matrix'!N$2,'[1]Asset Universe'!$C$3:$O$23,13,0)</f>
        <v>2.2588686519890077E-3</v>
      </c>
      <c r="O15" s="16">
        <f>'JPM Corr'!AK80*VLOOKUP('JPM Cov matrix'!$B15,'[1]Asset Universe'!$C$3:$O$23,13,0)*VLOOKUP('JPM Cov matrix'!O$2,'[1]Asset Universe'!$C$3:$O$23,13,0)</f>
        <v>2.4015299662288672E-3</v>
      </c>
      <c r="P15" s="16">
        <f>'JPM Corr'!AL80*VLOOKUP('JPM Cov matrix'!$B15,'[1]Asset Universe'!$C$3:$O$23,13,0)*VLOOKUP('JPM Cov matrix'!P$2,'[1]Asset Universe'!$C$3:$O$23,13,0)</f>
        <v>2.7391385234251278E-3</v>
      </c>
      <c r="Q15" s="16">
        <f>'JPM Corr'!AM80*VLOOKUP('JPM Cov matrix'!$B15,'[1]Asset Universe'!$C$3:$O$23,13,0)*VLOOKUP('JPM Cov matrix'!Q$2,'[1]Asset Universe'!$C$3:$O$23,13,0)</f>
        <v>2.2620312842401552E-4</v>
      </c>
      <c r="R15" s="16">
        <f>'JPM Corr'!AN80*VLOOKUP('JPM Cov matrix'!$B15,'[1]Asset Universe'!$C$3:$O$23,13,0)*VLOOKUP('JPM Cov matrix'!R$2,'[1]Asset Universe'!$C$3:$O$23,13,0)</f>
        <v>2.5190967980430939E-4</v>
      </c>
      <c r="S15" s="16">
        <f>'JPM Corr'!AO80*VLOOKUP('JPM Cov matrix'!$B15,'[1]Asset Universe'!$C$3:$O$23,13,0)*VLOOKUP('JPM Cov matrix'!S$2,'[1]Asset Universe'!$C$3:$O$23,13,0)</f>
        <v>2.0748725317785551E-4</v>
      </c>
      <c r="T15" s="16">
        <f>'JPM Corr'!AP80*VLOOKUP('JPM Cov matrix'!$B15,'[1]Asset Universe'!$C$3:$O$23,13,0)*VLOOKUP('JPM Cov matrix'!T$2,'[1]Asset Universe'!$C$3:$O$23,13,0)</f>
        <v>7.3988715986632477E-4</v>
      </c>
      <c r="U15" s="16">
        <f>'JPM Corr'!AQ80*VLOOKUP('JPM Cov matrix'!$B15,'[1]Asset Universe'!$C$3:$O$23,13,0)*VLOOKUP('JPM Cov matrix'!U$2,'[1]Asset Universe'!$C$3:$O$23,13,0)</f>
        <v>2.1013251074619202E-3</v>
      </c>
      <c r="V15" s="16" t="e">
        <f>'JPM Corr'!AR80*VLOOKUP('JPM Cov matrix'!$B15,'[1]Asset Universe'!$C$3:$O$23,13,0)*VLOOKUP('JPM Cov matrix'!V$2,'[1]Asset Universe'!$C$3:$O$23,13,0)</f>
        <v>#REF!</v>
      </c>
      <c r="W15" s="16" t="e">
        <f>'JPM Corr'!AS80*VLOOKUP('JPM Cov matrix'!$B15,'[1]Asset Universe'!$C$3:$O$23,13,0)*VLOOKUP('JPM Cov matrix'!W$2,'[1]Asset Universe'!$C$3:$O$23,13,0)</f>
        <v>#REF!</v>
      </c>
    </row>
    <row r="16" spans="2:23" x14ac:dyDescent="0.35">
      <c r="B16" s="13" t="s">
        <v>106</v>
      </c>
      <c r="C16" s="16">
        <f>'JPM Corr'!Y81*VLOOKUP('JPM Cov matrix'!$B16,'[1]Asset Universe'!$C$3:$O$23,13,0)*VLOOKUP('JPM Cov matrix'!C$2,'[1]Asset Universe'!$C$3:$O$23,13,0)</f>
        <v>1.6813162142164375E-3</v>
      </c>
      <c r="D16" s="16">
        <f>'JPM Corr'!Z81*VLOOKUP('JPM Cov matrix'!$B16,'[1]Asset Universe'!$C$3:$O$23,13,0)*VLOOKUP('JPM Cov matrix'!D$2,'[1]Asset Universe'!$C$3:$O$23,13,0)</f>
        <v>3.523574201138426E-3</v>
      </c>
      <c r="E16" s="16">
        <f>'JPM Corr'!AA81*VLOOKUP('JPM Cov matrix'!$B16,'[1]Asset Universe'!$C$3:$O$23,13,0)*VLOOKUP('JPM Cov matrix'!E$2,'[1]Asset Universe'!$C$3:$O$23,13,0)</f>
        <v>1.599586058862891E-3</v>
      </c>
      <c r="F16" s="16">
        <f>'JPM Corr'!AB81*VLOOKUP('JPM Cov matrix'!$B16,'[1]Asset Universe'!$C$3:$O$23,13,0)*VLOOKUP('JPM Cov matrix'!F$2,'[1]Asset Universe'!$C$3:$O$23,13,0)</f>
        <v>1.630120590046981E-3</v>
      </c>
      <c r="G16" s="16">
        <f>'JPM Corr'!AC81*VLOOKUP('JPM Cov matrix'!$B16,'[1]Asset Universe'!$C$3:$O$23,13,0)*VLOOKUP('JPM Cov matrix'!G$2,'[1]Asset Universe'!$C$3:$O$23,13,0)</f>
        <v>1.2330624342533673E-3</v>
      </c>
      <c r="H16" s="16">
        <f>'JPM Corr'!AD81*VLOOKUP('JPM Cov matrix'!$B16,'[1]Asset Universe'!$C$3:$O$23,13,0)*VLOOKUP('JPM Cov matrix'!H$2,'[1]Asset Universe'!$C$3:$O$23,13,0)</f>
        <v>1.4082274745934645E-3</v>
      </c>
      <c r="I16" s="16">
        <f>'JPM Corr'!AE81*VLOOKUP('JPM Cov matrix'!$B16,'[1]Asset Universe'!$C$3:$O$23,13,0)*VLOOKUP('JPM Cov matrix'!I$2,'[1]Asset Universe'!$C$3:$O$23,13,0)</f>
        <v>1.6156935397195972E-3</v>
      </c>
      <c r="J16" s="16">
        <f>'JPM Corr'!AF81*VLOOKUP('JPM Cov matrix'!$B16,'[1]Asset Universe'!$C$3:$O$23,13,0)*VLOOKUP('JPM Cov matrix'!J$2,'[1]Asset Universe'!$C$3:$O$23,13,0)</f>
        <v>1.8482518236779108E-3</v>
      </c>
      <c r="K16" s="16">
        <f>'JPM Corr'!AG81*VLOOKUP('JPM Cov matrix'!$B16,'[1]Asset Universe'!$C$3:$O$23,13,0)*VLOOKUP('JPM Cov matrix'!K$2,'[1]Asset Universe'!$C$3:$O$23,13,0)</f>
        <v>2.6978465390093656E-3</v>
      </c>
      <c r="L16" s="16">
        <f>'JPM Corr'!AH81*VLOOKUP('JPM Cov matrix'!$B16,'[1]Asset Universe'!$C$3:$O$23,13,0)*VLOOKUP('JPM Cov matrix'!L$2,'[1]Asset Universe'!$C$3:$O$23,13,0)</f>
        <v>2.4781402022494934E-3</v>
      </c>
      <c r="M16" s="16">
        <f>'JPM Corr'!AI81*VLOOKUP('JPM Cov matrix'!$B16,'[1]Asset Universe'!$C$3:$O$23,13,0)*VLOOKUP('JPM Cov matrix'!M$2,'[1]Asset Universe'!$C$3:$O$23,13,0)</f>
        <v>1.0096920163287031E-3</v>
      </c>
      <c r="N16" s="16">
        <f>'JPM Corr'!AJ81*VLOOKUP('JPM Cov matrix'!$B16,'[1]Asset Universe'!$C$3:$O$23,13,0)*VLOOKUP('JPM Cov matrix'!N$2,'[1]Asset Universe'!$C$3:$O$23,13,0)</f>
        <v>2.57642179403512E-3</v>
      </c>
      <c r="O16" s="16">
        <f>'JPM Corr'!AK81*VLOOKUP('JPM Cov matrix'!$B16,'[1]Asset Universe'!$C$3:$O$23,13,0)*VLOOKUP('JPM Cov matrix'!O$2,'[1]Asset Universe'!$C$3:$O$23,13,0)</f>
        <v>2.7391385234251278E-3</v>
      </c>
      <c r="P16" s="16">
        <f>'JPM Corr'!AL81*VLOOKUP('JPM Cov matrix'!$B16,'[1]Asset Universe'!$C$3:$O$23,13,0)*VLOOKUP('JPM Cov matrix'!P$2,'[1]Asset Universe'!$C$3:$O$23,13,0)</f>
        <v>3.1242082988843121E-3</v>
      </c>
      <c r="Q16" s="16">
        <f>'JPM Corr'!AM81*VLOOKUP('JPM Cov matrix'!$B16,'[1]Asset Universe'!$C$3:$O$23,13,0)*VLOOKUP('JPM Cov matrix'!Q$2,'[1]Asset Universe'!$C$3:$O$23,13,0)</f>
        <v>2.5800290310699957E-4</v>
      </c>
      <c r="R16" s="16">
        <f>'JPM Corr'!AN81*VLOOKUP('JPM Cov matrix'!$B16,'[1]Asset Universe'!$C$3:$O$23,13,0)*VLOOKUP('JPM Cov matrix'!R$2,'[1]Asset Universe'!$C$3:$O$23,13,0)</f>
        <v>2.8732329726420487E-4</v>
      </c>
      <c r="S16" s="16">
        <f>'JPM Corr'!AO81*VLOOKUP('JPM Cov matrix'!$B16,'[1]Asset Universe'!$C$3:$O$23,13,0)*VLOOKUP('JPM Cov matrix'!S$2,'[1]Asset Universe'!$C$3:$O$23,13,0)</f>
        <v>2.3665593862715265E-4</v>
      </c>
      <c r="T16" s="16">
        <f>'JPM Corr'!AP81*VLOOKUP('JPM Cov matrix'!$B16,'[1]Asset Universe'!$C$3:$O$23,13,0)*VLOOKUP('JPM Cov matrix'!T$2,'[1]Asset Universe'!$C$3:$O$23,13,0)</f>
        <v>8.4390095109240662E-4</v>
      </c>
      <c r="U16" s="16">
        <f>'JPM Corr'!AQ81*VLOOKUP('JPM Cov matrix'!$B16,'[1]Asset Universe'!$C$3:$O$23,13,0)*VLOOKUP('JPM Cov matrix'!U$2,'[1]Asset Universe'!$C$3:$O$23,13,0)</f>
        <v>2.396730681286389E-3</v>
      </c>
      <c r="V16" s="16" t="e">
        <f>'JPM Corr'!AR81*VLOOKUP('JPM Cov matrix'!$B16,'[1]Asset Universe'!$C$3:$O$23,13,0)*VLOOKUP('JPM Cov matrix'!V$2,'[1]Asset Universe'!$C$3:$O$23,13,0)</f>
        <v>#REF!</v>
      </c>
      <c r="W16" s="16" t="e">
        <f>'JPM Corr'!AS81*VLOOKUP('JPM Cov matrix'!$B16,'[1]Asset Universe'!$C$3:$O$23,13,0)*VLOOKUP('JPM Cov matrix'!W$2,'[1]Asset Universe'!$C$3:$O$23,13,0)</f>
        <v>#REF!</v>
      </c>
    </row>
    <row r="17" spans="2:23" x14ac:dyDescent="0.35">
      <c r="B17" s="13" t="s">
        <v>99</v>
      </c>
      <c r="C17" s="16">
        <f>'JPM Corr'!Y82*VLOOKUP('JPM Cov matrix'!$B17,'[1]Asset Universe'!$C$3:$O$23,13,0)*VLOOKUP('JPM Cov matrix'!C$2,'[1]Asset Universe'!$C$3:$O$23,13,0)</f>
        <v>-3.9709466764836353E-4</v>
      </c>
      <c r="D17" s="16">
        <f>'JPM Corr'!Z82*VLOOKUP('JPM Cov matrix'!$B17,'[1]Asset Universe'!$C$3:$O$23,13,0)*VLOOKUP('JPM Cov matrix'!D$2,'[1]Asset Universe'!$C$3:$O$23,13,0)</f>
        <v>8.1668903500392359E-4</v>
      </c>
      <c r="E17" s="16">
        <f>'JPM Corr'!AA82*VLOOKUP('JPM Cov matrix'!$B17,'[1]Asset Universe'!$C$3:$O$23,13,0)*VLOOKUP('JPM Cov matrix'!E$2,'[1]Asset Universe'!$C$3:$O$23,13,0)</f>
        <v>2.5035063645293228E-4</v>
      </c>
      <c r="F17" s="16">
        <f>'JPM Corr'!AB82*VLOOKUP('JPM Cov matrix'!$B17,'[1]Asset Universe'!$C$3:$O$23,13,0)*VLOOKUP('JPM Cov matrix'!F$2,'[1]Asset Universe'!$C$3:$O$23,13,0)</f>
        <v>-7.3966140160768194E-5</v>
      </c>
      <c r="G17" s="16">
        <f>'JPM Corr'!AC82*VLOOKUP('JPM Cov matrix'!$B17,'[1]Asset Universe'!$C$3:$O$23,13,0)*VLOOKUP('JPM Cov matrix'!G$2,'[1]Asset Universe'!$C$3:$O$23,13,0)</f>
        <v>2.9243078745761527E-4</v>
      </c>
      <c r="H17" s="16">
        <f>'JPM Corr'!AD82*VLOOKUP('JPM Cov matrix'!$B17,'[1]Asset Universe'!$C$3:$O$23,13,0)*VLOOKUP('JPM Cov matrix'!H$2,'[1]Asset Universe'!$C$3:$O$23,13,0)</f>
        <v>3.3397260177192134E-4</v>
      </c>
      <c r="I17" s="16">
        <f>'JPM Corr'!AE82*VLOOKUP('JPM Cov matrix'!$B17,'[1]Asset Universe'!$C$3:$O$23,13,0)*VLOOKUP('JPM Cov matrix'!I$2,'[1]Asset Universe'!$C$3:$O$23,13,0)</f>
        <v>3.8317486688861343E-4</v>
      </c>
      <c r="J17" s="16">
        <f>'JPM Corr'!AF82*VLOOKUP('JPM Cov matrix'!$B17,'[1]Asset Universe'!$C$3:$O$23,13,0)*VLOOKUP('JPM Cov matrix'!J$2,'[1]Asset Universe'!$C$3:$O$23,13,0)</f>
        <v>4.3832795583086185E-4</v>
      </c>
      <c r="K17" s="16">
        <f>'JPM Corr'!AG82*VLOOKUP('JPM Cov matrix'!$B17,'[1]Asset Universe'!$C$3:$O$23,13,0)*VLOOKUP('JPM Cov matrix'!K$2,'[1]Asset Universe'!$C$3:$O$23,13,0)</f>
        <v>3.0216886063971909E-3</v>
      </c>
      <c r="L17" s="16">
        <f>'JPM Corr'!AH82*VLOOKUP('JPM Cov matrix'!$B17,'[1]Asset Universe'!$C$3:$O$23,13,0)*VLOOKUP('JPM Cov matrix'!L$2,'[1]Asset Universe'!$C$3:$O$23,13,0)</f>
        <v>2.7756093261486025E-3</v>
      </c>
      <c r="M17" s="16">
        <f>'JPM Corr'!AI82*VLOOKUP('JPM Cov matrix'!$B17,'[1]Asset Universe'!$C$3:$O$23,13,0)*VLOOKUP('JPM Cov matrix'!M$2,'[1]Asset Universe'!$C$3:$O$23,13,0)</f>
        <v>-4.5814414991730825E-5</v>
      </c>
      <c r="N17" s="16">
        <f>'JPM Corr'!AJ82*VLOOKUP('JPM Cov matrix'!$B17,'[1]Asset Universe'!$C$3:$O$23,13,0)*VLOOKUP('JPM Cov matrix'!N$2,'[1]Asset Universe'!$C$3:$O$23,13,0)</f>
        <v>2.1276567978088562E-4</v>
      </c>
      <c r="O17" s="16">
        <f>'JPM Corr'!AK82*VLOOKUP('JPM Cov matrix'!$B17,'[1]Asset Universe'!$C$3:$O$23,13,0)*VLOOKUP('JPM Cov matrix'!O$2,'[1]Asset Universe'!$C$3:$O$23,13,0)</f>
        <v>2.262031284240155E-4</v>
      </c>
      <c r="P17" s="16">
        <f>'JPM Corr'!AL82*VLOOKUP('JPM Cov matrix'!$B17,'[1]Asset Universe'!$C$3:$O$23,13,0)*VLOOKUP('JPM Cov matrix'!P$2,'[1]Asset Universe'!$C$3:$O$23,13,0)</f>
        <v>2.5800290310699957E-4</v>
      </c>
      <c r="Q17" s="16">
        <f>'JPM Corr'!AM82*VLOOKUP('JPM Cov matrix'!$B17,'[1]Asset Universe'!$C$3:$O$23,13,0)*VLOOKUP('JPM Cov matrix'!Q$2,'[1]Asset Universe'!$C$3:$O$23,13,0)</f>
        <v>1.260731195804279E-3</v>
      </c>
      <c r="R17" s="16">
        <f>'JPM Corr'!AN82*VLOOKUP('JPM Cov matrix'!$B17,'[1]Asset Universe'!$C$3:$O$23,13,0)*VLOOKUP('JPM Cov matrix'!R$2,'[1]Asset Universe'!$C$3:$O$23,13,0)</f>
        <v>1.4040053029639799E-3</v>
      </c>
      <c r="S17" s="16">
        <f>'JPM Corr'!AO82*VLOOKUP('JPM Cov matrix'!$B17,'[1]Asset Universe'!$C$3:$O$23,13,0)*VLOOKUP('JPM Cov matrix'!S$2,'[1]Asset Universe'!$C$3:$O$23,13,0)</f>
        <v>2.5181029235490054E-3</v>
      </c>
      <c r="T17" s="16">
        <f>'JPM Corr'!AP82*VLOOKUP('JPM Cov matrix'!$B17,'[1]Asset Universe'!$C$3:$O$23,13,0)*VLOOKUP('JPM Cov matrix'!T$2,'[1]Asset Universe'!$C$3:$O$23,13,0)</f>
        <v>5.1464050927860585E-4</v>
      </c>
      <c r="U17" s="16">
        <f>'JPM Corr'!AQ82*VLOOKUP('JPM Cov matrix'!$B17,'[1]Asset Universe'!$C$3:$O$23,13,0)*VLOOKUP('JPM Cov matrix'!U$2,'[1]Asset Universe'!$C$3:$O$23,13,0)</f>
        <v>1.461610745697364E-3</v>
      </c>
      <c r="V17" s="16" t="e">
        <f>'JPM Corr'!AR82*VLOOKUP('JPM Cov matrix'!$B17,'[1]Asset Universe'!$C$3:$O$23,13,0)*VLOOKUP('JPM Cov matrix'!V$2,'[1]Asset Universe'!$C$3:$O$23,13,0)</f>
        <v>#REF!</v>
      </c>
      <c r="W17" s="16" t="e">
        <f>'JPM Corr'!AS82*VLOOKUP('JPM Cov matrix'!$B17,'[1]Asset Universe'!$C$3:$O$23,13,0)*VLOOKUP('JPM Cov matrix'!W$2,'[1]Asset Universe'!$C$3:$O$23,13,0)</f>
        <v>#REF!</v>
      </c>
    </row>
    <row r="18" spans="2:23" x14ac:dyDescent="0.35">
      <c r="B18" s="13" t="s">
        <v>107</v>
      </c>
      <c r="C18" s="16">
        <f>'JPM Corr'!Y83*VLOOKUP('JPM Cov matrix'!$B18,'[1]Asset Universe'!$C$3:$O$23,13,0)*VLOOKUP('JPM Cov matrix'!C$2,'[1]Asset Universe'!$C$3:$O$23,13,0)</f>
        <v>-4.4222195898099576E-4</v>
      </c>
      <c r="D18" s="16">
        <f>'JPM Corr'!Z83*VLOOKUP('JPM Cov matrix'!$B18,'[1]Asset Universe'!$C$3:$O$23,13,0)*VLOOKUP('JPM Cov matrix'!D$2,'[1]Asset Universe'!$C$3:$O$23,13,0)</f>
        <v>9.0950056588910862E-4</v>
      </c>
      <c r="E18" s="16">
        <f>'JPM Corr'!AA83*VLOOKUP('JPM Cov matrix'!$B18,'[1]Asset Universe'!$C$3:$O$23,13,0)*VLOOKUP('JPM Cov matrix'!E$2,'[1]Asset Universe'!$C$3:$O$23,13,0)</f>
        <v>2.7880139902153393E-4</v>
      </c>
      <c r="F18" s="16">
        <f>'JPM Corr'!AB83*VLOOKUP('JPM Cov matrix'!$B18,'[1]Asset Universe'!$C$3:$O$23,13,0)*VLOOKUP('JPM Cov matrix'!F$2,'[1]Asset Universe'!$C$3:$O$23,13,0)</f>
        <v>-8.237192303252681E-5</v>
      </c>
      <c r="G18" s="16">
        <f>'JPM Corr'!AC83*VLOOKUP('JPM Cov matrix'!$B18,'[1]Asset Universe'!$C$3:$O$23,13,0)*VLOOKUP('JPM Cov matrix'!G$2,'[1]Asset Universe'!$C$3:$O$23,13,0)</f>
        <v>3.2566369239281009E-4</v>
      </c>
      <c r="H18" s="16">
        <f>'JPM Corr'!AD83*VLOOKUP('JPM Cov matrix'!$B18,'[1]Asset Universe'!$C$3:$O$23,13,0)*VLOOKUP('JPM Cov matrix'!H$2,'[1]Asset Universe'!$C$3:$O$23,13,0)</f>
        <v>3.7192647052199129E-4</v>
      </c>
      <c r="I18" s="16">
        <f>'JPM Corr'!AE83*VLOOKUP('JPM Cov matrix'!$B18,'[1]Asset Universe'!$C$3:$O$23,13,0)*VLOOKUP('JPM Cov matrix'!I$2,'[1]Asset Universe'!$C$3:$O$23,13,0)</f>
        <v>4.2672026111872978E-4</v>
      </c>
      <c r="J18" s="16">
        <f>'JPM Corr'!AF83*VLOOKUP('JPM Cov matrix'!$B18,'[1]Asset Universe'!$C$3:$O$23,13,0)*VLOOKUP('JPM Cov matrix'!J$2,'[1]Asset Universe'!$C$3:$O$23,13,0)</f>
        <v>4.8814114893959578E-4</v>
      </c>
      <c r="K18" s="16">
        <f>'JPM Corr'!AG83*VLOOKUP('JPM Cov matrix'!$B18,'[1]Asset Universe'!$C$3:$O$23,13,0)*VLOOKUP('JPM Cov matrix'!K$2,'[1]Asset Universe'!$C$3:$O$23,13,0)</f>
        <v>3.3650843585107202E-3</v>
      </c>
      <c r="L18" s="16">
        <f>'JPM Corr'!AH83*VLOOKUP('JPM Cov matrix'!$B18,'[1]Asset Universe'!$C$3:$O$23,13,0)*VLOOKUP('JPM Cov matrix'!L$2,'[1]Asset Universe'!$C$3:$O$23,13,0)</f>
        <v>3.0910397282450514E-3</v>
      </c>
      <c r="M18" s="16">
        <f>'JPM Corr'!AI83*VLOOKUP('JPM Cov matrix'!$B18,'[1]Asset Universe'!$C$3:$O$23,13,0)*VLOOKUP('JPM Cov matrix'!M$2,'[1]Asset Universe'!$C$3:$O$23,13,0)</f>
        <v>-5.1020932784603203E-5</v>
      </c>
      <c r="N18" s="16">
        <f>'JPM Corr'!AJ83*VLOOKUP('JPM Cov matrix'!$B18,'[1]Asset Universe'!$C$3:$O$23,13,0)*VLOOKUP('JPM Cov matrix'!N$2,'[1]Asset Universe'!$C$3:$O$23,13,0)</f>
        <v>2.3694515031852565E-4</v>
      </c>
      <c r="O18" s="16">
        <f>'JPM Corr'!AK83*VLOOKUP('JPM Cov matrix'!$B18,'[1]Asset Universe'!$C$3:$O$23,13,0)*VLOOKUP('JPM Cov matrix'!O$2,'[1]Asset Universe'!$C$3:$O$23,13,0)</f>
        <v>2.5190967980430934E-4</v>
      </c>
      <c r="P18" s="16">
        <f>'JPM Corr'!AL83*VLOOKUP('JPM Cov matrix'!$B18,'[1]Asset Universe'!$C$3:$O$23,13,0)*VLOOKUP('JPM Cov matrix'!P$2,'[1]Asset Universe'!$C$3:$O$23,13,0)</f>
        <v>2.8732329726420487E-4</v>
      </c>
      <c r="Q18" s="16">
        <f>'JPM Corr'!AM83*VLOOKUP('JPM Cov matrix'!$B18,'[1]Asset Universe'!$C$3:$O$23,13,0)*VLOOKUP('JPM Cov matrix'!Q$2,'[1]Asset Universe'!$C$3:$O$23,13,0)</f>
        <v>1.4040053029639799E-3</v>
      </c>
      <c r="R18" s="16">
        <f>'JPM Corr'!AN83*VLOOKUP('JPM Cov matrix'!$B18,'[1]Asset Universe'!$C$3:$O$23,13,0)*VLOOKUP('JPM Cov matrix'!R$2,'[1]Asset Universe'!$C$3:$O$23,13,0)</f>
        <v>1.5635616040209409E-3</v>
      </c>
      <c r="S18" s="16">
        <f>'JPM Corr'!AO83*VLOOKUP('JPM Cov matrix'!$B18,'[1]Asset Universe'!$C$3:$O$23,13,0)*VLOOKUP('JPM Cov matrix'!S$2,'[1]Asset Universe'!$C$3:$O$23,13,0)</f>
        <v>2.8042693556230205E-3</v>
      </c>
      <c r="T18" s="16">
        <f>'JPM Corr'!AP83*VLOOKUP('JPM Cov matrix'!$B18,'[1]Asset Universe'!$C$3:$O$23,13,0)*VLOOKUP('JPM Cov matrix'!T$2,'[1]Asset Universe'!$C$3:$O$23,13,0)</f>
        <v>5.7312614025251639E-4</v>
      </c>
      <c r="U18" s="16">
        <f>'JPM Corr'!AQ83*VLOOKUP('JPM Cov matrix'!$B18,'[1]Asset Universe'!$C$3:$O$23,13,0)*VLOOKUP('JPM Cov matrix'!U$2,'[1]Asset Universe'!$C$3:$O$23,13,0)</f>
        <v>1.627713540092978E-3</v>
      </c>
      <c r="V18" s="16" t="e">
        <f>'JPM Corr'!AR83*VLOOKUP('JPM Cov matrix'!$B18,'[1]Asset Universe'!$C$3:$O$23,13,0)*VLOOKUP('JPM Cov matrix'!V$2,'[1]Asset Universe'!$C$3:$O$23,13,0)</f>
        <v>#REF!</v>
      </c>
      <c r="W18" s="16" t="e">
        <f>'JPM Corr'!AS83*VLOOKUP('JPM Cov matrix'!$B18,'[1]Asset Universe'!$C$3:$O$23,13,0)*VLOOKUP('JPM Cov matrix'!W$2,'[1]Asset Universe'!$C$3:$O$23,13,0)</f>
        <v>#REF!</v>
      </c>
    </row>
    <row r="19" spans="2:23" x14ac:dyDescent="0.35">
      <c r="B19" s="13" t="s">
        <v>94</v>
      </c>
      <c r="C19" s="16">
        <f>'JPM Corr'!Y84*VLOOKUP('JPM Cov matrix'!$B19,'[1]Asset Universe'!$C$3:$O$23,13,0)*VLOOKUP('JPM Cov matrix'!C$2,'[1]Asset Universe'!$C$3:$O$23,13,0)</f>
        <v>-1.5103373299796804E-3</v>
      </c>
      <c r="D19" s="16">
        <f>'JPM Corr'!Z84*VLOOKUP('JPM Cov matrix'!$B19,'[1]Asset Universe'!$C$3:$O$23,13,0)*VLOOKUP('JPM Cov matrix'!D$2,'[1]Asset Universe'!$C$3:$O$23,13,0)</f>
        <v>2.5248010794573592E-3</v>
      </c>
      <c r="E19" s="16">
        <f>'JPM Corr'!AA84*VLOOKUP('JPM Cov matrix'!$B19,'[1]Asset Universe'!$C$3:$O$23,13,0)*VLOOKUP('JPM Cov matrix'!E$2,'[1]Asset Universe'!$C$3:$O$23,13,0)</f>
        <v>7.9022080356421138E-4</v>
      </c>
      <c r="F19" s="16">
        <f>'JPM Corr'!AB84*VLOOKUP('JPM Cov matrix'!$B19,'[1]Asset Universe'!$C$3:$O$23,13,0)*VLOOKUP('JPM Cov matrix'!F$2,'[1]Asset Universe'!$C$3:$O$23,13,0)</f>
        <v>-4.4100054592891529E-4</v>
      </c>
      <c r="G19" s="16">
        <f>'JPM Corr'!AC84*VLOOKUP('JPM Cov matrix'!$B19,'[1]Asset Universe'!$C$3:$O$23,13,0)*VLOOKUP('JPM Cov matrix'!G$2,'[1]Asset Universe'!$C$3:$O$23,13,0)</f>
        <v>1.1208403019798184E-3</v>
      </c>
      <c r="H19" s="16">
        <f>'JPM Corr'!AD84*VLOOKUP('JPM Cov matrix'!$B19,'[1]Asset Universe'!$C$3:$O$23,13,0)*VLOOKUP('JPM Cov matrix'!H$2,'[1]Asset Universe'!$C$3:$O$23,13,0)</f>
        <v>1.2800634128760505E-3</v>
      </c>
      <c r="I19" s="16">
        <f>'JPM Corr'!AE84*VLOOKUP('JPM Cov matrix'!$B19,'[1]Asset Universe'!$C$3:$O$23,13,0)*VLOOKUP('JPM Cov matrix'!I$2,'[1]Asset Universe'!$C$3:$O$23,13,0)</f>
        <v>1.4686478029498123E-3</v>
      </c>
      <c r="J19" s="16">
        <f>'JPM Corr'!AF84*VLOOKUP('JPM Cov matrix'!$B19,'[1]Asset Universe'!$C$3:$O$23,13,0)*VLOOKUP('JPM Cov matrix'!J$2,'[1]Asset Universe'!$C$3:$O$23,13,0)</f>
        <v>1.6800407462256957E-3</v>
      </c>
      <c r="K19" s="16">
        <f>'JPM Corr'!AG84*VLOOKUP('JPM Cov matrix'!$B19,'[1]Asset Universe'!$C$3:$O$23,13,0)*VLOOKUP('JPM Cov matrix'!K$2,'[1]Asset Universe'!$C$3:$O$23,13,0)</f>
        <v>1.0352418133456318E-2</v>
      </c>
      <c r="L19" s="16">
        <f>'JPM Corr'!AH84*VLOOKUP('JPM Cov matrix'!$B19,'[1]Asset Universe'!$C$3:$O$23,13,0)*VLOOKUP('JPM Cov matrix'!L$2,'[1]Asset Universe'!$C$3:$O$23,13,0)</f>
        <v>9.5093413194788472E-3</v>
      </c>
      <c r="M19" s="16">
        <f>'JPM Corr'!AI84*VLOOKUP('JPM Cov matrix'!$B19,'[1]Asset Universe'!$C$3:$O$23,13,0)*VLOOKUP('JPM Cov matrix'!M$2,'[1]Asset Universe'!$C$3:$O$23,13,0)</f>
        <v>-2.7315447282841342E-4</v>
      </c>
      <c r="N19" s="16">
        <f>'JPM Corr'!AJ84*VLOOKUP('JPM Cov matrix'!$B19,'[1]Asset Universe'!$C$3:$O$23,13,0)*VLOOKUP('JPM Cov matrix'!N$2,'[1]Asset Universe'!$C$3:$O$23,13,0)</f>
        <v>1.9516160884169381E-4</v>
      </c>
      <c r="O19" s="16">
        <f>'JPM Corr'!AK84*VLOOKUP('JPM Cov matrix'!$B19,'[1]Asset Universe'!$C$3:$O$23,13,0)*VLOOKUP('JPM Cov matrix'!O$2,'[1]Asset Universe'!$C$3:$O$23,13,0)</f>
        <v>2.0748725317785549E-4</v>
      </c>
      <c r="P19" s="16">
        <f>'JPM Corr'!AL84*VLOOKUP('JPM Cov matrix'!$B19,'[1]Asset Universe'!$C$3:$O$23,13,0)*VLOOKUP('JPM Cov matrix'!P$2,'[1]Asset Universe'!$C$3:$O$23,13,0)</f>
        <v>2.3665593862715262E-4</v>
      </c>
      <c r="Q19" s="16">
        <f>'JPM Corr'!AM84*VLOOKUP('JPM Cov matrix'!$B19,'[1]Asset Universe'!$C$3:$O$23,13,0)*VLOOKUP('JPM Cov matrix'!Q$2,'[1]Asset Universe'!$C$3:$O$23,13,0)</f>
        <v>2.5181029235490059E-3</v>
      </c>
      <c r="R19" s="16">
        <f>'JPM Corr'!AN84*VLOOKUP('JPM Cov matrix'!$B19,'[1]Asset Universe'!$C$3:$O$23,13,0)*VLOOKUP('JPM Cov matrix'!R$2,'[1]Asset Universe'!$C$3:$O$23,13,0)</f>
        <v>2.8042693556230205E-3</v>
      </c>
      <c r="S19" s="16">
        <f>'JPM Corr'!AO84*VLOOKUP('JPM Cov matrix'!$B19,'[1]Asset Universe'!$C$3:$O$23,13,0)*VLOOKUP('JPM Cov matrix'!S$2,'[1]Asset Universe'!$C$3:$O$23,13,0)</f>
        <v>1.1204045139111518E-2</v>
      </c>
      <c r="T19" s="16">
        <f>'JPM Corr'!AP84*VLOOKUP('JPM Cov matrix'!$B19,'[1]Asset Universe'!$C$3:$O$23,13,0)*VLOOKUP('JPM Cov matrix'!T$2,'[1]Asset Universe'!$C$3:$O$23,13,0)</f>
        <v>1.3743816930674782E-3</v>
      </c>
      <c r="U19" s="16">
        <f>'JPM Corr'!AQ84*VLOOKUP('JPM Cov matrix'!$B19,'[1]Asset Universe'!$C$3:$O$23,13,0)*VLOOKUP('JPM Cov matrix'!U$2,'[1]Asset Universe'!$C$3:$O$23,13,0)</f>
        <v>3.9033286635228172E-3</v>
      </c>
      <c r="V19" s="16" t="e">
        <f>'JPM Corr'!AR84*VLOOKUP('JPM Cov matrix'!$B19,'[1]Asset Universe'!$C$3:$O$23,13,0)*VLOOKUP('JPM Cov matrix'!V$2,'[1]Asset Universe'!$C$3:$O$23,13,0)</f>
        <v>#REF!</v>
      </c>
      <c r="W19" s="16" t="e">
        <f>'JPM Corr'!AS84*VLOOKUP('JPM Cov matrix'!$B19,'[1]Asset Universe'!$C$3:$O$23,13,0)*VLOOKUP('JPM Cov matrix'!W$2,'[1]Asset Universe'!$C$3:$O$23,13,0)</f>
        <v>#REF!</v>
      </c>
    </row>
    <row r="20" spans="2:23" x14ac:dyDescent="0.35">
      <c r="B20" s="13" t="s">
        <v>98</v>
      </c>
      <c r="C20" s="16">
        <f>'JPM Corr'!Y85*VLOOKUP('JPM Cov matrix'!$B20,'[1]Asset Universe'!$C$3:$O$23,13,0)*VLOOKUP('JPM Cov matrix'!C$2,'[1]Asset Universe'!$C$3:$O$23,13,0)</f>
        <v>2.7947793814290167E-4</v>
      </c>
      <c r="D20" s="16">
        <f>'JPM Corr'!Z85*VLOOKUP('JPM Cov matrix'!$B20,'[1]Asset Universe'!$C$3:$O$23,13,0)*VLOOKUP('JPM Cov matrix'!D$2,'[1]Asset Universe'!$C$3:$O$23,13,0)</f>
        <v>6.1736845325750399E-4</v>
      </c>
      <c r="E20" s="16">
        <f>'JPM Corr'!AA85*VLOOKUP('JPM Cov matrix'!$B20,'[1]Asset Universe'!$C$3:$O$23,13,0)*VLOOKUP('JPM Cov matrix'!E$2,'[1]Asset Universe'!$C$3:$O$23,13,0)</f>
        <v>6.387195158608273E-4</v>
      </c>
      <c r="F20" s="16">
        <f>'JPM Corr'!AB85*VLOOKUP('JPM Cov matrix'!$B20,'[1]Asset Universe'!$C$3:$O$23,13,0)*VLOOKUP('JPM Cov matrix'!F$2,'[1]Asset Universe'!$C$3:$O$23,13,0)</f>
        <v>4.6548416051157056E-4</v>
      </c>
      <c r="G20" s="16">
        <f>'JPM Corr'!AC85*VLOOKUP('JPM Cov matrix'!$B20,'[1]Asset Universe'!$C$3:$O$23,13,0)*VLOOKUP('JPM Cov matrix'!G$2,'[1]Asset Universe'!$C$3:$O$23,13,0)</f>
        <v>4.5297628954391397E-4</v>
      </c>
      <c r="H20" s="16">
        <f>'JPM Corr'!AD85*VLOOKUP('JPM Cov matrix'!$B20,'[1]Asset Universe'!$C$3:$O$23,13,0)*VLOOKUP('JPM Cov matrix'!H$2,'[1]Asset Universe'!$C$3:$O$23,13,0)</f>
        <v>5.1732470194130564E-4</v>
      </c>
      <c r="I20" s="16">
        <f>'JPM Corr'!AE85*VLOOKUP('JPM Cov matrix'!$B20,'[1]Asset Universe'!$C$3:$O$23,13,0)*VLOOKUP('JPM Cov matrix'!I$2,'[1]Asset Universe'!$C$3:$O$23,13,0)</f>
        <v>5.935391788213963E-4</v>
      </c>
      <c r="J20" s="16">
        <f>'JPM Corr'!AF85*VLOOKUP('JPM Cov matrix'!$B20,'[1]Asset Universe'!$C$3:$O$23,13,0)*VLOOKUP('JPM Cov matrix'!J$2,'[1]Asset Universe'!$C$3:$O$23,13,0)</f>
        <v>6.7897150215214756E-4</v>
      </c>
      <c r="K20" s="16">
        <f>'JPM Corr'!AG85*VLOOKUP('JPM Cov matrix'!$B20,'[1]Asset Universe'!$C$3:$O$23,13,0)*VLOOKUP('JPM Cov matrix'!K$2,'[1]Asset Universe'!$C$3:$O$23,13,0)</f>
        <v>1.8793653518428236E-3</v>
      </c>
      <c r="L20" s="16">
        <f>'JPM Corr'!AH85*VLOOKUP('JPM Cov matrix'!$B20,'[1]Asset Universe'!$C$3:$O$23,13,0)*VLOOKUP('JPM Cov matrix'!L$2,'[1]Asset Universe'!$C$3:$O$23,13,0)</f>
        <v>1.7263142160882921E-3</v>
      </c>
      <c r="M20" s="16">
        <f>'JPM Corr'!AI85*VLOOKUP('JPM Cov matrix'!$B20,'[1]Asset Universe'!$C$3:$O$23,13,0)*VLOOKUP('JPM Cov matrix'!M$2,'[1]Asset Universe'!$C$3:$O$23,13,0)</f>
        <v>2.8831955345245703E-4</v>
      </c>
      <c r="N20" s="16">
        <f>'JPM Corr'!AJ85*VLOOKUP('JPM Cov matrix'!$B20,'[1]Asset Universe'!$C$3:$O$23,13,0)*VLOOKUP('JPM Cov matrix'!N$2,'[1]Asset Universe'!$C$3:$O$23,13,0)</f>
        <v>6.9593464788435776E-4</v>
      </c>
      <c r="O20" s="16">
        <f>'JPM Corr'!AK85*VLOOKUP('JPM Cov matrix'!$B20,'[1]Asset Universe'!$C$3:$O$23,13,0)*VLOOKUP('JPM Cov matrix'!O$2,'[1]Asset Universe'!$C$3:$O$23,13,0)</f>
        <v>7.3988715986632477E-4</v>
      </c>
      <c r="P20" s="16">
        <f>'JPM Corr'!AL85*VLOOKUP('JPM Cov matrix'!$B20,'[1]Asset Universe'!$C$3:$O$23,13,0)*VLOOKUP('JPM Cov matrix'!P$2,'[1]Asset Universe'!$C$3:$O$23,13,0)</f>
        <v>8.4390095109240662E-4</v>
      </c>
      <c r="Q20" s="16">
        <f>'JPM Corr'!AM85*VLOOKUP('JPM Cov matrix'!$B20,'[1]Asset Universe'!$C$3:$O$23,13,0)*VLOOKUP('JPM Cov matrix'!Q$2,'[1]Asset Universe'!$C$3:$O$23,13,0)</f>
        <v>5.1464050927860585E-4</v>
      </c>
      <c r="R20" s="16">
        <f>'JPM Corr'!AN85*VLOOKUP('JPM Cov matrix'!$B20,'[1]Asset Universe'!$C$3:$O$23,13,0)*VLOOKUP('JPM Cov matrix'!R$2,'[1]Asset Universe'!$C$3:$O$23,13,0)</f>
        <v>5.7312614025251639E-4</v>
      </c>
      <c r="S20" s="16">
        <f>'JPM Corr'!AO85*VLOOKUP('JPM Cov matrix'!$B20,'[1]Asset Universe'!$C$3:$O$23,13,0)*VLOOKUP('JPM Cov matrix'!S$2,'[1]Asset Universe'!$C$3:$O$23,13,0)</f>
        <v>1.3743816930674782E-3</v>
      </c>
      <c r="T20" s="16">
        <f>'JPM Corr'!AP85*VLOOKUP('JPM Cov matrix'!$B20,'[1]Asset Universe'!$C$3:$O$23,13,0)*VLOOKUP('JPM Cov matrix'!T$2,'[1]Asset Universe'!$C$3:$O$23,13,0)</f>
        <v>9.118070847055768E-4</v>
      </c>
      <c r="U20" s="16">
        <f>'JPM Corr'!AQ85*VLOOKUP('JPM Cov matrix'!$B20,'[1]Asset Universe'!$C$3:$O$23,13,0)*VLOOKUP('JPM Cov matrix'!U$2,'[1]Asset Universe'!$C$3:$O$23,13,0)</f>
        <v>2.5895882834345309E-3</v>
      </c>
      <c r="V20" s="16" t="e">
        <f>'JPM Corr'!AR85*VLOOKUP('JPM Cov matrix'!$B20,'[1]Asset Universe'!$C$3:$O$23,13,0)*VLOOKUP('JPM Cov matrix'!V$2,'[1]Asset Universe'!$C$3:$O$23,13,0)</f>
        <v>#REF!</v>
      </c>
      <c r="W20" s="16" t="e">
        <f>'JPM Corr'!AS85*VLOOKUP('JPM Cov matrix'!$B20,'[1]Asset Universe'!$C$3:$O$23,13,0)*VLOOKUP('JPM Cov matrix'!W$2,'[1]Asset Universe'!$C$3:$O$23,13,0)</f>
        <v>#REF!</v>
      </c>
    </row>
    <row r="21" spans="2:23" x14ac:dyDescent="0.35">
      <c r="B21" s="13" t="s">
        <v>108</v>
      </c>
      <c r="C21" s="16">
        <f>'JPM Corr'!Y86*VLOOKUP('JPM Cov matrix'!$B21,'[1]Asset Universe'!$C$3:$O$23,13,0)*VLOOKUP('JPM Cov matrix'!C$2,'[1]Asset Universe'!$C$3:$O$23,13,0)</f>
        <v>7.9373455880417149E-4</v>
      </c>
      <c r="D21" s="16">
        <f>'JPM Corr'!Z86*VLOOKUP('JPM Cov matrix'!$B21,'[1]Asset Universe'!$C$3:$O$23,13,0)*VLOOKUP('JPM Cov matrix'!D$2,'[1]Asset Universe'!$C$3:$O$23,13,0)</f>
        <v>1.7533644341379102E-3</v>
      </c>
      <c r="E21" s="16">
        <f>'JPM Corr'!AA86*VLOOKUP('JPM Cov matrix'!$B21,'[1]Asset Universe'!$C$3:$O$23,13,0)*VLOOKUP('JPM Cov matrix'!E$2,'[1]Asset Universe'!$C$3:$O$23,13,0)</f>
        <v>1.8140027670527029E-3</v>
      </c>
      <c r="F21" s="16">
        <f>'JPM Corr'!AB86*VLOOKUP('JPM Cov matrix'!$B21,'[1]Asset Universe'!$C$3:$O$23,13,0)*VLOOKUP('JPM Cov matrix'!F$2,'[1]Asset Universe'!$C$3:$O$23,13,0)</f>
        <v>1.3220036874075731E-3</v>
      </c>
      <c r="G21" s="16">
        <f>'JPM Corr'!AC86*VLOOKUP('JPM Cov matrix'!$B21,'[1]Asset Universe'!$C$3:$O$23,13,0)*VLOOKUP('JPM Cov matrix'!G$2,'[1]Asset Universe'!$C$3:$O$23,13,0)</f>
        <v>1.2864805634355617E-3</v>
      </c>
      <c r="H21" s="16">
        <f>'JPM Corr'!AD86*VLOOKUP('JPM Cov matrix'!$B21,'[1]Asset Universe'!$C$3:$O$23,13,0)*VLOOKUP('JPM Cov matrix'!H$2,'[1]Asset Universe'!$C$3:$O$23,13,0)</f>
        <v>1.4692340181926122E-3</v>
      </c>
      <c r="I21" s="16">
        <f>'JPM Corr'!AE86*VLOOKUP('JPM Cov matrix'!$B21,'[1]Asset Universe'!$C$3:$O$23,13,0)*VLOOKUP('JPM Cov matrix'!I$2,'[1]Asset Universe'!$C$3:$O$23,13,0)</f>
        <v>1.6856878269722443E-3</v>
      </c>
      <c r="J21" s="16">
        <f>'JPM Corr'!AF86*VLOOKUP('JPM Cov matrix'!$B21,'[1]Asset Universe'!$C$3:$O$23,13,0)*VLOOKUP('JPM Cov matrix'!J$2,'[1]Asset Universe'!$C$3:$O$23,13,0)</f>
        <v>1.9283208874461501E-3</v>
      </c>
      <c r="K21" s="16">
        <f>'JPM Corr'!AG86*VLOOKUP('JPM Cov matrix'!$B21,'[1]Asset Universe'!$C$3:$O$23,13,0)*VLOOKUP('JPM Cov matrix'!K$2,'[1]Asset Universe'!$C$3:$O$23,13,0)</f>
        <v>5.3375133589760142E-3</v>
      </c>
      <c r="L21" s="16">
        <f>'JPM Corr'!AH86*VLOOKUP('JPM Cov matrix'!$B21,'[1]Asset Universe'!$C$3:$O$23,13,0)*VLOOKUP('JPM Cov matrix'!L$2,'[1]Asset Universe'!$C$3:$O$23,13,0)</f>
        <v>4.9028387062294183E-3</v>
      </c>
      <c r="M21" s="16">
        <f>'JPM Corr'!AI86*VLOOKUP('JPM Cov matrix'!$B21,'[1]Asset Universe'!$C$3:$O$23,13,0)*VLOOKUP('JPM Cov matrix'!M$2,'[1]Asset Universe'!$C$3:$O$23,13,0)</f>
        <v>8.1884529088370244E-4</v>
      </c>
      <c r="N21" s="16">
        <f>'JPM Corr'!AJ86*VLOOKUP('JPM Cov matrix'!$B21,'[1]Asset Universe'!$C$3:$O$23,13,0)*VLOOKUP('JPM Cov matrix'!N$2,'[1]Asset Universe'!$C$3:$O$23,13,0)</f>
        <v>1.9764972661726965E-3</v>
      </c>
      <c r="O21" s="16">
        <f>'JPM Corr'!AK86*VLOOKUP('JPM Cov matrix'!$B21,'[1]Asset Universe'!$C$3:$O$23,13,0)*VLOOKUP('JPM Cov matrix'!O$2,'[1]Asset Universe'!$C$3:$O$23,13,0)</f>
        <v>2.1013251074619202E-3</v>
      </c>
      <c r="P21" s="16">
        <f>'JPM Corr'!AL86*VLOOKUP('JPM Cov matrix'!$B21,'[1]Asset Universe'!$C$3:$O$23,13,0)*VLOOKUP('JPM Cov matrix'!P$2,'[1]Asset Universe'!$C$3:$O$23,13,0)</f>
        <v>2.396730681286389E-3</v>
      </c>
      <c r="Q21" s="16">
        <f>'JPM Corr'!AM86*VLOOKUP('JPM Cov matrix'!$B21,'[1]Asset Universe'!$C$3:$O$23,13,0)*VLOOKUP('JPM Cov matrix'!Q$2,'[1]Asset Universe'!$C$3:$O$23,13,0)</f>
        <v>1.461610745697364E-3</v>
      </c>
      <c r="R21" s="16">
        <f>'JPM Corr'!AN86*VLOOKUP('JPM Cov matrix'!$B21,'[1]Asset Universe'!$C$3:$O$23,13,0)*VLOOKUP('JPM Cov matrix'!R$2,'[1]Asset Universe'!$C$3:$O$23,13,0)</f>
        <v>1.627713540092978E-3</v>
      </c>
      <c r="S21" s="16">
        <f>'JPM Corr'!AO86*VLOOKUP('JPM Cov matrix'!$B21,'[1]Asset Universe'!$C$3:$O$23,13,0)*VLOOKUP('JPM Cov matrix'!S$2,'[1]Asset Universe'!$C$3:$O$23,13,0)</f>
        <v>3.9033286635228176E-3</v>
      </c>
      <c r="T21" s="16">
        <f>'JPM Corr'!AP86*VLOOKUP('JPM Cov matrix'!$B21,'[1]Asset Universe'!$C$3:$O$23,13,0)*VLOOKUP('JPM Cov matrix'!T$2,'[1]Asset Universe'!$C$3:$O$23,13,0)</f>
        <v>2.5895882834345309E-3</v>
      </c>
      <c r="U21" s="16">
        <f>'JPM Corr'!AQ86*VLOOKUP('JPM Cov matrix'!$B21,'[1]Asset Universe'!$C$3:$O$23,13,0)*VLOOKUP('JPM Cov matrix'!U$2,'[1]Asset Universe'!$C$3:$O$23,13,0)</f>
        <v>7.3545902309661943E-3</v>
      </c>
      <c r="V21" s="16" t="e">
        <f>'JPM Corr'!AR86*VLOOKUP('JPM Cov matrix'!$B21,'[1]Asset Universe'!$C$3:$O$23,13,0)*VLOOKUP('JPM Cov matrix'!V$2,'[1]Asset Universe'!$C$3:$O$23,13,0)</f>
        <v>#REF!</v>
      </c>
      <c r="W21" s="16" t="e">
        <f>'JPM Corr'!AS86*VLOOKUP('JPM Cov matrix'!$B21,'[1]Asset Universe'!$C$3:$O$23,13,0)*VLOOKUP('JPM Cov matrix'!W$2,'[1]Asset Universe'!$C$3:$O$23,13,0)</f>
        <v>#REF!</v>
      </c>
    </row>
    <row r="22" spans="2:23" x14ac:dyDescent="0.35">
      <c r="B22" s="13" t="s">
        <v>81</v>
      </c>
      <c r="C22" s="16" t="e">
        <f>'JPM Corr'!Y87*VLOOKUP('JPM Cov matrix'!$B22,'[1]Asset Universe'!$C$3:$O$23,13,0)*VLOOKUP('JPM Cov matrix'!C$2,'[1]Asset Universe'!$C$3:$O$23,13,0)</f>
        <v>#REF!</v>
      </c>
      <c r="D22" s="16" t="e">
        <f>'JPM Corr'!Z87*VLOOKUP('JPM Cov matrix'!$B22,'[1]Asset Universe'!$C$3:$O$23,13,0)*VLOOKUP('JPM Cov matrix'!D$2,'[1]Asset Universe'!$C$3:$O$23,13,0)</f>
        <v>#REF!</v>
      </c>
      <c r="E22" s="16" t="e">
        <f>'JPM Corr'!AA87*VLOOKUP('JPM Cov matrix'!$B22,'[1]Asset Universe'!$C$3:$O$23,13,0)*VLOOKUP('JPM Cov matrix'!E$2,'[1]Asset Universe'!$C$3:$O$23,13,0)</f>
        <v>#REF!</v>
      </c>
      <c r="F22" s="16" t="e">
        <f>'JPM Corr'!AB87*VLOOKUP('JPM Cov matrix'!$B22,'[1]Asset Universe'!$C$3:$O$23,13,0)*VLOOKUP('JPM Cov matrix'!F$2,'[1]Asset Universe'!$C$3:$O$23,13,0)</f>
        <v>#REF!</v>
      </c>
      <c r="G22" s="16" t="e">
        <f>'JPM Corr'!AC87*VLOOKUP('JPM Cov matrix'!$B22,'[1]Asset Universe'!$C$3:$O$23,13,0)*VLOOKUP('JPM Cov matrix'!G$2,'[1]Asset Universe'!$C$3:$O$23,13,0)</f>
        <v>#REF!</v>
      </c>
      <c r="H22" s="16" t="e">
        <f>'JPM Corr'!AD87*VLOOKUP('JPM Cov matrix'!$B22,'[1]Asset Universe'!$C$3:$O$23,13,0)*VLOOKUP('JPM Cov matrix'!H$2,'[1]Asset Universe'!$C$3:$O$23,13,0)</f>
        <v>#REF!</v>
      </c>
      <c r="I22" s="16" t="e">
        <f>'JPM Corr'!AE87*VLOOKUP('JPM Cov matrix'!$B22,'[1]Asset Universe'!$C$3:$O$23,13,0)*VLOOKUP('JPM Cov matrix'!I$2,'[1]Asset Universe'!$C$3:$O$23,13,0)</f>
        <v>#REF!</v>
      </c>
      <c r="J22" s="16" t="e">
        <f>'JPM Corr'!AF87*VLOOKUP('JPM Cov matrix'!$B22,'[1]Asset Universe'!$C$3:$O$23,13,0)*VLOOKUP('JPM Cov matrix'!J$2,'[1]Asset Universe'!$C$3:$O$23,13,0)</f>
        <v>#REF!</v>
      </c>
      <c r="K22" s="16" t="e">
        <f>'JPM Corr'!AG87*VLOOKUP('JPM Cov matrix'!$B22,'[1]Asset Universe'!$C$3:$O$23,13,0)*VLOOKUP('JPM Cov matrix'!K$2,'[1]Asset Universe'!$C$3:$O$23,13,0)</f>
        <v>#REF!</v>
      </c>
      <c r="L22" s="16" t="e">
        <f>'JPM Corr'!AH87*VLOOKUP('JPM Cov matrix'!$B22,'[1]Asset Universe'!$C$3:$O$23,13,0)*VLOOKUP('JPM Cov matrix'!L$2,'[1]Asset Universe'!$C$3:$O$23,13,0)</f>
        <v>#REF!</v>
      </c>
      <c r="M22" s="16" t="e">
        <f>'JPM Corr'!AI87*VLOOKUP('JPM Cov matrix'!$B22,'[1]Asset Universe'!$C$3:$O$23,13,0)*VLOOKUP('JPM Cov matrix'!M$2,'[1]Asset Universe'!$C$3:$O$23,13,0)</f>
        <v>#REF!</v>
      </c>
      <c r="N22" s="16" t="e">
        <f>'JPM Corr'!AJ87*VLOOKUP('JPM Cov matrix'!$B22,'[1]Asset Universe'!$C$3:$O$23,13,0)*VLOOKUP('JPM Cov matrix'!N$2,'[1]Asset Universe'!$C$3:$O$23,13,0)</f>
        <v>#REF!</v>
      </c>
      <c r="O22" s="16" t="e">
        <f>'JPM Corr'!AK87*VLOOKUP('JPM Cov matrix'!$B22,'[1]Asset Universe'!$C$3:$O$23,13,0)*VLOOKUP('JPM Cov matrix'!O$2,'[1]Asset Universe'!$C$3:$O$23,13,0)</f>
        <v>#REF!</v>
      </c>
      <c r="P22" s="16" t="e">
        <f>'JPM Corr'!AL87*VLOOKUP('JPM Cov matrix'!$B22,'[1]Asset Universe'!$C$3:$O$23,13,0)*VLOOKUP('JPM Cov matrix'!P$2,'[1]Asset Universe'!$C$3:$O$23,13,0)</f>
        <v>#REF!</v>
      </c>
      <c r="Q22" s="16" t="e">
        <f>'JPM Corr'!AM87*VLOOKUP('JPM Cov matrix'!$B22,'[1]Asset Universe'!$C$3:$O$23,13,0)*VLOOKUP('JPM Cov matrix'!Q$2,'[1]Asset Universe'!$C$3:$O$23,13,0)</f>
        <v>#REF!</v>
      </c>
      <c r="R22" s="16" t="e">
        <f>'JPM Corr'!AN87*VLOOKUP('JPM Cov matrix'!$B22,'[1]Asset Universe'!$C$3:$O$23,13,0)*VLOOKUP('JPM Cov matrix'!R$2,'[1]Asset Universe'!$C$3:$O$23,13,0)</f>
        <v>#REF!</v>
      </c>
      <c r="S22" s="16" t="e">
        <f>'JPM Corr'!AO87*VLOOKUP('JPM Cov matrix'!$B22,'[1]Asset Universe'!$C$3:$O$23,13,0)*VLOOKUP('JPM Cov matrix'!S$2,'[1]Asset Universe'!$C$3:$O$23,13,0)</f>
        <v>#REF!</v>
      </c>
      <c r="T22" s="16" t="e">
        <f>'JPM Corr'!AP87*VLOOKUP('JPM Cov matrix'!$B22,'[1]Asset Universe'!$C$3:$O$23,13,0)*VLOOKUP('JPM Cov matrix'!T$2,'[1]Asset Universe'!$C$3:$O$23,13,0)</f>
        <v>#REF!</v>
      </c>
      <c r="U22" s="16" t="e">
        <f>'JPM Corr'!AQ87*VLOOKUP('JPM Cov matrix'!$B22,'[1]Asset Universe'!$C$3:$O$23,13,0)*VLOOKUP('JPM Cov matrix'!U$2,'[1]Asset Universe'!$C$3:$O$23,13,0)</f>
        <v>#REF!</v>
      </c>
      <c r="V22" s="16" t="e">
        <f>'JPM Corr'!AR87*VLOOKUP('JPM Cov matrix'!$B22,'[1]Asset Universe'!$C$3:$O$23,13,0)*VLOOKUP('JPM Cov matrix'!V$2,'[1]Asset Universe'!$C$3:$O$23,13,0)</f>
        <v>#REF!</v>
      </c>
      <c r="W22" s="16" t="e">
        <f>'JPM Corr'!AS87*VLOOKUP('JPM Cov matrix'!$B22,'[1]Asset Universe'!$C$3:$O$23,13,0)*VLOOKUP('JPM Cov matrix'!W$2,'[1]Asset Universe'!$C$3:$O$23,13,0)</f>
        <v>#REF!</v>
      </c>
    </row>
    <row r="23" spans="2:23" x14ac:dyDescent="0.35">
      <c r="B23" s="13" t="s">
        <v>97</v>
      </c>
      <c r="C23" s="16" t="e">
        <f>'JPM Corr'!Y88*VLOOKUP('JPM Cov matrix'!$B23,'[1]Asset Universe'!$C$3:$O$23,13,0)*VLOOKUP('JPM Cov matrix'!C$2,'[1]Asset Universe'!$C$3:$O$23,13,0)</f>
        <v>#REF!</v>
      </c>
      <c r="D23" s="16" t="e">
        <f>'JPM Corr'!Z88*VLOOKUP('JPM Cov matrix'!$B23,'[1]Asset Universe'!$C$3:$O$23,13,0)*VLOOKUP('JPM Cov matrix'!D$2,'[1]Asset Universe'!$C$3:$O$23,13,0)</f>
        <v>#REF!</v>
      </c>
      <c r="E23" s="16" t="e">
        <f>'JPM Corr'!AA88*VLOOKUP('JPM Cov matrix'!$B23,'[1]Asset Universe'!$C$3:$O$23,13,0)*VLOOKUP('JPM Cov matrix'!E$2,'[1]Asset Universe'!$C$3:$O$23,13,0)</f>
        <v>#REF!</v>
      </c>
      <c r="F23" s="16" t="e">
        <f>'JPM Corr'!AB88*VLOOKUP('JPM Cov matrix'!$B23,'[1]Asset Universe'!$C$3:$O$23,13,0)*VLOOKUP('JPM Cov matrix'!F$2,'[1]Asset Universe'!$C$3:$O$23,13,0)</f>
        <v>#REF!</v>
      </c>
      <c r="G23" s="16" t="e">
        <f>'JPM Corr'!AC88*VLOOKUP('JPM Cov matrix'!$B23,'[1]Asset Universe'!$C$3:$O$23,13,0)*VLOOKUP('JPM Cov matrix'!G$2,'[1]Asset Universe'!$C$3:$O$23,13,0)</f>
        <v>#REF!</v>
      </c>
      <c r="H23" s="16" t="e">
        <f>'JPM Corr'!AD88*VLOOKUP('JPM Cov matrix'!$B23,'[1]Asset Universe'!$C$3:$O$23,13,0)*VLOOKUP('JPM Cov matrix'!H$2,'[1]Asset Universe'!$C$3:$O$23,13,0)</f>
        <v>#REF!</v>
      </c>
      <c r="I23" s="16" t="e">
        <f>'JPM Corr'!AE88*VLOOKUP('JPM Cov matrix'!$B23,'[1]Asset Universe'!$C$3:$O$23,13,0)*VLOOKUP('JPM Cov matrix'!I$2,'[1]Asset Universe'!$C$3:$O$23,13,0)</f>
        <v>#REF!</v>
      </c>
      <c r="J23" s="16" t="e">
        <f>'JPM Corr'!AF88*VLOOKUP('JPM Cov matrix'!$B23,'[1]Asset Universe'!$C$3:$O$23,13,0)*VLOOKUP('JPM Cov matrix'!J$2,'[1]Asset Universe'!$C$3:$O$23,13,0)</f>
        <v>#REF!</v>
      </c>
      <c r="K23" s="16" t="e">
        <f>'JPM Corr'!AG88*VLOOKUP('JPM Cov matrix'!$B23,'[1]Asset Universe'!$C$3:$O$23,13,0)*VLOOKUP('JPM Cov matrix'!K$2,'[1]Asset Universe'!$C$3:$O$23,13,0)</f>
        <v>#REF!</v>
      </c>
      <c r="L23" s="16" t="e">
        <f>'JPM Corr'!AH88*VLOOKUP('JPM Cov matrix'!$B23,'[1]Asset Universe'!$C$3:$O$23,13,0)*VLOOKUP('JPM Cov matrix'!L$2,'[1]Asset Universe'!$C$3:$O$23,13,0)</f>
        <v>#REF!</v>
      </c>
      <c r="M23" s="16" t="e">
        <f>'JPM Corr'!AI88*VLOOKUP('JPM Cov matrix'!$B23,'[1]Asset Universe'!$C$3:$O$23,13,0)*VLOOKUP('JPM Cov matrix'!M$2,'[1]Asset Universe'!$C$3:$O$23,13,0)</f>
        <v>#REF!</v>
      </c>
      <c r="N23" s="16" t="e">
        <f>'JPM Corr'!AJ88*VLOOKUP('JPM Cov matrix'!$B23,'[1]Asset Universe'!$C$3:$O$23,13,0)*VLOOKUP('JPM Cov matrix'!N$2,'[1]Asset Universe'!$C$3:$O$23,13,0)</f>
        <v>#REF!</v>
      </c>
      <c r="O23" s="16" t="e">
        <f>'JPM Corr'!AK88*VLOOKUP('JPM Cov matrix'!$B23,'[1]Asset Universe'!$C$3:$O$23,13,0)*VLOOKUP('JPM Cov matrix'!O$2,'[1]Asset Universe'!$C$3:$O$23,13,0)</f>
        <v>#REF!</v>
      </c>
      <c r="P23" s="16" t="e">
        <f>'JPM Corr'!AL88*VLOOKUP('JPM Cov matrix'!$B23,'[1]Asset Universe'!$C$3:$O$23,13,0)*VLOOKUP('JPM Cov matrix'!P$2,'[1]Asset Universe'!$C$3:$O$23,13,0)</f>
        <v>#REF!</v>
      </c>
      <c r="Q23" s="16" t="e">
        <f>'JPM Corr'!AM88*VLOOKUP('JPM Cov matrix'!$B23,'[1]Asset Universe'!$C$3:$O$23,13,0)*VLOOKUP('JPM Cov matrix'!Q$2,'[1]Asset Universe'!$C$3:$O$23,13,0)</f>
        <v>#REF!</v>
      </c>
      <c r="R23" s="16" t="e">
        <f>'JPM Corr'!AN88*VLOOKUP('JPM Cov matrix'!$B23,'[1]Asset Universe'!$C$3:$O$23,13,0)*VLOOKUP('JPM Cov matrix'!R$2,'[1]Asset Universe'!$C$3:$O$23,13,0)</f>
        <v>#REF!</v>
      </c>
      <c r="S23" s="16" t="e">
        <f>'JPM Corr'!AO88*VLOOKUP('JPM Cov matrix'!$B23,'[1]Asset Universe'!$C$3:$O$23,13,0)*VLOOKUP('JPM Cov matrix'!S$2,'[1]Asset Universe'!$C$3:$O$23,13,0)</f>
        <v>#REF!</v>
      </c>
      <c r="T23" s="16" t="e">
        <f>'JPM Corr'!AP88*VLOOKUP('JPM Cov matrix'!$B23,'[1]Asset Universe'!$C$3:$O$23,13,0)*VLOOKUP('JPM Cov matrix'!T$2,'[1]Asset Universe'!$C$3:$O$23,13,0)</f>
        <v>#REF!</v>
      </c>
      <c r="U23" s="16" t="e">
        <f>'JPM Corr'!AQ88*VLOOKUP('JPM Cov matrix'!$B23,'[1]Asset Universe'!$C$3:$O$23,13,0)*VLOOKUP('JPM Cov matrix'!U$2,'[1]Asset Universe'!$C$3:$O$23,13,0)</f>
        <v>#REF!</v>
      </c>
      <c r="V23" s="16" t="e">
        <f>'JPM Corr'!AR88*VLOOKUP('JPM Cov matrix'!$B23,'[1]Asset Universe'!$C$3:$O$23,13,0)*VLOOKUP('JPM Cov matrix'!V$2,'[1]Asset Universe'!$C$3:$O$23,13,0)</f>
        <v>#REF!</v>
      </c>
      <c r="W23" s="16" t="e">
        <f>'JPM Corr'!AS88*VLOOKUP('JPM Cov matrix'!$B23,'[1]Asset Universe'!$C$3:$O$23,13,0)*VLOOKUP('JPM Cov matrix'!W$2,'[1]Asset Universe'!$C$3:$O$23,13,0)</f>
        <v>#REF!</v>
      </c>
    </row>
  </sheetData>
  <conditionalFormatting sqref="C3:W23">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399E5-AD95-4591-9453-CC0211FDF36A}">
  <dimension ref="A1:Y327"/>
  <sheetViews>
    <sheetView tabSelected="1" topLeftCell="O1" zoomScale="70" zoomScaleNormal="70" workbookViewId="0">
      <pane ySplit="1" topLeftCell="A2" activePane="bottomLeft" state="frozen"/>
      <selection activeCell="H19" sqref="H19"/>
      <selection pane="bottomLeft" activeCell="P2" sqref="P2"/>
    </sheetView>
  </sheetViews>
  <sheetFormatPr defaultRowHeight="14.5" x14ac:dyDescent="0.35"/>
  <cols>
    <col min="1" max="1" width="10.81640625" bestFit="1" customWidth="1"/>
    <col min="2" max="2" width="29.6328125" bestFit="1" customWidth="1"/>
    <col min="3" max="3" width="17.26953125" bestFit="1" customWidth="1"/>
    <col min="4" max="4" width="15.81640625" bestFit="1" customWidth="1"/>
    <col min="5" max="5" width="29.90625" bestFit="1" customWidth="1"/>
    <col min="6" max="6" width="24.90625" bestFit="1" customWidth="1"/>
    <col min="7" max="7" width="23.7265625" bestFit="1" customWidth="1"/>
    <col min="8" max="8" width="22.6328125" bestFit="1" customWidth="1"/>
    <col min="9" max="9" width="24.90625" bestFit="1" customWidth="1"/>
    <col min="10" max="10" width="33.36328125" bestFit="1" customWidth="1"/>
    <col min="11" max="11" width="26.453125" bestFit="1" customWidth="1"/>
    <col min="12" max="12" width="28.81640625" bestFit="1" customWidth="1"/>
    <col min="13" max="13" width="34.453125" bestFit="1" customWidth="1"/>
    <col min="14" max="14" width="35.36328125" bestFit="1" customWidth="1"/>
    <col min="15" max="15" width="20.81640625" bestFit="1" customWidth="1"/>
    <col min="16" max="16" width="29.26953125" bestFit="1" customWidth="1"/>
    <col min="17" max="17" width="31.7265625" bestFit="1" customWidth="1"/>
    <col min="18" max="18" width="34.6328125" bestFit="1" customWidth="1"/>
    <col min="19" max="19" width="30.453125" bestFit="1" customWidth="1"/>
    <col min="20" max="20" width="31.36328125" bestFit="1" customWidth="1"/>
    <col min="21" max="21" width="15.81640625" customWidth="1"/>
    <col min="22" max="22" width="32" bestFit="1" customWidth="1"/>
    <col min="23" max="23" width="20.54296875" customWidth="1"/>
    <col min="24" max="24" width="16.54296875" customWidth="1"/>
    <col min="25" max="25" width="14.36328125" customWidth="1"/>
  </cols>
  <sheetData>
    <row r="1" spans="1:25" x14ac:dyDescent="0.35">
      <c r="A1" s="4" t="s">
        <v>23</v>
      </c>
      <c r="B1" s="17" t="s">
        <v>89</v>
      </c>
      <c r="C1" s="17" t="s">
        <v>90</v>
      </c>
      <c r="D1" s="17" t="s">
        <v>96</v>
      </c>
      <c r="E1" s="17" t="s">
        <v>95</v>
      </c>
      <c r="F1" s="17" t="s">
        <v>92</v>
      </c>
      <c r="G1" s="17" t="s">
        <v>100</v>
      </c>
      <c r="H1" s="17" t="s">
        <v>101</v>
      </c>
      <c r="I1" s="17" t="s">
        <v>102</v>
      </c>
      <c r="J1" s="17" t="s">
        <v>93</v>
      </c>
      <c r="K1" s="17" t="s">
        <v>103</v>
      </c>
      <c r="L1" s="24" t="s">
        <v>104</v>
      </c>
      <c r="M1" s="17" t="s">
        <v>91</v>
      </c>
      <c r="N1" s="17" t="s">
        <v>105</v>
      </c>
      <c r="O1" s="17" t="s">
        <v>106</v>
      </c>
      <c r="P1" s="17" t="s">
        <v>99</v>
      </c>
      <c r="Q1" s="17" t="s">
        <v>107</v>
      </c>
      <c r="R1" s="24" t="s">
        <v>94</v>
      </c>
      <c r="S1" s="24" t="s">
        <v>98</v>
      </c>
      <c r="T1" s="17" t="s">
        <v>108</v>
      </c>
      <c r="U1" s="17" t="s">
        <v>81</v>
      </c>
      <c r="V1" s="17" t="s">
        <v>97</v>
      </c>
      <c r="W1" s="17"/>
      <c r="X1" s="17" t="s">
        <v>109</v>
      </c>
      <c r="Y1" s="17" t="s">
        <v>110</v>
      </c>
    </row>
    <row r="2" spans="1:25" x14ac:dyDescent="0.35">
      <c r="A2" s="23">
        <v>39506</v>
      </c>
      <c r="B2" s="21">
        <v>1464.46</v>
      </c>
      <c r="C2" s="21">
        <v>1987.37</v>
      </c>
      <c r="D2" s="21">
        <v>729.47670000000005</v>
      </c>
      <c r="E2" s="21">
        <v>153.0907</v>
      </c>
      <c r="F2" s="21">
        <v>253.03</v>
      </c>
      <c r="G2" s="21">
        <v>269.54000000000002</v>
      </c>
      <c r="H2" s="21">
        <v>261.95999999999998</v>
      </c>
      <c r="I2" s="21">
        <v>271.85000000000002</v>
      </c>
      <c r="J2" s="21">
        <v>797.66560000000004</v>
      </c>
      <c r="K2" s="21">
        <v>1424.07</v>
      </c>
      <c r="L2" s="21" t="e">
        <v>#N/A</v>
      </c>
      <c r="M2" s="21">
        <v>1455.9</v>
      </c>
      <c r="N2" s="21">
        <v>167.51</v>
      </c>
      <c r="O2" s="21">
        <v>249.23</v>
      </c>
      <c r="P2" s="21">
        <v>258.43</v>
      </c>
      <c r="Q2" s="21">
        <v>270.8416666666667</v>
      </c>
      <c r="R2" s="21" t="e">
        <v>#N/A</v>
      </c>
      <c r="S2" s="21" t="e">
        <v>#N/A</v>
      </c>
      <c r="T2" s="21">
        <v>95.846400000000003</v>
      </c>
      <c r="U2" s="21">
        <v>687.97</v>
      </c>
      <c r="V2" s="21">
        <v>1441.48</v>
      </c>
      <c r="W2" s="21"/>
      <c r="X2" s="16">
        <v>1.8429999999999998E-2</v>
      </c>
      <c r="Y2" s="16">
        <f>(1+X2)^(1/12)-1</f>
        <v>1.5230107546899685E-3</v>
      </c>
    </row>
    <row r="3" spans="1:25" x14ac:dyDescent="0.35">
      <c r="A3" s="23">
        <v>39538</v>
      </c>
      <c r="B3" s="21">
        <v>1473.94</v>
      </c>
      <c r="C3" s="21">
        <v>2004.63</v>
      </c>
      <c r="D3" s="21">
        <v>750.33280000000002</v>
      </c>
      <c r="E3" s="21">
        <v>153.17830000000001</v>
      </c>
      <c r="F3" s="21">
        <v>254.88</v>
      </c>
      <c r="G3" s="21">
        <v>267.39999999999998</v>
      </c>
      <c r="H3" s="21">
        <v>258.25</v>
      </c>
      <c r="I3" s="21">
        <v>268.82</v>
      </c>
      <c r="J3" s="21">
        <v>795.98030000000006</v>
      </c>
      <c r="K3" s="21">
        <v>1401.88</v>
      </c>
      <c r="L3" s="21" t="e">
        <v>#N/A</v>
      </c>
      <c r="M3" s="21">
        <v>1464.08</v>
      </c>
      <c r="N3" s="21">
        <v>171.95</v>
      </c>
      <c r="O3" s="21">
        <v>247.08</v>
      </c>
      <c r="P3" s="21">
        <v>259.20499999999998</v>
      </c>
      <c r="Q3" s="21">
        <v>271.19333333333333</v>
      </c>
      <c r="R3" s="21" t="e">
        <v>#N/A</v>
      </c>
      <c r="S3" s="21" t="e">
        <v>#N/A</v>
      </c>
      <c r="T3" s="21">
        <v>97.509799999999998</v>
      </c>
      <c r="U3" s="21">
        <v>716.18</v>
      </c>
      <c r="V3" s="21">
        <v>1552.82</v>
      </c>
      <c r="W3" s="21"/>
      <c r="X3" s="16">
        <v>1.321E-2</v>
      </c>
      <c r="Y3" s="16">
        <f t="shared" ref="Y3:Y66" si="0">(1+X3)^(1/12)-1</f>
        <v>1.0942239613807025E-3</v>
      </c>
    </row>
    <row r="4" spans="1:25" x14ac:dyDescent="0.35">
      <c r="A4" s="23">
        <v>39568</v>
      </c>
      <c r="B4" s="21">
        <v>1449.39</v>
      </c>
      <c r="C4" s="21">
        <v>1966.16</v>
      </c>
      <c r="D4" s="21">
        <v>759.10680000000002</v>
      </c>
      <c r="E4" s="21">
        <v>152.19380000000001</v>
      </c>
      <c r="F4" s="21">
        <v>253.65</v>
      </c>
      <c r="G4" s="21">
        <v>267.72000000000003</v>
      </c>
      <c r="H4" s="21">
        <v>260.61</v>
      </c>
      <c r="I4" s="21">
        <v>272.33999999999997</v>
      </c>
      <c r="J4" s="21">
        <v>830.01390000000004</v>
      </c>
      <c r="K4" s="21">
        <v>1466.91</v>
      </c>
      <c r="L4" s="21" t="e">
        <v>#N/A</v>
      </c>
      <c r="M4" s="21">
        <v>1465.48</v>
      </c>
      <c r="N4" s="21">
        <v>174.8</v>
      </c>
      <c r="O4" s="21">
        <v>244.86</v>
      </c>
      <c r="P4" s="21">
        <v>259.85666666666663</v>
      </c>
      <c r="Q4" s="21">
        <v>271.48499999999996</v>
      </c>
      <c r="R4" s="21" t="e">
        <v>#N/A</v>
      </c>
      <c r="S4" s="21" t="e">
        <v>#N/A</v>
      </c>
      <c r="T4" s="21">
        <v>99.783900000000003</v>
      </c>
      <c r="U4" s="21">
        <v>748.28</v>
      </c>
      <c r="V4" s="21">
        <v>1511.79</v>
      </c>
      <c r="W4" s="21"/>
      <c r="X4" s="16">
        <v>1.3819999999999999E-2</v>
      </c>
      <c r="Y4" s="16">
        <f t="shared" si="0"/>
        <v>1.1444355854044463E-3</v>
      </c>
    </row>
    <row r="5" spans="1:25" x14ac:dyDescent="0.35">
      <c r="A5" s="23">
        <v>39599</v>
      </c>
      <c r="B5" s="21">
        <v>1435.56</v>
      </c>
      <c r="C5" s="21">
        <v>1927.01</v>
      </c>
      <c r="D5" s="21">
        <v>763.7047</v>
      </c>
      <c r="E5" s="21">
        <v>150.51599999999999</v>
      </c>
      <c r="F5" s="21">
        <v>251.91</v>
      </c>
      <c r="G5" s="21">
        <v>265.05</v>
      </c>
      <c r="H5" s="21">
        <v>257.7</v>
      </c>
      <c r="I5" s="21">
        <v>270.64999999999998</v>
      </c>
      <c r="J5" s="21">
        <v>834.27059999999994</v>
      </c>
      <c r="K5" s="21">
        <v>1450.54</v>
      </c>
      <c r="L5" s="21" t="e">
        <v>#N/A</v>
      </c>
      <c r="M5" s="21">
        <v>1457.71</v>
      </c>
      <c r="N5" s="21">
        <v>176.01</v>
      </c>
      <c r="O5" s="21">
        <v>246.28</v>
      </c>
      <c r="P5" s="21">
        <v>259.72500000000002</v>
      </c>
      <c r="Q5" s="21">
        <v>271.35833333333335</v>
      </c>
      <c r="R5" s="21" t="e">
        <v>#N/A</v>
      </c>
      <c r="S5" s="21" t="e">
        <v>#N/A</v>
      </c>
      <c r="T5" s="21">
        <v>100.87260000000001</v>
      </c>
      <c r="U5" s="21">
        <v>689.66</v>
      </c>
      <c r="V5" s="21">
        <v>1308.3499999999999</v>
      </c>
      <c r="W5" s="21"/>
      <c r="X5" s="16">
        <v>1.8839999999999999E-2</v>
      </c>
      <c r="Y5" s="16">
        <f t="shared" si="0"/>
        <v>1.5566040213763621E-3</v>
      </c>
    </row>
    <row r="6" spans="1:25" x14ac:dyDescent="0.35">
      <c r="A6" s="23">
        <v>39629</v>
      </c>
      <c r="B6" s="21">
        <v>1443.44</v>
      </c>
      <c r="C6" s="21">
        <v>1960.05</v>
      </c>
      <c r="D6" s="21">
        <v>755.07839999999999</v>
      </c>
      <c r="E6" s="21">
        <v>149.53649999999999</v>
      </c>
      <c r="F6" s="21">
        <v>252.11</v>
      </c>
      <c r="G6" s="21">
        <v>262.93</v>
      </c>
      <c r="H6" s="21">
        <v>255.95</v>
      </c>
      <c r="I6" s="21">
        <v>269.17</v>
      </c>
      <c r="J6" s="21">
        <v>811.49519999999995</v>
      </c>
      <c r="K6" s="21">
        <v>1401.86</v>
      </c>
      <c r="L6" s="21" t="e">
        <v>#N/A</v>
      </c>
      <c r="M6" s="21">
        <v>1456.88</v>
      </c>
      <c r="N6" s="21">
        <v>172.26</v>
      </c>
      <c r="O6" s="21">
        <v>245.1</v>
      </c>
      <c r="P6" s="21">
        <v>259.3</v>
      </c>
      <c r="Q6" s="21">
        <v>270.93</v>
      </c>
      <c r="R6" s="21" t="e">
        <v>#N/A</v>
      </c>
      <c r="S6" s="21" t="e">
        <v>#N/A</v>
      </c>
      <c r="T6" s="21">
        <v>98.600999999999999</v>
      </c>
      <c r="U6" s="21">
        <v>714.52</v>
      </c>
      <c r="V6" s="21">
        <v>1328.89</v>
      </c>
      <c r="W6" s="21"/>
      <c r="X6" s="16">
        <v>1.736E-2</v>
      </c>
      <c r="Y6" s="16">
        <f t="shared" si="0"/>
        <v>1.4352820936898159E-3</v>
      </c>
    </row>
    <row r="7" spans="1:25" x14ac:dyDescent="0.35">
      <c r="A7" s="23">
        <v>39660</v>
      </c>
      <c r="B7" s="21">
        <v>1451.35</v>
      </c>
      <c r="C7" s="21">
        <v>1958.62</v>
      </c>
      <c r="D7" s="21">
        <v>757.9511</v>
      </c>
      <c r="E7" s="21">
        <v>151.8426</v>
      </c>
      <c r="F7" s="21">
        <v>252.34</v>
      </c>
      <c r="G7" s="21">
        <v>261.45999999999998</v>
      </c>
      <c r="H7" s="21">
        <v>253.68</v>
      </c>
      <c r="I7" s="21">
        <v>267.42</v>
      </c>
      <c r="J7" s="21">
        <v>802.24450000000002</v>
      </c>
      <c r="K7" s="21">
        <v>1358.47</v>
      </c>
      <c r="L7" s="21" t="e">
        <v>#N/A</v>
      </c>
      <c r="M7" s="21">
        <v>1454.85</v>
      </c>
      <c r="N7" s="21">
        <v>171.32</v>
      </c>
      <c r="O7" s="21">
        <v>245.16</v>
      </c>
      <c r="P7" s="21">
        <v>258.02500000000003</v>
      </c>
      <c r="Q7" s="21">
        <v>270.04166666666669</v>
      </c>
      <c r="R7" s="21" t="e">
        <v>#N/A</v>
      </c>
      <c r="S7" s="21" t="e">
        <v>#N/A</v>
      </c>
      <c r="T7" s="21">
        <v>97.716800000000006</v>
      </c>
      <c r="U7" s="21">
        <v>739.5</v>
      </c>
      <c r="V7" s="21">
        <v>1373.7</v>
      </c>
      <c r="W7" s="21"/>
      <c r="X7" s="16">
        <v>1.6650000000000002E-2</v>
      </c>
      <c r="Y7" s="16">
        <f t="shared" si="0"/>
        <v>1.3770229244496335E-3</v>
      </c>
    </row>
    <row r="8" spans="1:25" x14ac:dyDescent="0.35">
      <c r="A8" s="23">
        <v>39691</v>
      </c>
      <c r="B8" s="21">
        <v>1465.04</v>
      </c>
      <c r="C8" s="21">
        <v>2007.25</v>
      </c>
      <c r="D8" s="21">
        <v>766.82249999999999</v>
      </c>
      <c r="E8" s="21">
        <v>153.38910000000001</v>
      </c>
      <c r="F8" s="21">
        <v>254.91</v>
      </c>
      <c r="G8" s="21">
        <v>262.94</v>
      </c>
      <c r="H8" s="21">
        <v>255.39</v>
      </c>
      <c r="I8" s="21">
        <v>269.5</v>
      </c>
      <c r="J8" s="21">
        <v>804.61149999999998</v>
      </c>
      <c r="K8" s="21">
        <v>1370.51</v>
      </c>
      <c r="L8" s="21" t="e">
        <v>#N/A</v>
      </c>
      <c r="M8" s="21">
        <v>1473.05</v>
      </c>
      <c r="N8" s="21">
        <v>169.92</v>
      </c>
      <c r="O8" s="21">
        <v>242.28</v>
      </c>
      <c r="P8" s="21">
        <v>256.93</v>
      </c>
      <c r="Q8" s="21">
        <v>269.65000000000003</v>
      </c>
      <c r="R8" s="21" t="e">
        <v>#N/A</v>
      </c>
      <c r="S8" s="21" t="e">
        <v>#N/A</v>
      </c>
      <c r="T8" s="21">
        <v>96.521900000000002</v>
      </c>
      <c r="U8" s="21">
        <v>679.58</v>
      </c>
      <c r="V8" s="21">
        <v>1301.3599999999999</v>
      </c>
      <c r="W8" s="21"/>
      <c r="X8" s="16">
        <v>1.7150000000000002E-2</v>
      </c>
      <c r="Y8" s="16">
        <f t="shared" si="0"/>
        <v>1.4180543909447785E-3</v>
      </c>
    </row>
    <row r="9" spans="1:25" x14ac:dyDescent="0.35">
      <c r="A9" s="23">
        <v>39721</v>
      </c>
      <c r="B9" s="21">
        <v>1474.82</v>
      </c>
      <c r="C9" s="21">
        <v>2015.24</v>
      </c>
      <c r="D9" s="21">
        <v>730.85950000000003</v>
      </c>
      <c r="E9" s="21">
        <v>153.8655</v>
      </c>
      <c r="F9" s="21">
        <v>255.35</v>
      </c>
      <c r="G9" s="21">
        <v>249.87</v>
      </c>
      <c r="H9" s="21">
        <v>230.3</v>
      </c>
      <c r="I9" s="21">
        <v>256.12</v>
      </c>
      <c r="J9" s="21">
        <v>742.40869999999995</v>
      </c>
      <c r="K9" s="21">
        <v>1228.05</v>
      </c>
      <c r="L9" s="21" t="e">
        <v>#N/A</v>
      </c>
      <c r="M9" s="21">
        <v>1484.13</v>
      </c>
      <c r="N9" s="21">
        <v>162.21</v>
      </c>
      <c r="O9" s="21">
        <v>235.97</v>
      </c>
      <c r="P9" s="21">
        <v>252.27166666666665</v>
      </c>
      <c r="Q9" s="21">
        <v>267.53333333333336</v>
      </c>
      <c r="R9" s="21" t="e">
        <v>#N/A</v>
      </c>
      <c r="S9" s="21" t="e">
        <v>#N/A</v>
      </c>
      <c r="T9" s="21">
        <v>92.4345</v>
      </c>
      <c r="U9" s="21">
        <v>537.52</v>
      </c>
      <c r="V9" s="21">
        <v>1036.07</v>
      </c>
      <c r="W9" s="21"/>
      <c r="X9" s="16">
        <v>9.1000000000000004E-3</v>
      </c>
      <c r="Y9" s="16">
        <f t="shared" si="0"/>
        <v>7.5518871888013983E-4</v>
      </c>
    </row>
    <row r="10" spans="1:25" x14ac:dyDescent="0.35">
      <c r="A10" s="23">
        <v>39752</v>
      </c>
      <c r="B10" s="21">
        <v>1484.67</v>
      </c>
      <c r="C10" s="21">
        <v>1949.44</v>
      </c>
      <c r="D10" s="21">
        <v>723.39739999999995</v>
      </c>
      <c r="E10" s="21">
        <v>154.97110000000001</v>
      </c>
      <c r="F10" s="21">
        <v>252.07</v>
      </c>
      <c r="G10" s="21">
        <v>243.97</v>
      </c>
      <c r="H10" s="21">
        <v>217.75</v>
      </c>
      <c r="I10" s="21">
        <v>228</v>
      </c>
      <c r="J10" s="21">
        <v>625.17309999999998</v>
      </c>
      <c r="K10" s="21">
        <v>1018.6</v>
      </c>
      <c r="L10" s="21" t="e">
        <v>#N/A</v>
      </c>
      <c r="M10" s="21">
        <v>1465.48</v>
      </c>
      <c r="N10" s="21">
        <v>146.44999999999999</v>
      </c>
      <c r="O10" s="21">
        <v>222.03</v>
      </c>
      <c r="P10" s="21">
        <v>245.12833333333333</v>
      </c>
      <c r="Q10" s="21">
        <v>260.14333333333337</v>
      </c>
      <c r="R10" s="21" t="e">
        <v>#N/A</v>
      </c>
      <c r="S10" s="21" t="e">
        <v>#N/A</v>
      </c>
      <c r="T10" s="21">
        <v>83.162099999999995</v>
      </c>
      <c r="U10" s="21">
        <v>473.14</v>
      </c>
      <c r="V10" s="21">
        <v>879.88</v>
      </c>
      <c r="W10" s="21"/>
      <c r="X10" s="16">
        <v>4.3800000000000002E-3</v>
      </c>
      <c r="Y10" s="16">
        <f t="shared" si="0"/>
        <v>3.6426930641764166E-4</v>
      </c>
    </row>
    <row r="11" spans="1:25" x14ac:dyDescent="0.35">
      <c r="A11" s="23">
        <v>39782</v>
      </c>
      <c r="B11" s="21">
        <v>1539.56</v>
      </c>
      <c r="C11" s="21">
        <v>2189.27</v>
      </c>
      <c r="D11" s="21">
        <v>725.69910000000004</v>
      </c>
      <c r="E11" s="21">
        <v>159.19980000000001</v>
      </c>
      <c r="F11" s="21">
        <v>260.06</v>
      </c>
      <c r="G11" s="21">
        <v>252.01</v>
      </c>
      <c r="H11" s="21">
        <v>227.55</v>
      </c>
      <c r="I11" s="21">
        <v>234.27</v>
      </c>
      <c r="J11" s="21">
        <v>566.96349999999995</v>
      </c>
      <c r="K11" s="21">
        <v>923.52</v>
      </c>
      <c r="L11" s="21" t="e">
        <v>#N/A</v>
      </c>
      <c r="M11" s="21">
        <v>1523.05</v>
      </c>
      <c r="N11" s="21">
        <v>119.91</v>
      </c>
      <c r="O11" s="21">
        <v>221.19</v>
      </c>
      <c r="P11" s="21">
        <v>240.10333333333332</v>
      </c>
      <c r="Q11" s="21">
        <v>254.08</v>
      </c>
      <c r="R11" s="21" t="e">
        <v>#N/A</v>
      </c>
      <c r="S11" s="21" t="e">
        <v>#N/A</v>
      </c>
      <c r="T11" s="21">
        <v>67.7804</v>
      </c>
      <c r="U11" s="21">
        <v>499.45</v>
      </c>
      <c r="V11" s="21">
        <v>875.2</v>
      </c>
      <c r="W11" s="21"/>
      <c r="X11" s="16">
        <v>4.6000000000000001E-4</v>
      </c>
      <c r="Y11" s="16">
        <f t="shared" si="0"/>
        <v>3.8325253763238365E-5</v>
      </c>
    </row>
    <row r="12" spans="1:25" x14ac:dyDescent="0.35">
      <c r="A12" s="23">
        <v>39813</v>
      </c>
      <c r="B12" s="21">
        <v>1569.88</v>
      </c>
      <c r="C12" s="21">
        <v>2391.27</v>
      </c>
      <c r="D12" s="21">
        <v>736.27520000000004</v>
      </c>
      <c r="E12" s="21">
        <v>163.53559999999999</v>
      </c>
      <c r="F12" s="21">
        <v>268.07</v>
      </c>
      <c r="G12" s="21">
        <v>266.95</v>
      </c>
      <c r="H12" s="21">
        <v>244.99</v>
      </c>
      <c r="I12" s="21">
        <v>247.54</v>
      </c>
      <c r="J12" s="21">
        <v>610.28719999999998</v>
      </c>
      <c r="K12" s="21">
        <v>998.42</v>
      </c>
      <c r="L12" s="21" t="e">
        <v>#N/A</v>
      </c>
      <c r="M12" s="21">
        <v>1548.48</v>
      </c>
      <c r="N12" s="21">
        <v>140.27000000000001</v>
      </c>
      <c r="O12" s="21">
        <v>219.89</v>
      </c>
      <c r="P12" s="21">
        <v>238.27666666666667</v>
      </c>
      <c r="Q12" s="21">
        <v>250.47500000000002</v>
      </c>
      <c r="R12" s="21" t="e">
        <v>#N/A</v>
      </c>
      <c r="S12" s="21" t="e">
        <v>#N/A</v>
      </c>
      <c r="T12" s="21">
        <v>78.451499999999996</v>
      </c>
      <c r="U12" s="21">
        <v>443.53</v>
      </c>
      <c r="V12" s="21">
        <v>825.12</v>
      </c>
      <c r="W12" s="21"/>
      <c r="X12" s="16">
        <v>8.1000000000000006E-4</v>
      </c>
      <c r="Y12" s="16">
        <f t="shared" si="0"/>
        <v>6.7474953585611175E-5</v>
      </c>
    </row>
    <row r="13" spans="1:25" x14ac:dyDescent="0.35">
      <c r="A13" s="23">
        <v>39844</v>
      </c>
      <c r="B13" s="21">
        <v>1546.81</v>
      </c>
      <c r="C13" s="21">
        <v>2184.4299999999998</v>
      </c>
      <c r="D13" s="21">
        <v>763.23119999999994</v>
      </c>
      <c r="E13" s="21">
        <v>161.44759999999999</v>
      </c>
      <c r="F13" s="21">
        <v>264.89999999999998</v>
      </c>
      <c r="G13" s="21">
        <v>261.58999999999997</v>
      </c>
      <c r="H13" s="21">
        <v>244.74</v>
      </c>
      <c r="I13" s="21">
        <v>252.91</v>
      </c>
      <c r="J13" s="21">
        <v>647.47249999999997</v>
      </c>
      <c r="K13" s="21">
        <v>1048.08</v>
      </c>
      <c r="L13" s="21" t="e">
        <v>#N/A</v>
      </c>
      <c r="M13" s="21">
        <v>1551.41</v>
      </c>
      <c r="N13" s="21">
        <v>135.11000000000001</v>
      </c>
      <c r="O13" s="21">
        <v>234.17</v>
      </c>
      <c r="P13" s="21">
        <v>236.78666666666666</v>
      </c>
      <c r="Q13" s="21">
        <v>248.0566666666667</v>
      </c>
      <c r="R13" s="21" t="e">
        <v>#N/A</v>
      </c>
      <c r="S13" s="21" t="e">
        <v>#N/A</v>
      </c>
      <c r="T13" s="21">
        <v>75.991699999999994</v>
      </c>
      <c r="U13" s="21">
        <v>389.02</v>
      </c>
      <c r="V13" s="21">
        <v>691.63</v>
      </c>
      <c r="W13" s="21"/>
      <c r="X13" s="16">
        <v>2.31E-3</v>
      </c>
      <c r="Y13" s="16">
        <f t="shared" si="0"/>
        <v>1.9229649090801715E-4</v>
      </c>
    </row>
    <row r="14" spans="1:25" x14ac:dyDescent="0.35">
      <c r="A14" s="23">
        <v>39872</v>
      </c>
      <c r="B14" s="21">
        <v>1540.37</v>
      </c>
      <c r="C14" s="21">
        <v>2162.33</v>
      </c>
      <c r="D14" s="21">
        <v>767.23779999999999</v>
      </c>
      <c r="E14" s="21">
        <v>161.57480000000001</v>
      </c>
      <c r="F14" s="21">
        <v>264.76</v>
      </c>
      <c r="G14" s="21">
        <v>258.89</v>
      </c>
      <c r="H14" s="21">
        <v>238.45</v>
      </c>
      <c r="I14" s="21">
        <v>250.41</v>
      </c>
      <c r="J14" s="21">
        <v>627.23590000000002</v>
      </c>
      <c r="K14" s="21">
        <v>1018.14</v>
      </c>
      <c r="L14" s="21" t="e">
        <v>#N/A</v>
      </c>
      <c r="M14" s="21">
        <v>1560.35</v>
      </c>
      <c r="N14" s="21">
        <v>129.72999999999999</v>
      </c>
      <c r="O14" s="21">
        <v>231.89</v>
      </c>
      <c r="P14" s="21">
        <v>233.96333333333334</v>
      </c>
      <c r="Q14" s="21">
        <v>244.875</v>
      </c>
      <c r="R14" s="21" t="e">
        <v>#N/A</v>
      </c>
      <c r="S14" s="21" t="e">
        <v>#N/A</v>
      </c>
      <c r="T14" s="21">
        <v>73.289500000000004</v>
      </c>
      <c r="U14" s="21">
        <v>422.75</v>
      </c>
      <c r="V14" s="21">
        <v>703.35</v>
      </c>
      <c r="W14" s="21"/>
      <c r="X14" s="16">
        <v>2.5200000000000001E-3</v>
      </c>
      <c r="Y14" s="16">
        <f t="shared" si="0"/>
        <v>2.0975783978927076E-4</v>
      </c>
    </row>
    <row r="15" spans="1:25" x14ac:dyDescent="0.35">
      <c r="A15" s="23">
        <v>39903</v>
      </c>
      <c r="B15" s="21">
        <v>1565.27</v>
      </c>
      <c r="C15" s="21">
        <v>2266.1999999999998</v>
      </c>
      <c r="D15" s="21">
        <v>767.38120000000004</v>
      </c>
      <c r="E15" s="21">
        <v>163.05539999999999</v>
      </c>
      <c r="F15" s="21">
        <v>269.43</v>
      </c>
      <c r="G15" s="21">
        <v>257.83999999999997</v>
      </c>
      <c r="H15" s="21">
        <v>237.67</v>
      </c>
      <c r="I15" s="21">
        <v>250.63</v>
      </c>
      <c r="J15" s="21">
        <v>646.58540000000005</v>
      </c>
      <c r="K15" s="21">
        <v>1061.4100000000001</v>
      </c>
      <c r="L15" s="21" t="e">
        <v>#N/A</v>
      </c>
      <c r="M15" s="21">
        <v>1582.47</v>
      </c>
      <c r="N15" s="21">
        <v>137.65</v>
      </c>
      <c r="O15" s="21">
        <v>236.51</v>
      </c>
      <c r="P15" s="21">
        <v>235.19166666666669</v>
      </c>
      <c r="Q15" s="21">
        <v>243.95999999999995</v>
      </c>
      <c r="R15" s="21" t="e">
        <v>#N/A</v>
      </c>
      <c r="S15" s="21" t="e">
        <v>#N/A</v>
      </c>
      <c r="T15" s="21">
        <v>77.418000000000006</v>
      </c>
      <c r="U15" s="21">
        <v>487.56</v>
      </c>
      <c r="V15" s="21">
        <v>845.16</v>
      </c>
      <c r="W15" s="21"/>
      <c r="X15" s="16">
        <v>2.0599999999999998E-3</v>
      </c>
      <c r="Y15" s="16">
        <f t="shared" si="0"/>
        <v>1.7150479772021221E-4</v>
      </c>
    </row>
    <row r="16" spans="1:25" x14ac:dyDescent="0.35">
      <c r="A16" s="23">
        <v>39933</v>
      </c>
      <c r="B16" s="21">
        <v>1548.02</v>
      </c>
      <c r="C16" s="21">
        <v>2149.1</v>
      </c>
      <c r="D16" s="21">
        <v>782.71190000000001</v>
      </c>
      <c r="E16" s="21">
        <v>163.297</v>
      </c>
      <c r="F16" s="21">
        <v>268.99</v>
      </c>
      <c r="G16" s="21">
        <v>260.58</v>
      </c>
      <c r="H16" s="21">
        <v>244.61</v>
      </c>
      <c r="I16" s="21">
        <v>262.04000000000002</v>
      </c>
      <c r="J16" s="21">
        <v>721.94370000000004</v>
      </c>
      <c r="K16" s="21">
        <v>1233.83</v>
      </c>
      <c r="L16" s="21" t="e">
        <v>#N/A</v>
      </c>
      <c r="M16" s="21">
        <v>1586.97</v>
      </c>
      <c r="N16" s="21">
        <v>148.38999999999999</v>
      </c>
      <c r="O16" s="21">
        <v>239.63</v>
      </c>
      <c r="P16" s="21">
        <v>239.66833333333338</v>
      </c>
      <c r="Q16" s="21">
        <v>249.63333333333333</v>
      </c>
      <c r="R16" s="21" t="e">
        <v>#N/A</v>
      </c>
      <c r="S16" s="21" t="e">
        <v>#N/A</v>
      </c>
      <c r="T16" s="21">
        <v>82.8904</v>
      </c>
      <c r="U16" s="21">
        <v>501.58</v>
      </c>
      <c r="V16" s="21">
        <v>887.97</v>
      </c>
      <c r="W16" s="21"/>
      <c r="X16" s="16">
        <v>1.2999999999999999E-3</v>
      </c>
      <c r="Y16" s="16">
        <f t="shared" si="0"/>
        <v>1.0826883828274347E-4</v>
      </c>
    </row>
    <row r="17" spans="1:25" x14ac:dyDescent="0.35">
      <c r="A17" s="23">
        <v>39964</v>
      </c>
      <c r="B17" s="21">
        <v>1537.73</v>
      </c>
      <c r="C17" s="21">
        <v>2090.2199999999998</v>
      </c>
      <c r="D17" s="21">
        <v>790.99210000000005</v>
      </c>
      <c r="E17" s="21">
        <v>161.6901</v>
      </c>
      <c r="F17" s="21">
        <v>268.95999999999998</v>
      </c>
      <c r="G17" s="21">
        <v>266.89999999999998</v>
      </c>
      <c r="H17" s="21">
        <v>253.55</v>
      </c>
      <c r="I17" s="21">
        <v>273.66000000000003</v>
      </c>
      <c r="J17" s="21">
        <v>768.13559999999995</v>
      </c>
      <c r="K17" s="21">
        <v>1353.59</v>
      </c>
      <c r="L17" s="21" t="e">
        <v>#N/A</v>
      </c>
      <c r="M17" s="21">
        <v>1591.61</v>
      </c>
      <c r="N17" s="21">
        <v>153.94999999999999</v>
      </c>
      <c r="O17" s="21">
        <v>252.64</v>
      </c>
      <c r="P17" s="21">
        <v>244.00166666666667</v>
      </c>
      <c r="Q17" s="21">
        <v>256.19833333333332</v>
      </c>
      <c r="R17" s="21" t="e">
        <v>#N/A</v>
      </c>
      <c r="S17" s="21" t="e">
        <v>#N/A</v>
      </c>
      <c r="T17" s="21">
        <v>85.766800000000003</v>
      </c>
      <c r="U17" s="21">
        <v>508.28</v>
      </c>
      <c r="V17" s="21">
        <v>891.19</v>
      </c>
      <c r="W17" s="21"/>
      <c r="X17" s="16">
        <v>1.3500000000000001E-3</v>
      </c>
      <c r="Y17" s="16">
        <f t="shared" si="0"/>
        <v>1.1243045060393975E-4</v>
      </c>
    </row>
    <row r="18" spans="1:25" x14ac:dyDescent="0.35">
      <c r="A18" s="23">
        <v>39994</v>
      </c>
      <c r="B18" s="21">
        <v>1531.83</v>
      </c>
      <c r="C18" s="21">
        <v>2104.3000000000002</v>
      </c>
      <c r="D18" s="21">
        <v>783.58109999999999</v>
      </c>
      <c r="E18" s="21">
        <v>162.83709999999999</v>
      </c>
      <c r="F18" s="21">
        <v>269.08</v>
      </c>
      <c r="G18" s="21">
        <v>271.49</v>
      </c>
      <c r="H18" s="21">
        <v>259.3</v>
      </c>
      <c r="I18" s="21">
        <v>282.98</v>
      </c>
      <c r="J18" s="21">
        <v>789.7595</v>
      </c>
      <c r="K18" s="21">
        <v>1398.31</v>
      </c>
      <c r="L18" s="21" t="e">
        <v>#N/A</v>
      </c>
      <c r="M18" s="21">
        <v>1593.6</v>
      </c>
      <c r="N18" s="21">
        <v>154.81</v>
      </c>
      <c r="O18" s="21">
        <v>254.59</v>
      </c>
      <c r="P18" s="21">
        <v>246.38666666666666</v>
      </c>
      <c r="Q18" s="21">
        <v>262.10500000000002</v>
      </c>
      <c r="R18" s="21" t="e">
        <v>#N/A</v>
      </c>
      <c r="S18" s="21" t="e">
        <v>#N/A</v>
      </c>
      <c r="T18" s="21">
        <v>86.391900000000007</v>
      </c>
      <c r="U18" s="21">
        <v>556.71</v>
      </c>
      <c r="V18" s="21">
        <v>967.72</v>
      </c>
      <c r="W18" s="21"/>
      <c r="X18" s="16">
        <v>1.8799999999999999E-3</v>
      </c>
      <c r="Y18" s="16">
        <f t="shared" si="0"/>
        <v>1.5653183414365834E-4</v>
      </c>
    </row>
    <row r="19" spans="1:25" x14ac:dyDescent="0.35">
      <c r="A19" s="23">
        <v>40025</v>
      </c>
      <c r="B19" s="21">
        <v>1537.7</v>
      </c>
      <c r="C19" s="21">
        <v>2117.02</v>
      </c>
      <c r="D19" s="21">
        <v>796.68920000000003</v>
      </c>
      <c r="E19" s="21">
        <v>163.97309999999999</v>
      </c>
      <c r="F19" s="21">
        <v>271.66000000000003</v>
      </c>
      <c r="G19" s="21">
        <v>279.5</v>
      </c>
      <c r="H19" s="21">
        <v>269.77</v>
      </c>
      <c r="I19" s="21">
        <v>296.26</v>
      </c>
      <c r="J19" s="21">
        <v>836.33479999999997</v>
      </c>
      <c r="K19" s="21">
        <v>1509.59</v>
      </c>
      <c r="L19" s="21" t="e">
        <v>#N/A</v>
      </c>
      <c r="M19" s="21">
        <v>1606.64</v>
      </c>
      <c r="N19" s="21">
        <v>166.63</v>
      </c>
      <c r="O19" s="21">
        <v>259.5</v>
      </c>
      <c r="P19" s="21">
        <v>250.55833333333331</v>
      </c>
      <c r="Q19" s="21">
        <v>269.33</v>
      </c>
      <c r="R19" s="21" t="e">
        <v>#N/A</v>
      </c>
      <c r="S19" s="21" t="e">
        <v>#N/A</v>
      </c>
      <c r="T19" s="21">
        <v>92.512299999999996</v>
      </c>
      <c r="U19" s="21">
        <v>572.07000000000005</v>
      </c>
      <c r="V19" s="21">
        <v>1025</v>
      </c>
      <c r="W19" s="21"/>
      <c r="X19" s="16">
        <v>1.81E-3</v>
      </c>
      <c r="Y19" s="16">
        <f t="shared" si="0"/>
        <v>1.5070834902086716E-4</v>
      </c>
    </row>
    <row r="20" spans="1:25" x14ac:dyDescent="0.35">
      <c r="A20" s="23">
        <v>40056</v>
      </c>
      <c r="B20" s="21">
        <v>1548.5</v>
      </c>
      <c r="C20" s="21">
        <v>2156.92</v>
      </c>
      <c r="D20" s="21">
        <v>810.31029999999998</v>
      </c>
      <c r="E20" s="21">
        <v>165.28909999999999</v>
      </c>
      <c r="F20" s="21">
        <v>273.87</v>
      </c>
      <c r="G20" s="21">
        <v>283.52999999999997</v>
      </c>
      <c r="H20" s="21">
        <v>274.77999999999997</v>
      </c>
      <c r="I20" s="21">
        <v>302.37</v>
      </c>
      <c r="J20" s="21">
        <v>849.529</v>
      </c>
      <c r="K20" s="21">
        <v>1581.2</v>
      </c>
      <c r="L20" s="21" t="e">
        <v>#N/A</v>
      </c>
      <c r="M20" s="21">
        <v>1617.37</v>
      </c>
      <c r="N20" s="21">
        <v>170.81</v>
      </c>
      <c r="O20" s="21">
        <v>265.64</v>
      </c>
      <c r="P20" s="21">
        <v>256.61333333333329</v>
      </c>
      <c r="Q20" s="21">
        <v>277.99</v>
      </c>
      <c r="R20" s="21" t="e">
        <v>#N/A</v>
      </c>
      <c r="S20" s="21" t="e">
        <v>#N/A</v>
      </c>
      <c r="T20" s="21">
        <v>94.768900000000002</v>
      </c>
      <c r="U20" s="21">
        <v>604.28</v>
      </c>
      <c r="V20" s="21">
        <v>1059.5999999999999</v>
      </c>
      <c r="W20" s="21"/>
      <c r="X20" s="16">
        <v>1.32E-3</v>
      </c>
      <c r="Y20" s="16">
        <f t="shared" si="0"/>
        <v>1.099335060699147E-4</v>
      </c>
    </row>
    <row r="21" spans="1:25" x14ac:dyDescent="0.35">
      <c r="A21" s="23">
        <v>40086</v>
      </c>
      <c r="B21" s="21">
        <v>1557.21</v>
      </c>
      <c r="C21" s="21">
        <v>2199.65</v>
      </c>
      <c r="D21" s="21">
        <v>839.38610000000006</v>
      </c>
      <c r="E21" s="21">
        <v>166.0378</v>
      </c>
      <c r="F21" s="21">
        <v>276.14999999999998</v>
      </c>
      <c r="G21" s="21">
        <v>287.14999999999998</v>
      </c>
      <c r="H21" s="21">
        <v>279.64</v>
      </c>
      <c r="I21" s="21">
        <v>309.06</v>
      </c>
      <c r="J21" s="21">
        <v>896.2337</v>
      </c>
      <c r="K21" s="21">
        <v>1700.64</v>
      </c>
      <c r="L21" s="21" t="e">
        <v>#N/A</v>
      </c>
      <c r="M21" s="21">
        <v>1630.37</v>
      </c>
      <c r="N21" s="21">
        <v>174.47</v>
      </c>
      <c r="O21" s="21">
        <v>270.62</v>
      </c>
      <c r="P21" s="21">
        <v>263.60833333333335</v>
      </c>
      <c r="Q21" s="21">
        <v>287.7283333333333</v>
      </c>
      <c r="R21" s="21" t="e">
        <v>#N/A</v>
      </c>
      <c r="S21" s="21" t="e">
        <v>#N/A</v>
      </c>
      <c r="T21" s="21">
        <v>96.758399999999995</v>
      </c>
      <c r="U21" s="21">
        <v>562.77</v>
      </c>
      <c r="V21" s="21">
        <v>1024.96</v>
      </c>
      <c r="W21" s="21"/>
      <c r="X21" s="16">
        <v>1.1299999999999999E-3</v>
      </c>
      <c r="Y21" s="16">
        <f t="shared" si="0"/>
        <v>9.4117931361159535E-5</v>
      </c>
    </row>
    <row r="22" spans="1:25" x14ac:dyDescent="0.35">
      <c r="A22" s="23">
        <v>40117</v>
      </c>
      <c r="B22" s="21">
        <v>1560.2</v>
      </c>
      <c r="C22" s="21">
        <v>2168.77</v>
      </c>
      <c r="D22" s="21">
        <v>821.7731</v>
      </c>
      <c r="E22" s="21">
        <v>166.0103</v>
      </c>
      <c r="F22" s="21">
        <v>277.35000000000002</v>
      </c>
      <c r="G22" s="21">
        <v>289.23</v>
      </c>
      <c r="H22" s="21">
        <v>281.7</v>
      </c>
      <c r="I22" s="21">
        <v>311.14</v>
      </c>
      <c r="J22" s="21">
        <v>911.84799999999996</v>
      </c>
      <c r="K22" s="21">
        <v>1739.48</v>
      </c>
      <c r="L22" s="21" t="e">
        <v>#N/A</v>
      </c>
      <c r="M22" s="21">
        <v>1642.02</v>
      </c>
      <c r="N22" s="21">
        <v>178.65</v>
      </c>
      <c r="O22" s="21">
        <v>273.75</v>
      </c>
      <c r="P22" s="21">
        <v>269.79000000000002</v>
      </c>
      <c r="Q22" s="21">
        <v>295.91166666666663</v>
      </c>
      <c r="R22" s="21" t="e">
        <v>#N/A</v>
      </c>
      <c r="S22" s="21" t="e">
        <v>#N/A</v>
      </c>
      <c r="T22" s="21">
        <v>98.96</v>
      </c>
      <c r="U22" s="21">
        <v>579.73</v>
      </c>
      <c r="V22" s="21">
        <v>1034.24</v>
      </c>
      <c r="W22" s="21"/>
      <c r="X22" s="16">
        <v>5.0000000000000001E-4</v>
      </c>
      <c r="Y22" s="16">
        <f t="shared" si="0"/>
        <v>4.1657121104599071E-5</v>
      </c>
    </row>
    <row r="23" spans="1:25" x14ac:dyDescent="0.35">
      <c r="A23" s="23">
        <v>40147</v>
      </c>
      <c r="B23" s="21">
        <v>1580.99</v>
      </c>
      <c r="C23" s="21">
        <v>2206.4899999999998</v>
      </c>
      <c r="D23" s="21">
        <v>828.55889999999999</v>
      </c>
      <c r="E23" s="21">
        <v>167.40539999999999</v>
      </c>
      <c r="F23" s="21">
        <v>280.81</v>
      </c>
      <c r="G23" s="21">
        <v>292.87</v>
      </c>
      <c r="H23" s="21">
        <v>284.99</v>
      </c>
      <c r="I23" s="21">
        <v>317.01</v>
      </c>
      <c r="J23" s="21">
        <v>921.16240000000005</v>
      </c>
      <c r="K23" s="21">
        <v>1754.78</v>
      </c>
      <c r="L23" s="21" t="e">
        <v>#N/A</v>
      </c>
      <c r="M23" s="21">
        <v>1663.08</v>
      </c>
      <c r="N23" s="21">
        <v>179.56</v>
      </c>
      <c r="O23" s="21">
        <v>274.47000000000003</v>
      </c>
      <c r="P23" s="21">
        <v>275.02999999999997</v>
      </c>
      <c r="Q23" s="21">
        <v>303.13666666666666</v>
      </c>
      <c r="R23" s="21" t="e">
        <v>#N/A</v>
      </c>
      <c r="S23" s="21" t="e">
        <v>#N/A</v>
      </c>
      <c r="T23" s="21">
        <v>99.695300000000003</v>
      </c>
      <c r="U23" s="21">
        <v>625.39</v>
      </c>
      <c r="V23" s="21">
        <v>1117.1400000000001</v>
      </c>
      <c r="W23" s="21"/>
      <c r="X23" s="16">
        <v>5.1999999999999995E-4</v>
      </c>
      <c r="Y23" s="16">
        <f t="shared" si="0"/>
        <v>4.3323008985352018E-5</v>
      </c>
    </row>
    <row r="24" spans="1:25" x14ac:dyDescent="0.35">
      <c r="A24" s="23">
        <v>40178</v>
      </c>
      <c r="B24" s="21">
        <v>1547.74</v>
      </c>
      <c r="C24" s="21">
        <v>2082.3200000000002</v>
      </c>
      <c r="D24" s="21">
        <v>831.35770000000002</v>
      </c>
      <c r="E24" s="21">
        <v>166.00640000000001</v>
      </c>
      <c r="F24" s="21">
        <v>275.88</v>
      </c>
      <c r="G24" s="21">
        <v>288.52999999999997</v>
      </c>
      <c r="H24" s="21">
        <v>282.24</v>
      </c>
      <c r="I24" s="21">
        <v>315.60000000000002</v>
      </c>
      <c r="J24" s="21">
        <v>950.37279999999998</v>
      </c>
      <c r="K24" s="21">
        <v>1830.13</v>
      </c>
      <c r="L24" s="21" t="e">
        <v>#N/A</v>
      </c>
      <c r="M24" s="21">
        <v>1639.67</v>
      </c>
      <c r="N24" s="21">
        <v>180.18</v>
      </c>
      <c r="O24" s="21">
        <v>274.23</v>
      </c>
      <c r="P24" s="21">
        <v>278.8533333333333</v>
      </c>
      <c r="Q24" s="21">
        <v>308.57333333333332</v>
      </c>
      <c r="R24" s="21" t="e">
        <v>#N/A</v>
      </c>
      <c r="S24" s="21" t="e">
        <v>#N/A</v>
      </c>
      <c r="T24" s="21">
        <v>100.03530000000001</v>
      </c>
      <c r="U24" s="21">
        <v>602.04</v>
      </c>
      <c r="V24" s="21">
        <v>1085.43</v>
      </c>
      <c r="W24" s="21"/>
      <c r="X24" s="16">
        <v>5.2999999999999998E-4</v>
      </c>
      <c r="Y24" s="16">
        <f t="shared" si="0"/>
        <v>4.4155941478773997E-5</v>
      </c>
    </row>
    <row r="25" spans="1:25" x14ac:dyDescent="0.35">
      <c r="A25" s="23">
        <v>40209</v>
      </c>
      <c r="B25" s="21">
        <v>1569.68</v>
      </c>
      <c r="C25" s="21">
        <v>2136.5100000000002</v>
      </c>
      <c r="D25" s="21">
        <v>835.69119999999998</v>
      </c>
      <c r="E25" s="21">
        <v>167.2313</v>
      </c>
      <c r="F25" s="21">
        <v>279.91000000000003</v>
      </c>
      <c r="G25" s="21">
        <v>292.88</v>
      </c>
      <c r="H25" s="21">
        <v>286.92</v>
      </c>
      <c r="I25" s="21">
        <v>321.95</v>
      </c>
      <c r="J25" s="21">
        <v>960.90250000000003</v>
      </c>
      <c r="K25" s="21">
        <v>1881.19</v>
      </c>
      <c r="L25" s="21" t="e">
        <v>#N/A</v>
      </c>
      <c r="M25" s="21">
        <v>1661.42</v>
      </c>
      <c r="N25" s="21">
        <v>188.33</v>
      </c>
      <c r="O25" s="21">
        <v>278.83</v>
      </c>
      <c r="P25" s="21">
        <v>281.71166666666664</v>
      </c>
      <c r="Q25" s="21">
        <v>312.85499999999996</v>
      </c>
      <c r="R25" s="21" t="e">
        <v>#N/A</v>
      </c>
      <c r="S25" s="21" t="e">
        <v>#N/A</v>
      </c>
      <c r="T25" s="21">
        <v>104.4072</v>
      </c>
      <c r="U25" s="21">
        <v>628.55999999999995</v>
      </c>
      <c r="V25" s="21">
        <v>1134.8699999999999</v>
      </c>
      <c r="W25" s="21"/>
      <c r="X25" s="16">
        <v>7.3999999999999999E-4</v>
      </c>
      <c r="Y25" s="16">
        <f t="shared" si="0"/>
        <v>6.164576127187793E-5</v>
      </c>
    </row>
    <row r="26" spans="1:25" x14ac:dyDescent="0.35">
      <c r="A26" s="23">
        <v>40237</v>
      </c>
      <c r="B26" s="21">
        <v>1576.2</v>
      </c>
      <c r="C26" s="21">
        <v>2142.2800000000002</v>
      </c>
      <c r="D26" s="21">
        <v>843.79280000000006</v>
      </c>
      <c r="E26" s="21">
        <v>168.2508</v>
      </c>
      <c r="F26" s="21">
        <v>280.87</v>
      </c>
      <c r="G26" s="21">
        <v>294.72000000000003</v>
      </c>
      <c r="H26" s="21">
        <v>287.82</v>
      </c>
      <c r="I26" s="21">
        <v>323.92</v>
      </c>
      <c r="J26" s="21">
        <v>963.13469999999995</v>
      </c>
      <c r="K26" s="21">
        <v>1873.62</v>
      </c>
      <c r="L26" s="21" t="e">
        <v>#N/A</v>
      </c>
      <c r="M26" s="21">
        <v>1664.37</v>
      </c>
      <c r="N26" s="21">
        <v>191.89</v>
      </c>
      <c r="O26" s="21">
        <v>280.17</v>
      </c>
      <c r="P26" s="21">
        <v>283.88499999999999</v>
      </c>
      <c r="Q26" s="21">
        <v>316.44666666666666</v>
      </c>
      <c r="R26" s="21" t="e">
        <v>#N/A</v>
      </c>
      <c r="S26" s="21" t="e">
        <v>#N/A</v>
      </c>
      <c r="T26" s="21">
        <v>106.4285</v>
      </c>
      <c r="U26" s="21">
        <v>678.64</v>
      </c>
      <c r="V26" s="21">
        <v>1220.1400000000001</v>
      </c>
      <c r="W26" s="21"/>
      <c r="X26" s="16">
        <v>1.1999999999999999E-3</v>
      </c>
      <c r="Y26" s="16">
        <f t="shared" si="0"/>
        <v>9.9945042129734318E-5</v>
      </c>
    </row>
    <row r="27" spans="1:25" x14ac:dyDescent="0.35">
      <c r="A27" s="23">
        <v>40268</v>
      </c>
      <c r="B27" s="21">
        <v>1565.42</v>
      </c>
      <c r="C27" s="21">
        <v>2101.6</v>
      </c>
      <c r="D27" s="21">
        <v>841.77210000000002</v>
      </c>
      <c r="E27" s="21">
        <v>168.9246</v>
      </c>
      <c r="F27" s="21">
        <v>280.02999999999997</v>
      </c>
      <c r="G27" s="21">
        <v>295.83</v>
      </c>
      <c r="H27" s="21">
        <v>289.3</v>
      </c>
      <c r="I27" s="21">
        <v>325.85000000000002</v>
      </c>
      <c r="J27" s="21">
        <v>992.20140000000004</v>
      </c>
      <c r="K27" s="21">
        <v>1955.48</v>
      </c>
      <c r="L27" s="21" t="e">
        <v>#N/A</v>
      </c>
      <c r="M27" s="21">
        <v>1664.92</v>
      </c>
      <c r="N27" s="21">
        <v>196.59</v>
      </c>
      <c r="O27" s="21">
        <v>280.33</v>
      </c>
      <c r="P27" s="21">
        <v>285.495</v>
      </c>
      <c r="Q27" s="21">
        <v>319.24500000000006</v>
      </c>
      <c r="R27" s="21" t="e">
        <v>#N/A</v>
      </c>
      <c r="S27" s="21" t="e">
        <v>#N/A</v>
      </c>
      <c r="T27" s="21">
        <v>108.97150000000001</v>
      </c>
      <c r="U27" s="21">
        <v>716.6</v>
      </c>
      <c r="V27" s="21">
        <v>1268.44</v>
      </c>
      <c r="W27" s="21"/>
      <c r="X27" s="16">
        <v>1.5499999999999999E-3</v>
      </c>
      <c r="Y27" s="16">
        <f t="shared" si="0"/>
        <v>1.2907499528136412E-4</v>
      </c>
    </row>
    <row r="28" spans="1:25" x14ac:dyDescent="0.35">
      <c r="A28" s="23">
        <v>40298</v>
      </c>
      <c r="B28" s="21">
        <v>1577.67</v>
      </c>
      <c r="C28" s="21">
        <v>2160.31</v>
      </c>
      <c r="D28" s="21">
        <v>851.99580000000003</v>
      </c>
      <c r="E28" s="21">
        <v>169.41200000000001</v>
      </c>
      <c r="F28" s="21">
        <v>282.25</v>
      </c>
      <c r="G28" s="21">
        <v>301.05</v>
      </c>
      <c r="H28" s="21">
        <v>294.39</v>
      </c>
      <c r="I28" s="21">
        <v>333.1</v>
      </c>
      <c r="J28" s="21">
        <v>1013.986</v>
      </c>
      <c r="K28" s="21">
        <v>2028.66</v>
      </c>
      <c r="L28" s="21" t="e">
        <v>#N/A</v>
      </c>
      <c r="M28" s="21">
        <v>1674.95</v>
      </c>
      <c r="N28" s="21">
        <v>201.57</v>
      </c>
      <c r="O28" s="21">
        <v>281.88</v>
      </c>
      <c r="P28" s="21">
        <v>287.60999999999996</v>
      </c>
      <c r="Q28" s="21">
        <v>322.90499999999997</v>
      </c>
      <c r="R28" s="21" t="e">
        <v>#N/A</v>
      </c>
      <c r="S28" s="21" t="e">
        <v>#N/A</v>
      </c>
      <c r="T28" s="21">
        <v>112.16549999999999</v>
      </c>
      <c r="U28" s="21">
        <v>661.61</v>
      </c>
      <c r="V28" s="21">
        <v>1253.77</v>
      </c>
      <c r="W28" s="21"/>
      <c r="X28" s="16">
        <v>1.5900000000000001E-3</v>
      </c>
      <c r="Y28" s="16">
        <f t="shared" si="0"/>
        <v>1.3240353859966802E-4</v>
      </c>
    </row>
    <row r="29" spans="1:25" x14ac:dyDescent="0.35">
      <c r="A29" s="23">
        <v>40329</v>
      </c>
      <c r="B29" s="21">
        <v>1598.41</v>
      </c>
      <c r="C29" s="21">
        <v>2252.92</v>
      </c>
      <c r="D29" s="21">
        <v>858.38729999999998</v>
      </c>
      <c r="E29" s="21">
        <v>171.4136</v>
      </c>
      <c r="F29" s="21">
        <v>285.77999999999997</v>
      </c>
      <c r="G29" s="21">
        <v>300.19</v>
      </c>
      <c r="H29" s="21">
        <v>293.05</v>
      </c>
      <c r="I29" s="21">
        <v>329.8</v>
      </c>
      <c r="J29" s="21">
        <v>978.47640000000001</v>
      </c>
      <c r="K29" s="21">
        <v>1938.01</v>
      </c>
      <c r="L29" s="21" t="e">
        <v>#N/A</v>
      </c>
      <c r="M29" s="21">
        <v>1693.71</v>
      </c>
      <c r="N29" s="21">
        <v>198.2</v>
      </c>
      <c r="O29" s="21">
        <v>283.31</v>
      </c>
      <c r="P29" s="21">
        <v>288.95333333333332</v>
      </c>
      <c r="Q29" s="21">
        <v>325.03666666666669</v>
      </c>
      <c r="R29" s="21" t="e">
        <v>#N/A</v>
      </c>
      <c r="S29" s="21" t="e">
        <v>#N/A</v>
      </c>
      <c r="T29" s="21">
        <v>110.5288</v>
      </c>
      <c r="U29" s="21">
        <v>609.49</v>
      </c>
      <c r="V29" s="21">
        <v>1225.8499999999999</v>
      </c>
      <c r="W29" s="21"/>
      <c r="X29" s="16">
        <v>1.6000000000000001E-3</v>
      </c>
      <c r="Y29" s="16">
        <f t="shared" si="0"/>
        <v>1.3323565538980731E-4</v>
      </c>
    </row>
    <row r="30" spans="1:25" x14ac:dyDescent="0.35">
      <c r="A30" s="23">
        <v>40359</v>
      </c>
      <c r="B30" s="21">
        <v>1621.24</v>
      </c>
      <c r="C30" s="21">
        <v>2357.2800000000002</v>
      </c>
      <c r="D30" s="21">
        <v>858.89840000000004</v>
      </c>
      <c r="E30" s="21">
        <v>172.0093</v>
      </c>
      <c r="F30" s="21">
        <v>289.89</v>
      </c>
      <c r="G30" s="21">
        <v>305.74</v>
      </c>
      <c r="H30" s="21">
        <v>299.64</v>
      </c>
      <c r="I30" s="21">
        <v>336.15</v>
      </c>
      <c r="J30" s="21">
        <v>990.4502</v>
      </c>
      <c r="K30" s="21">
        <v>1966.23</v>
      </c>
      <c r="L30" s="21" t="e">
        <v>#N/A</v>
      </c>
      <c r="M30" s="21">
        <v>1712.72</v>
      </c>
      <c r="N30" s="21">
        <v>202.05</v>
      </c>
      <c r="O30" s="21">
        <v>287.44</v>
      </c>
      <c r="P30" s="21">
        <v>291.8533333333333</v>
      </c>
      <c r="Q30" s="21">
        <v>328.46166666666664</v>
      </c>
      <c r="R30" s="21" t="e">
        <v>#N/A</v>
      </c>
      <c r="S30" s="21" t="e">
        <v>#N/A</v>
      </c>
      <c r="T30" s="21">
        <v>112.66249999999999</v>
      </c>
      <c r="U30" s="21">
        <v>650.89</v>
      </c>
      <c r="V30" s="21">
        <v>1261.51</v>
      </c>
      <c r="W30" s="21"/>
      <c r="X30" s="16">
        <v>1.7499999999999998E-3</v>
      </c>
      <c r="Y30" s="16">
        <f t="shared" si="0"/>
        <v>1.4571649345995752E-4</v>
      </c>
    </row>
    <row r="31" spans="1:25" x14ac:dyDescent="0.35">
      <c r="A31" s="23">
        <v>40390</v>
      </c>
      <c r="B31" s="21">
        <v>1633.84</v>
      </c>
      <c r="C31" s="21">
        <v>2359.16</v>
      </c>
      <c r="D31" s="21">
        <v>869.60599999999999</v>
      </c>
      <c r="E31" s="21">
        <v>172.923</v>
      </c>
      <c r="F31" s="21">
        <v>292.22000000000003</v>
      </c>
      <c r="G31" s="21">
        <v>310.05</v>
      </c>
      <c r="H31" s="21">
        <v>305.77</v>
      </c>
      <c r="I31" s="21">
        <v>343.98</v>
      </c>
      <c r="J31" s="21">
        <v>1024.6400000000001</v>
      </c>
      <c r="K31" s="21">
        <v>2057.36</v>
      </c>
      <c r="L31" s="21" t="e">
        <v>#N/A</v>
      </c>
      <c r="M31" s="21">
        <v>1727.41</v>
      </c>
      <c r="N31" s="21">
        <v>206.34</v>
      </c>
      <c r="O31" s="21">
        <v>291</v>
      </c>
      <c r="P31" s="21">
        <v>294.99499999999995</v>
      </c>
      <c r="Q31" s="21">
        <v>332.13333333333338</v>
      </c>
      <c r="R31" s="21" t="e">
        <v>#N/A</v>
      </c>
      <c r="S31" s="21" t="e">
        <v>#N/A</v>
      </c>
      <c r="T31" s="21">
        <v>115.0613</v>
      </c>
      <c r="U31" s="21">
        <v>602.05999999999995</v>
      </c>
      <c r="V31" s="21">
        <v>1281.8699999999999</v>
      </c>
      <c r="W31" s="21"/>
      <c r="X31" s="16">
        <v>1.4499999999999999E-3</v>
      </c>
      <c r="Y31" s="16">
        <f t="shared" si="0"/>
        <v>1.2075310382786419E-4</v>
      </c>
    </row>
    <row r="32" spans="1:25" x14ac:dyDescent="0.35">
      <c r="A32" s="23">
        <v>40421</v>
      </c>
      <c r="B32" s="21">
        <v>1654.36</v>
      </c>
      <c r="C32" s="21">
        <v>2519.56</v>
      </c>
      <c r="D32" s="21">
        <v>889.51840000000004</v>
      </c>
      <c r="E32" s="21">
        <v>176.68819999999999</v>
      </c>
      <c r="F32" s="21">
        <v>295.29000000000002</v>
      </c>
      <c r="G32" s="21">
        <v>316.98</v>
      </c>
      <c r="H32" s="21">
        <v>312.42</v>
      </c>
      <c r="I32" s="21">
        <v>350.92</v>
      </c>
      <c r="J32" s="21">
        <v>1024.123</v>
      </c>
      <c r="K32" s="21">
        <v>2075.94</v>
      </c>
      <c r="L32" s="21" t="e">
        <v>#N/A</v>
      </c>
      <c r="M32" s="21">
        <v>1730.07</v>
      </c>
      <c r="N32" s="21">
        <v>210.53</v>
      </c>
      <c r="O32" s="21">
        <v>293.61</v>
      </c>
      <c r="P32" s="21">
        <v>299.09500000000003</v>
      </c>
      <c r="Q32" s="21">
        <v>336.63333333333338</v>
      </c>
      <c r="R32" s="21" t="e">
        <v>#N/A</v>
      </c>
      <c r="S32" s="21" t="e">
        <v>#N/A</v>
      </c>
      <c r="T32" s="21">
        <v>117.62860000000001</v>
      </c>
      <c r="U32" s="21">
        <v>676.14</v>
      </c>
      <c r="V32" s="21">
        <v>1292.42</v>
      </c>
      <c r="W32" s="21"/>
      <c r="X32" s="16">
        <v>1.3700000000000001E-3</v>
      </c>
      <c r="Y32" s="16">
        <f t="shared" si="0"/>
        <v>1.1409504219739297E-4</v>
      </c>
    </row>
    <row r="33" spans="1:25" x14ac:dyDescent="0.35">
      <c r="A33" s="23">
        <v>40451</v>
      </c>
      <c r="B33" s="21">
        <v>1658.94</v>
      </c>
      <c r="C33" s="21">
        <v>2479.9899999999998</v>
      </c>
      <c r="D33" s="21">
        <v>888.13040000000001</v>
      </c>
      <c r="E33" s="21">
        <v>176.02520000000001</v>
      </c>
      <c r="F33" s="21">
        <v>295.02</v>
      </c>
      <c r="G33" s="21">
        <v>318.47000000000003</v>
      </c>
      <c r="H33" s="21">
        <v>314.57</v>
      </c>
      <c r="I33" s="21">
        <v>354.96</v>
      </c>
      <c r="J33" s="21">
        <v>1053.3534</v>
      </c>
      <c r="K33" s="21">
        <v>2171.87</v>
      </c>
      <c r="L33" s="21" t="e">
        <v>#N/A</v>
      </c>
      <c r="M33" s="21">
        <v>1723.47</v>
      </c>
      <c r="N33" s="21">
        <v>214.99</v>
      </c>
      <c r="O33" s="21">
        <v>294.66000000000003</v>
      </c>
      <c r="P33" s="21">
        <v>303.30666666666667</v>
      </c>
      <c r="Q33" s="21">
        <v>341.48500000000007</v>
      </c>
      <c r="R33" s="21" t="e">
        <v>#N/A</v>
      </c>
      <c r="S33" s="21" t="e">
        <v>#N/A</v>
      </c>
      <c r="T33" s="21">
        <v>120.399</v>
      </c>
      <c r="U33" s="21">
        <v>703.35</v>
      </c>
      <c r="V33" s="21">
        <v>1320.19</v>
      </c>
      <c r="W33" s="21"/>
      <c r="X33" s="16">
        <v>1.58E-3</v>
      </c>
      <c r="Y33" s="16">
        <f t="shared" si="0"/>
        <v>1.3157141419384288E-4</v>
      </c>
    </row>
    <row r="34" spans="1:25" x14ac:dyDescent="0.35">
      <c r="A34" s="23">
        <v>40482</v>
      </c>
      <c r="B34" s="21">
        <v>1664.56</v>
      </c>
      <c r="C34" s="21">
        <v>2397.86</v>
      </c>
      <c r="D34" s="21">
        <v>885.67190000000005</v>
      </c>
      <c r="E34" s="21">
        <v>175.11500000000001</v>
      </c>
      <c r="F34" s="21">
        <v>296.2</v>
      </c>
      <c r="G34" s="21">
        <v>318.27</v>
      </c>
      <c r="H34" s="21">
        <v>314.5</v>
      </c>
      <c r="I34" s="21">
        <v>357.15</v>
      </c>
      <c r="J34" s="21">
        <v>1078.8684000000001</v>
      </c>
      <c r="K34" s="21">
        <v>2261.66</v>
      </c>
      <c r="L34" s="21" t="e">
        <v>#N/A</v>
      </c>
      <c r="M34" s="21">
        <v>1740.35</v>
      </c>
      <c r="N34" s="21">
        <v>217.29</v>
      </c>
      <c r="O34" s="21">
        <v>295.12</v>
      </c>
      <c r="P34" s="21">
        <v>306.65833333333336</v>
      </c>
      <c r="Q34" s="21">
        <v>345.49333333333334</v>
      </c>
      <c r="R34" s="21" t="e">
        <v>#N/A</v>
      </c>
      <c r="S34" s="21" t="e">
        <v>#N/A</v>
      </c>
      <c r="T34" s="21">
        <v>121.9051</v>
      </c>
      <c r="U34" s="21">
        <v>727.01</v>
      </c>
      <c r="V34" s="21">
        <v>1347.32</v>
      </c>
      <c r="W34" s="21"/>
      <c r="X34" s="16">
        <v>1.16E-3</v>
      </c>
      <c r="Y34" s="16">
        <f t="shared" si="0"/>
        <v>9.6615310279046795E-5</v>
      </c>
    </row>
    <row r="35" spans="1:25" x14ac:dyDescent="0.35">
      <c r="A35" s="23">
        <v>40512</v>
      </c>
      <c r="B35" s="21">
        <v>1654.52</v>
      </c>
      <c r="C35" s="21">
        <v>2366.04</v>
      </c>
      <c r="D35" s="21">
        <v>867.96339999999998</v>
      </c>
      <c r="E35" s="21">
        <v>172.90039999999999</v>
      </c>
      <c r="F35" s="21">
        <v>294.81</v>
      </c>
      <c r="G35" s="21">
        <v>315.25</v>
      </c>
      <c r="H35" s="21">
        <v>311.43</v>
      </c>
      <c r="I35" s="21">
        <v>353.95</v>
      </c>
      <c r="J35" s="21">
        <v>1067.5650000000001</v>
      </c>
      <c r="K35" s="21">
        <v>2208.58</v>
      </c>
      <c r="L35" s="21" t="e">
        <v>#N/A</v>
      </c>
      <c r="M35" s="21">
        <v>1737.22</v>
      </c>
      <c r="N35" s="21">
        <v>216.67</v>
      </c>
      <c r="O35" s="21">
        <v>293.19</v>
      </c>
      <c r="P35" s="21">
        <v>309.72166666666664</v>
      </c>
      <c r="Q35" s="21">
        <v>349.51833333333326</v>
      </c>
      <c r="R35" s="21" t="e">
        <v>#N/A</v>
      </c>
      <c r="S35" s="21" t="e">
        <v>#N/A</v>
      </c>
      <c r="T35" s="21">
        <v>121.9684</v>
      </c>
      <c r="U35" s="21">
        <v>783.65</v>
      </c>
      <c r="V35" s="21">
        <v>1384.47</v>
      </c>
      <c r="W35" s="21"/>
      <c r="X35" s="16">
        <v>1.65E-3</v>
      </c>
      <c r="Y35" s="16">
        <f t="shared" si="0"/>
        <v>1.373961251101008E-4</v>
      </c>
    </row>
    <row r="36" spans="1:25" x14ac:dyDescent="0.35">
      <c r="A36" s="23">
        <v>40543</v>
      </c>
      <c r="B36" s="21">
        <v>1629.61</v>
      </c>
      <c r="C36" s="21">
        <v>2277.56</v>
      </c>
      <c r="D36" s="21">
        <v>851.13520000000005</v>
      </c>
      <c r="E36" s="21">
        <v>172.3211</v>
      </c>
      <c r="F36" s="21">
        <v>291.49</v>
      </c>
      <c r="G36" s="21">
        <v>312.73</v>
      </c>
      <c r="H36" s="21">
        <v>308.95999999999998</v>
      </c>
      <c r="I36" s="21">
        <v>350</v>
      </c>
      <c r="J36" s="21">
        <v>1087.923</v>
      </c>
      <c r="K36" s="21">
        <v>2227.79</v>
      </c>
      <c r="L36" s="21" t="e">
        <v>#N/A</v>
      </c>
      <c r="M36" s="21">
        <v>1727.67</v>
      </c>
      <c r="N36" s="21">
        <v>216.95</v>
      </c>
      <c r="O36" s="21">
        <v>290.27999999999997</v>
      </c>
      <c r="P36" s="21">
        <v>311.27500000000003</v>
      </c>
      <c r="Q36" s="21">
        <v>351.82666666666665</v>
      </c>
      <c r="R36" s="21" t="e">
        <v>#N/A</v>
      </c>
      <c r="S36" s="21" t="e">
        <v>#N/A</v>
      </c>
      <c r="T36" s="21">
        <v>122.44289999999999</v>
      </c>
      <c r="U36" s="21">
        <v>781.25</v>
      </c>
      <c r="V36" s="21">
        <v>1370.99</v>
      </c>
      <c r="W36" s="21"/>
      <c r="X36" s="16">
        <v>1.25E-3</v>
      </c>
      <c r="Y36" s="16">
        <f t="shared" si="0"/>
        <v>1.0410703546392952E-4</v>
      </c>
    </row>
    <row r="37" spans="1:25" x14ac:dyDescent="0.35">
      <c r="A37" s="23">
        <v>40574</v>
      </c>
      <c r="B37" s="21">
        <v>1634.44</v>
      </c>
      <c r="C37" s="21">
        <v>2228.25</v>
      </c>
      <c r="D37" s="21">
        <v>844.87109999999996</v>
      </c>
      <c r="E37" s="21">
        <v>171.17830000000001</v>
      </c>
      <c r="F37" s="21">
        <v>291.64</v>
      </c>
      <c r="G37" s="21">
        <v>312.89999999999998</v>
      </c>
      <c r="H37" s="21">
        <v>309.76</v>
      </c>
      <c r="I37" s="21">
        <v>352.03</v>
      </c>
      <c r="J37" s="21">
        <v>1110.8979999999999</v>
      </c>
      <c r="K37" s="21">
        <v>2297.73</v>
      </c>
      <c r="L37" s="21" t="e">
        <v>#N/A</v>
      </c>
      <c r="M37" s="21">
        <v>1728.56</v>
      </c>
      <c r="N37" s="21">
        <v>221.03</v>
      </c>
      <c r="O37" s="21">
        <v>292.16000000000003</v>
      </c>
      <c r="P37" s="21">
        <v>311.94</v>
      </c>
      <c r="Q37" s="21">
        <v>353.16833333333335</v>
      </c>
      <c r="R37" s="21" t="e">
        <v>#N/A</v>
      </c>
      <c r="S37" s="21" t="e">
        <v>#N/A</v>
      </c>
      <c r="T37" s="21">
        <v>124.937</v>
      </c>
      <c r="U37" s="21">
        <v>823.45</v>
      </c>
      <c r="V37" s="21">
        <v>1396.66</v>
      </c>
      <c r="W37" s="21"/>
      <c r="X37" s="16">
        <v>1.5E-3</v>
      </c>
      <c r="Y37" s="16">
        <f t="shared" si="0"/>
        <v>1.2491414476678564E-4</v>
      </c>
    </row>
    <row r="38" spans="1:25" x14ac:dyDescent="0.35">
      <c r="A38" s="23">
        <v>40602</v>
      </c>
      <c r="B38" s="21">
        <v>1630.2</v>
      </c>
      <c r="C38" s="21">
        <v>2254.2800000000002</v>
      </c>
      <c r="D38" s="21">
        <v>858.31590000000006</v>
      </c>
      <c r="E38" s="21">
        <v>171.30529999999999</v>
      </c>
      <c r="F38" s="21">
        <v>291.88</v>
      </c>
      <c r="G38" s="21">
        <v>315.02</v>
      </c>
      <c r="H38" s="21">
        <v>312.67</v>
      </c>
      <c r="I38" s="21">
        <v>354.85</v>
      </c>
      <c r="J38" s="21">
        <v>1124.999</v>
      </c>
      <c r="K38" s="21">
        <v>2338.1</v>
      </c>
      <c r="L38" s="21" t="e">
        <v>#N/A</v>
      </c>
      <c r="M38" s="21">
        <v>1732.9</v>
      </c>
      <c r="N38" s="21">
        <v>222.78</v>
      </c>
      <c r="O38" s="21">
        <v>292.12</v>
      </c>
      <c r="P38" s="21">
        <v>311.98166666666668</v>
      </c>
      <c r="Q38" s="21">
        <v>353.82333333333332</v>
      </c>
      <c r="R38" s="21" t="e">
        <v>#N/A</v>
      </c>
      <c r="S38" s="21" t="e">
        <v>#N/A</v>
      </c>
      <c r="T38" s="21">
        <v>126.0538</v>
      </c>
      <c r="U38" s="21">
        <v>843.55</v>
      </c>
      <c r="V38" s="21">
        <v>1338.13</v>
      </c>
      <c r="W38" s="21"/>
      <c r="X38" s="16">
        <v>1.4000000000000002E-3</v>
      </c>
      <c r="Y38" s="16">
        <f t="shared" si="0"/>
        <v>1.1659187244639213E-4</v>
      </c>
    </row>
    <row r="39" spans="1:25" x14ac:dyDescent="0.35">
      <c r="A39" s="23">
        <v>40633</v>
      </c>
      <c r="B39" s="21">
        <v>1629.03</v>
      </c>
      <c r="C39" s="21">
        <v>2254.4899999999998</v>
      </c>
      <c r="D39" s="21">
        <v>855.4624</v>
      </c>
      <c r="E39" s="21">
        <v>171.1344</v>
      </c>
      <c r="F39" s="21">
        <v>292.17</v>
      </c>
      <c r="G39" s="21">
        <v>314.51</v>
      </c>
      <c r="H39" s="21">
        <v>312.11</v>
      </c>
      <c r="I39" s="21">
        <v>355.01</v>
      </c>
      <c r="J39" s="21">
        <v>1128.624</v>
      </c>
      <c r="K39" s="21">
        <v>2346</v>
      </c>
      <c r="L39" s="21" t="e">
        <v>#N/A</v>
      </c>
      <c r="M39" s="21">
        <v>1737.73</v>
      </c>
      <c r="N39" s="21">
        <v>221.39</v>
      </c>
      <c r="O39" s="21">
        <v>292.13</v>
      </c>
      <c r="P39" s="21">
        <v>311.57166666666672</v>
      </c>
      <c r="Q39" s="21">
        <v>353.83166666666665</v>
      </c>
      <c r="R39" s="21" t="e">
        <v>#N/A</v>
      </c>
      <c r="S39" s="21" t="e">
        <v>#N/A</v>
      </c>
      <c r="T39" s="21">
        <v>125.37090000000001</v>
      </c>
      <c r="U39" s="21">
        <v>865.29</v>
      </c>
      <c r="V39" s="21">
        <v>1340.03</v>
      </c>
      <c r="W39" s="21"/>
      <c r="X39" s="16">
        <v>9.3999999999999997E-4</v>
      </c>
      <c r="Y39" s="16">
        <f t="shared" si="0"/>
        <v>7.8299604976184156E-5</v>
      </c>
    </row>
    <row r="40" spans="1:25" x14ac:dyDescent="0.35">
      <c r="A40" s="23">
        <v>40663</v>
      </c>
      <c r="B40" s="21">
        <v>1646.04</v>
      </c>
      <c r="C40" s="21">
        <v>2296.64</v>
      </c>
      <c r="D40" s="21">
        <v>870.78189999999995</v>
      </c>
      <c r="E40" s="21">
        <v>172.33709999999999</v>
      </c>
      <c r="F40" s="21">
        <v>295.41000000000003</v>
      </c>
      <c r="G40" s="21">
        <v>319.87</v>
      </c>
      <c r="H40" s="21">
        <v>317.70999999999998</v>
      </c>
      <c r="I40" s="21">
        <v>361.61</v>
      </c>
      <c r="J40" s="21">
        <v>1145.0630000000001</v>
      </c>
      <c r="K40" s="21">
        <v>2406.4899999999998</v>
      </c>
      <c r="L40" s="21" t="e">
        <v>#N/A</v>
      </c>
      <c r="M40" s="21">
        <v>1756.8</v>
      </c>
      <c r="N40" s="21">
        <v>226.61</v>
      </c>
      <c r="O40" s="21">
        <v>294.89999999999998</v>
      </c>
      <c r="P40" s="21">
        <v>312.10666666666663</v>
      </c>
      <c r="Q40" s="21">
        <v>354.57499999999999</v>
      </c>
      <c r="R40" s="21" t="e">
        <v>#N/A</v>
      </c>
      <c r="S40" s="21" t="e">
        <v>#N/A</v>
      </c>
      <c r="T40" s="21">
        <v>128.29810000000001</v>
      </c>
      <c r="U40" s="21">
        <v>848.3</v>
      </c>
      <c r="V40" s="21">
        <v>1383.03</v>
      </c>
      <c r="W40" s="21"/>
      <c r="X40" s="16">
        <v>4.0999999999999999E-4</v>
      </c>
      <c r="Y40" s="16">
        <f t="shared" si="0"/>
        <v>3.4160247861958482E-5</v>
      </c>
    </row>
    <row r="41" spans="1:25" x14ac:dyDescent="0.35">
      <c r="A41" s="23">
        <v>40694</v>
      </c>
      <c r="B41" s="21">
        <v>1666.81</v>
      </c>
      <c r="C41" s="21">
        <v>2376.11</v>
      </c>
      <c r="D41" s="21">
        <v>885.6644</v>
      </c>
      <c r="E41" s="21">
        <v>173.96420000000001</v>
      </c>
      <c r="F41" s="21">
        <v>299.08999999999997</v>
      </c>
      <c r="G41" s="21">
        <v>324.52999999999997</v>
      </c>
      <c r="H41" s="21">
        <v>322.27999999999997</v>
      </c>
      <c r="I41" s="21">
        <v>367.4</v>
      </c>
      <c r="J41" s="21">
        <v>1149.4680000000001</v>
      </c>
      <c r="K41" s="21">
        <v>2447.52</v>
      </c>
      <c r="L41" s="21" t="e">
        <v>#N/A</v>
      </c>
      <c r="M41" s="21">
        <v>1775.67</v>
      </c>
      <c r="N41" s="21">
        <v>227.3</v>
      </c>
      <c r="O41" s="21">
        <v>297.23</v>
      </c>
      <c r="P41" s="21">
        <v>313.91500000000002</v>
      </c>
      <c r="Q41" s="21">
        <v>356.81666666666666</v>
      </c>
      <c r="R41" s="21" t="e">
        <v>#N/A</v>
      </c>
      <c r="S41" s="21" t="e">
        <v>#N/A</v>
      </c>
      <c r="T41" s="21">
        <v>128.82140000000001</v>
      </c>
      <c r="U41" s="21">
        <v>827.43</v>
      </c>
      <c r="V41" s="21">
        <v>1331.75</v>
      </c>
      <c r="W41" s="21"/>
      <c r="X41" s="16">
        <v>4.8000000000000001E-4</v>
      </c>
      <c r="Y41" s="16">
        <f t="shared" si="0"/>
        <v>3.9991202697819972E-5</v>
      </c>
    </row>
    <row r="42" spans="1:25" x14ac:dyDescent="0.35">
      <c r="A42" s="23">
        <v>40724</v>
      </c>
      <c r="B42" s="21">
        <v>1665.44</v>
      </c>
      <c r="C42" s="21">
        <v>2330.3200000000002</v>
      </c>
      <c r="D42" s="21">
        <v>888.74739999999997</v>
      </c>
      <c r="E42" s="21">
        <v>173.66749999999999</v>
      </c>
      <c r="F42" s="21">
        <v>298.70999999999998</v>
      </c>
      <c r="G42" s="21">
        <v>322.22000000000003</v>
      </c>
      <c r="H42" s="21">
        <v>319.39</v>
      </c>
      <c r="I42" s="21">
        <v>364.36</v>
      </c>
      <c r="J42" s="21">
        <v>1138.7270000000001</v>
      </c>
      <c r="K42" s="21">
        <v>2412.54</v>
      </c>
      <c r="L42" s="21" t="e">
        <v>#N/A</v>
      </c>
      <c r="M42" s="21">
        <v>1777.33</v>
      </c>
      <c r="N42" s="21">
        <v>225</v>
      </c>
      <c r="O42" s="21">
        <v>297.3</v>
      </c>
      <c r="P42" s="21">
        <v>315.65333333333336</v>
      </c>
      <c r="Q42" s="21">
        <v>359.21000000000004</v>
      </c>
      <c r="R42" s="21" t="e">
        <v>#N/A</v>
      </c>
      <c r="S42" s="21" t="e">
        <v>#N/A</v>
      </c>
      <c r="T42" s="21">
        <v>127.5408</v>
      </c>
      <c r="U42" s="21">
        <v>797.03</v>
      </c>
      <c r="V42" s="21">
        <v>1351.63</v>
      </c>
      <c r="W42" s="21"/>
      <c r="X42" s="16">
        <v>1.4999999999999999E-4</v>
      </c>
      <c r="Y42" s="16">
        <f t="shared" si="0"/>
        <v>1.2499140707333822E-5</v>
      </c>
    </row>
    <row r="43" spans="1:25" x14ac:dyDescent="0.35">
      <c r="A43" s="23">
        <v>40755</v>
      </c>
      <c r="B43" s="21">
        <v>1689.16</v>
      </c>
      <c r="C43" s="21">
        <v>2430.7800000000002</v>
      </c>
      <c r="D43" s="21">
        <v>897.81560000000002</v>
      </c>
      <c r="E43" s="21">
        <v>175.46119999999999</v>
      </c>
      <c r="F43" s="21">
        <v>302.67</v>
      </c>
      <c r="G43" s="21">
        <v>328.57</v>
      </c>
      <c r="H43" s="21">
        <v>327.19</v>
      </c>
      <c r="I43" s="21">
        <v>374.23</v>
      </c>
      <c r="J43" s="21">
        <v>1151.7370000000001</v>
      </c>
      <c r="K43" s="21">
        <v>2445.5500000000002</v>
      </c>
      <c r="L43" s="21" t="e">
        <v>#N/A</v>
      </c>
      <c r="M43" s="21">
        <v>1793.85</v>
      </c>
      <c r="N43" s="21">
        <v>226.99</v>
      </c>
      <c r="O43" s="21">
        <v>300.69</v>
      </c>
      <c r="P43" s="21">
        <v>318.55833333333334</v>
      </c>
      <c r="Q43" s="21">
        <v>362.91</v>
      </c>
      <c r="R43" s="21" t="e">
        <v>#N/A</v>
      </c>
      <c r="S43" s="21" t="e">
        <v>#N/A</v>
      </c>
      <c r="T43" s="21">
        <v>128.68530000000001</v>
      </c>
      <c r="U43" s="21">
        <v>726.81</v>
      </c>
      <c r="V43" s="21">
        <v>1259.8399999999999</v>
      </c>
      <c r="W43" s="21"/>
      <c r="X43" s="16">
        <v>9.3999999999999997E-4</v>
      </c>
      <c r="Y43" s="16">
        <f t="shared" si="0"/>
        <v>7.8299604976184156E-5</v>
      </c>
    </row>
    <row r="44" spans="1:25" x14ac:dyDescent="0.35">
      <c r="A44" s="23">
        <v>40786</v>
      </c>
      <c r="B44" s="21">
        <v>1718.99</v>
      </c>
      <c r="C44" s="21">
        <v>2645.04</v>
      </c>
      <c r="D44" s="21">
        <v>913.17539999999997</v>
      </c>
      <c r="E44" s="21">
        <v>178.92500000000001</v>
      </c>
      <c r="F44" s="21">
        <v>308.38</v>
      </c>
      <c r="G44" s="21">
        <v>330.88</v>
      </c>
      <c r="H44" s="21">
        <v>327.31</v>
      </c>
      <c r="I44" s="21">
        <v>373.6</v>
      </c>
      <c r="J44" s="21">
        <v>1105.962</v>
      </c>
      <c r="K44" s="21">
        <v>2338.9699999999998</v>
      </c>
      <c r="L44" s="21" t="e">
        <v>#N/A</v>
      </c>
      <c r="M44" s="21">
        <v>1816.19</v>
      </c>
      <c r="N44" s="21">
        <v>223.04</v>
      </c>
      <c r="O44" s="21">
        <v>303.55</v>
      </c>
      <c r="P44" s="21">
        <v>320.99833333333328</v>
      </c>
      <c r="Q44" s="21">
        <v>366.03500000000003</v>
      </c>
      <c r="R44" s="21" t="e">
        <v>#N/A</v>
      </c>
      <c r="S44" s="21" t="e">
        <v>#N/A</v>
      </c>
      <c r="T44" s="21">
        <v>126.3779</v>
      </c>
      <c r="U44" s="21">
        <v>644.16</v>
      </c>
      <c r="V44" s="21">
        <v>1180</v>
      </c>
      <c r="W44" s="21"/>
      <c r="X44" s="16">
        <v>1.2999999999999999E-4</v>
      </c>
      <c r="Y44" s="16">
        <f t="shared" si="0"/>
        <v>1.0832687900919069E-5</v>
      </c>
    </row>
    <row r="45" spans="1:25" x14ac:dyDescent="0.35">
      <c r="A45" s="23">
        <v>40816</v>
      </c>
      <c r="B45" s="21">
        <v>1724.33</v>
      </c>
      <c r="C45" s="21">
        <v>2905.04</v>
      </c>
      <c r="D45" s="21">
        <v>922.62279999999998</v>
      </c>
      <c r="E45" s="21">
        <v>180.41749999999999</v>
      </c>
      <c r="F45" s="21">
        <v>311.17</v>
      </c>
      <c r="G45" s="21">
        <v>332.82</v>
      </c>
      <c r="H45" s="21">
        <v>328.51</v>
      </c>
      <c r="I45" s="21">
        <v>372.47</v>
      </c>
      <c r="J45" s="21">
        <v>1069.78</v>
      </c>
      <c r="K45" s="21">
        <v>2263.34</v>
      </c>
      <c r="L45" s="21" t="e">
        <v>#N/A</v>
      </c>
      <c r="M45" s="21">
        <v>1819.29</v>
      </c>
      <c r="N45" s="21">
        <v>223.07</v>
      </c>
      <c r="O45" s="21">
        <v>304.5</v>
      </c>
      <c r="P45" s="21">
        <v>323.73166666666663</v>
      </c>
      <c r="Q45" s="21">
        <v>368.94499999999999</v>
      </c>
      <c r="R45" s="21" t="e">
        <v>#N/A</v>
      </c>
      <c r="S45" s="21" t="e">
        <v>#N/A</v>
      </c>
      <c r="T45" s="21">
        <v>126.4858</v>
      </c>
      <c r="U45" s="21">
        <v>741.06</v>
      </c>
      <c r="V45" s="21">
        <v>1275.99</v>
      </c>
      <c r="W45" s="21"/>
      <c r="X45" s="16">
        <v>2.3000000000000001E-4</v>
      </c>
      <c r="Y45" s="16">
        <f t="shared" si="0"/>
        <v>1.916464647733207E-5</v>
      </c>
    </row>
    <row r="46" spans="1:25" x14ac:dyDescent="0.35">
      <c r="A46" s="23">
        <v>40847</v>
      </c>
      <c r="B46" s="21">
        <v>1720.39</v>
      </c>
      <c r="C46" s="21">
        <v>2794.08</v>
      </c>
      <c r="D46" s="21">
        <v>919.18520000000001</v>
      </c>
      <c r="E46" s="21">
        <v>179.3323</v>
      </c>
      <c r="F46" s="21">
        <v>310.02</v>
      </c>
      <c r="G46" s="21">
        <v>334.52</v>
      </c>
      <c r="H46" s="21">
        <v>333.69</v>
      </c>
      <c r="I46" s="21">
        <v>380.86</v>
      </c>
      <c r="J46" s="21">
        <v>1134.9688000000001</v>
      </c>
      <c r="K46" s="21">
        <v>2369.09</v>
      </c>
      <c r="L46" s="21" t="e">
        <v>#N/A</v>
      </c>
      <c r="M46" s="21">
        <v>1819.24</v>
      </c>
      <c r="N46" s="21">
        <v>226.26</v>
      </c>
      <c r="O46" s="21">
        <v>304.22000000000003</v>
      </c>
      <c r="P46" s="21">
        <v>326.39499999999998</v>
      </c>
      <c r="Q46" s="21">
        <v>372.15333333333336</v>
      </c>
      <c r="R46" s="21" t="e">
        <v>#N/A</v>
      </c>
      <c r="S46" s="21" t="e">
        <v>#N/A</v>
      </c>
      <c r="T46" s="21">
        <v>128.16759999999999</v>
      </c>
      <c r="U46" s="21">
        <v>737.42</v>
      </c>
      <c r="V46" s="21">
        <v>1244.46</v>
      </c>
      <c r="W46" s="21"/>
      <c r="X46" s="16">
        <v>-1.2999999999999999E-4</v>
      </c>
      <c r="Y46" s="16">
        <f t="shared" si="0"/>
        <v>-1.0833978873026062E-5</v>
      </c>
    </row>
    <row r="47" spans="1:25" x14ac:dyDescent="0.35">
      <c r="A47" s="23">
        <v>40877</v>
      </c>
      <c r="B47" s="21">
        <v>1726.81</v>
      </c>
      <c r="C47" s="21">
        <v>2870.07</v>
      </c>
      <c r="D47" s="21">
        <v>924.62429999999995</v>
      </c>
      <c r="E47" s="21">
        <v>179.0513</v>
      </c>
      <c r="F47" s="21">
        <v>311.31</v>
      </c>
      <c r="G47" s="21">
        <v>331.74</v>
      </c>
      <c r="H47" s="21">
        <v>327.38</v>
      </c>
      <c r="I47" s="21">
        <v>374.41</v>
      </c>
      <c r="J47" s="21">
        <v>1110.4449999999999</v>
      </c>
      <c r="K47" s="21">
        <v>2319.44</v>
      </c>
      <c r="L47" s="21" t="e">
        <v>#N/A</v>
      </c>
      <c r="M47" s="21">
        <v>1822.55</v>
      </c>
      <c r="N47" s="21">
        <v>227.01</v>
      </c>
      <c r="O47" s="21">
        <v>304.81</v>
      </c>
      <c r="P47" s="21">
        <v>327.24499999999995</v>
      </c>
      <c r="Q47" s="21">
        <v>373.32166666666666</v>
      </c>
      <c r="R47" s="21" t="e">
        <v>#N/A</v>
      </c>
      <c r="S47" s="21" t="e">
        <v>#N/A</v>
      </c>
      <c r="T47" s="21">
        <v>128.67570000000001</v>
      </c>
      <c r="U47" s="21">
        <v>740.92</v>
      </c>
      <c r="V47" s="21">
        <v>1296.21</v>
      </c>
      <c r="W47" s="21"/>
      <c r="X47" s="16">
        <v>3.0000000000000001E-5</v>
      </c>
      <c r="Y47" s="16">
        <f t="shared" si="0"/>
        <v>2.4999656256241565E-6</v>
      </c>
    </row>
    <row r="48" spans="1:25" x14ac:dyDescent="0.35">
      <c r="A48" s="23">
        <v>40908</v>
      </c>
      <c r="B48" s="21">
        <v>1736.67</v>
      </c>
      <c r="C48" s="21">
        <v>2959.16</v>
      </c>
      <c r="D48" s="21">
        <v>942.20780000000002</v>
      </c>
      <c r="E48" s="21">
        <v>182.2235</v>
      </c>
      <c r="F48" s="21">
        <v>313.83</v>
      </c>
      <c r="G48" s="21">
        <v>336.33</v>
      </c>
      <c r="H48" s="21">
        <v>334.18</v>
      </c>
      <c r="I48" s="21">
        <v>382.74</v>
      </c>
      <c r="J48" s="21">
        <v>1140.046</v>
      </c>
      <c r="K48" s="21">
        <v>2378.2399999999998</v>
      </c>
      <c r="L48" s="21" t="e">
        <v>#N/A</v>
      </c>
      <c r="M48" s="21">
        <v>1835.33</v>
      </c>
      <c r="N48" s="21">
        <v>230</v>
      </c>
      <c r="O48" s="21">
        <v>305.20999999999998</v>
      </c>
      <c r="P48" s="21">
        <v>329.71</v>
      </c>
      <c r="Q48" s="21">
        <v>376.38500000000005</v>
      </c>
      <c r="R48" s="21" t="e">
        <v>#N/A</v>
      </c>
      <c r="S48" s="21" t="e">
        <v>#N/A</v>
      </c>
      <c r="T48" s="21">
        <v>130.36410000000001</v>
      </c>
      <c r="U48" s="21">
        <v>792.82</v>
      </c>
      <c r="V48" s="21">
        <v>1383.18</v>
      </c>
      <c r="W48" s="21"/>
      <c r="X48" s="16">
        <v>1.2999999999999999E-4</v>
      </c>
      <c r="Y48" s="16">
        <f t="shared" si="0"/>
        <v>1.0832687900919069E-5</v>
      </c>
    </row>
    <row r="49" spans="1:25" x14ac:dyDescent="0.35">
      <c r="A49" s="23">
        <v>40939</v>
      </c>
      <c r="B49" s="21">
        <v>1745.54</v>
      </c>
      <c r="C49" s="21">
        <v>2957.76</v>
      </c>
      <c r="D49" s="21">
        <v>963.99549999999999</v>
      </c>
      <c r="E49" s="21">
        <v>183.7697</v>
      </c>
      <c r="F49" s="21">
        <v>315.29000000000002</v>
      </c>
      <c r="G49" s="21">
        <v>341.09</v>
      </c>
      <c r="H49" s="21">
        <v>342.29</v>
      </c>
      <c r="I49" s="21">
        <v>390.98</v>
      </c>
      <c r="J49" s="21">
        <v>1173.6300000000001</v>
      </c>
      <c r="K49" s="21">
        <v>2479.9299999999998</v>
      </c>
      <c r="L49" s="21" t="e">
        <v>#N/A</v>
      </c>
      <c r="M49" s="21">
        <v>1842.81</v>
      </c>
      <c r="N49" s="21">
        <v>234.7</v>
      </c>
      <c r="O49" s="21">
        <v>308.73</v>
      </c>
      <c r="P49" s="21">
        <v>332.22666666666663</v>
      </c>
      <c r="Q49" s="21">
        <v>379.17666666666673</v>
      </c>
      <c r="R49" s="21" t="e">
        <v>#N/A</v>
      </c>
      <c r="S49" s="21" t="e">
        <v>#N/A</v>
      </c>
      <c r="T49" s="21">
        <v>132.99760000000001</v>
      </c>
      <c r="U49" s="21">
        <v>810.94</v>
      </c>
      <c r="V49" s="21">
        <v>1397.19</v>
      </c>
      <c r="W49" s="21"/>
      <c r="X49" s="16">
        <v>5.2999999999999998E-4</v>
      </c>
      <c r="Y49" s="16">
        <f t="shared" si="0"/>
        <v>4.4155941478773997E-5</v>
      </c>
    </row>
    <row r="50" spans="1:25" x14ac:dyDescent="0.35">
      <c r="A50" s="23">
        <v>40967</v>
      </c>
      <c r="B50" s="21">
        <v>1737.4</v>
      </c>
      <c r="C50" s="21">
        <v>2896.52</v>
      </c>
      <c r="D50" s="21">
        <v>964.95159999999998</v>
      </c>
      <c r="E50" s="21">
        <v>184.05609999999999</v>
      </c>
      <c r="F50" s="21">
        <v>314.33</v>
      </c>
      <c r="G50" s="21">
        <v>342.18</v>
      </c>
      <c r="H50" s="21">
        <v>344.64</v>
      </c>
      <c r="I50" s="21">
        <v>395.79</v>
      </c>
      <c r="J50" s="21">
        <v>1200.664</v>
      </c>
      <c r="K50" s="21">
        <v>2562.9</v>
      </c>
      <c r="L50" s="21" t="e">
        <v>#N/A</v>
      </c>
      <c r="M50" s="21">
        <v>1844.51</v>
      </c>
      <c r="N50" s="21">
        <v>237.42</v>
      </c>
      <c r="O50" s="21">
        <v>308.39999999999998</v>
      </c>
      <c r="P50" s="21">
        <v>335.11500000000001</v>
      </c>
      <c r="Q50" s="21">
        <v>382.875</v>
      </c>
      <c r="R50" s="21" t="e">
        <v>#N/A</v>
      </c>
      <c r="S50" s="21" t="e">
        <v>#N/A</v>
      </c>
      <c r="T50" s="21">
        <v>134.59460000000001</v>
      </c>
      <c r="U50" s="21">
        <v>830.3</v>
      </c>
      <c r="V50" s="21">
        <v>1414.36</v>
      </c>
      <c r="W50" s="21"/>
      <c r="X50" s="16">
        <v>7.9000000000000001E-4</v>
      </c>
      <c r="Y50" s="16">
        <f t="shared" si="0"/>
        <v>6.5809508204672795E-5</v>
      </c>
    </row>
    <row r="51" spans="1:25" x14ac:dyDescent="0.35">
      <c r="A51" s="23">
        <v>40999</v>
      </c>
      <c r="B51" s="21">
        <v>1728.36</v>
      </c>
      <c r="C51" s="21">
        <v>2787.61</v>
      </c>
      <c r="D51" s="21">
        <v>958.68060000000003</v>
      </c>
      <c r="E51" s="21">
        <v>183.68020000000001</v>
      </c>
      <c r="F51" s="21">
        <v>312.83999999999997</v>
      </c>
      <c r="G51" s="21">
        <v>340.28</v>
      </c>
      <c r="H51" s="21">
        <v>341.93</v>
      </c>
      <c r="I51" s="21">
        <v>392.39</v>
      </c>
      <c r="J51" s="21">
        <v>1198.8800000000001</v>
      </c>
      <c r="K51" s="21">
        <v>2562.65</v>
      </c>
      <c r="L51" s="21" t="e">
        <v>#N/A</v>
      </c>
      <c r="M51" s="21">
        <v>1845.71</v>
      </c>
      <c r="N51" s="21">
        <v>237.96</v>
      </c>
      <c r="O51" s="21">
        <v>307.74</v>
      </c>
      <c r="P51" s="21">
        <v>337.35166666666663</v>
      </c>
      <c r="Q51" s="21">
        <v>386.19499999999999</v>
      </c>
      <c r="R51" s="21" t="e">
        <v>#N/A</v>
      </c>
      <c r="S51" s="21" t="e">
        <v>#N/A</v>
      </c>
      <c r="T51" s="21">
        <v>134.9179</v>
      </c>
      <c r="U51" s="21">
        <v>816.88</v>
      </c>
      <c r="V51" s="21">
        <v>1451.24</v>
      </c>
      <c r="W51" s="21"/>
      <c r="X51" s="16">
        <v>6.9000000000000008E-4</v>
      </c>
      <c r="Y51" s="16">
        <f t="shared" si="0"/>
        <v>5.7481823637184348E-5</v>
      </c>
    </row>
    <row r="52" spans="1:25" x14ac:dyDescent="0.35">
      <c r="A52" s="23">
        <v>41029</v>
      </c>
      <c r="B52" s="21">
        <v>1745.23</v>
      </c>
      <c r="C52" s="21">
        <v>2908.37</v>
      </c>
      <c r="D52" s="21">
        <v>969.74400000000003</v>
      </c>
      <c r="E52" s="21">
        <v>184.45740000000001</v>
      </c>
      <c r="F52" s="21">
        <v>316.07</v>
      </c>
      <c r="G52" s="21">
        <v>344.02</v>
      </c>
      <c r="H52" s="21">
        <v>346.43</v>
      </c>
      <c r="I52" s="21">
        <v>398.21</v>
      </c>
      <c r="J52" s="21">
        <v>1211.0909999999999</v>
      </c>
      <c r="K52" s="21">
        <v>2598.27</v>
      </c>
      <c r="L52" s="21" t="e">
        <v>#N/A</v>
      </c>
      <c r="M52" s="21">
        <v>1857.68</v>
      </c>
      <c r="N52" s="21">
        <v>239.14</v>
      </c>
      <c r="O52" s="21">
        <v>309.89999999999998</v>
      </c>
      <c r="P52" s="21">
        <v>339.47499999999997</v>
      </c>
      <c r="Q52" s="21">
        <v>389.08666666666664</v>
      </c>
      <c r="R52" s="21" t="e">
        <v>#N/A</v>
      </c>
      <c r="S52" s="21" t="e">
        <v>#N/A</v>
      </c>
      <c r="T52" s="21">
        <v>135.67699999999999</v>
      </c>
      <c r="U52" s="21">
        <v>761.82</v>
      </c>
      <c r="V52" s="21">
        <v>1448.53</v>
      </c>
      <c r="W52" s="21"/>
      <c r="X52" s="16">
        <v>9.3999999999999997E-4</v>
      </c>
      <c r="Y52" s="16">
        <f t="shared" si="0"/>
        <v>7.8299604976184156E-5</v>
      </c>
    </row>
    <row r="53" spans="1:25" x14ac:dyDescent="0.35">
      <c r="A53" s="23">
        <v>41060</v>
      </c>
      <c r="B53" s="21">
        <v>1758.34</v>
      </c>
      <c r="C53" s="21">
        <v>3124.67</v>
      </c>
      <c r="D53" s="21">
        <v>977.78989999999999</v>
      </c>
      <c r="E53" s="21">
        <v>187.41679999999999</v>
      </c>
      <c r="F53" s="21">
        <v>319.23</v>
      </c>
      <c r="G53" s="21">
        <v>346.72</v>
      </c>
      <c r="H53" s="21">
        <v>348.98</v>
      </c>
      <c r="I53" s="21">
        <v>399.8</v>
      </c>
      <c r="J53" s="21">
        <v>1194.5930000000001</v>
      </c>
      <c r="K53" s="21">
        <v>2582.64</v>
      </c>
      <c r="L53" s="21" t="e">
        <v>#N/A</v>
      </c>
      <c r="M53" s="21">
        <v>1863.56</v>
      </c>
      <c r="N53" s="21">
        <v>238.33</v>
      </c>
      <c r="O53" s="21">
        <v>311.11</v>
      </c>
      <c r="P53" s="21">
        <v>343.07499999999999</v>
      </c>
      <c r="Q53" s="21">
        <v>393.31833333333338</v>
      </c>
      <c r="R53" s="21" t="e">
        <v>#N/A</v>
      </c>
      <c r="S53" s="21" t="e">
        <v>#N/A</v>
      </c>
      <c r="T53" s="21">
        <v>135.38489999999999</v>
      </c>
      <c r="U53" s="21">
        <v>798.49</v>
      </c>
      <c r="V53" s="21">
        <v>1496.13</v>
      </c>
      <c r="W53" s="21"/>
      <c r="X53" s="16">
        <v>6.8000000000000005E-4</v>
      </c>
      <c r="Y53" s="16">
        <f t="shared" si="0"/>
        <v>5.6649013224552291E-5</v>
      </c>
    </row>
    <row r="54" spans="1:25" x14ac:dyDescent="0.35">
      <c r="A54" s="23">
        <v>41090</v>
      </c>
      <c r="B54" s="21">
        <v>1755.37</v>
      </c>
      <c r="C54" s="21">
        <v>3082.13</v>
      </c>
      <c r="D54" s="21">
        <v>976.73699999999997</v>
      </c>
      <c r="E54" s="21">
        <v>186.83070000000001</v>
      </c>
      <c r="F54" s="21">
        <v>318.92</v>
      </c>
      <c r="G54" s="21">
        <v>347.02</v>
      </c>
      <c r="H54" s="21">
        <v>350.98</v>
      </c>
      <c r="I54" s="21">
        <v>401.63</v>
      </c>
      <c r="J54" s="21">
        <v>1219.7270000000001</v>
      </c>
      <c r="K54" s="21">
        <v>2639.9</v>
      </c>
      <c r="L54" s="21" t="e">
        <v>#N/A</v>
      </c>
      <c r="M54" s="21">
        <v>1865.72</v>
      </c>
      <c r="N54" s="21">
        <v>240.01</v>
      </c>
      <c r="O54" s="21">
        <v>311.83</v>
      </c>
      <c r="P54" s="21">
        <v>345.875</v>
      </c>
      <c r="Q54" s="21">
        <v>396.46666666666664</v>
      </c>
      <c r="R54" s="21" t="e">
        <v>#N/A</v>
      </c>
      <c r="S54" s="21" t="e">
        <v>#N/A</v>
      </c>
      <c r="T54" s="21">
        <v>136.30009999999999</v>
      </c>
      <c r="U54" s="21">
        <v>786.94</v>
      </c>
      <c r="V54" s="21">
        <v>1594.93</v>
      </c>
      <c r="W54" s="21"/>
      <c r="X54" s="16">
        <v>8.4000000000000003E-4</v>
      </c>
      <c r="Y54" s="16">
        <f t="shared" si="0"/>
        <v>6.997306445422069E-5</v>
      </c>
    </row>
    <row r="55" spans="1:25" x14ac:dyDescent="0.35">
      <c r="A55" s="23">
        <v>41121</v>
      </c>
      <c r="B55" s="21">
        <v>1766.15</v>
      </c>
      <c r="C55" s="21">
        <v>3183.85</v>
      </c>
      <c r="D55" s="21">
        <v>992.21900000000005</v>
      </c>
      <c r="E55" s="21">
        <v>189.42250000000001</v>
      </c>
      <c r="F55" s="21">
        <v>321.8</v>
      </c>
      <c r="G55" s="21">
        <v>353.15</v>
      </c>
      <c r="H55" s="21">
        <v>360.98</v>
      </c>
      <c r="I55" s="21">
        <v>414.02</v>
      </c>
      <c r="J55" s="21">
        <v>1242.396</v>
      </c>
      <c r="K55" s="21">
        <v>2705.72</v>
      </c>
      <c r="L55" s="21" t="e">
        <v>#N/A</v>
      </c>
      <c r="M55" s="21">
        <v>1880.72</v>
      </c>
      <c r="N55" s="21">
        <v>244</v>
      </c>
      <c r="O55" s="21">
        <v>314.20999999999998</v>
      </c>
      <c r="P55" s="21">
        <v>348.99</v>
      </c>
      <c r="Q55" s="21">
        <v>400.30666666666667</v>
      </c>
      <c r="R55" s="21" t="e">
        <v>#N/A</v>
      </c>
      <c r="S55" s="21" t="e">
        <v>#N/A</v>
      </c>
      <c r="T55" s="21">
        <v>138.56979999999999</v>
      </c>
      <c r="U55" s="21">
        <v>812.09</v>
      </c>
      <c r="V55" s="21">
        <v>1556.24</v>
      </c>
      <c r="W55" s="21"/>
      <c r="X55" s="16">
        <v>9.8999999999999999E-4</v>
      </c>
      <c r="Y55" s="16">
        <f t="shared" si="0"/>
        <v>8.2462589285237087E-5</v>
      </c>
    </row>
    <row r="56" spans="1:25" x14ac:dyDescent="0.35">
      <c r="A56" s="23">
        <v>41152</v>
      </c>
      <c r="B56" s="21">
        <v>1766.74</v>
      </c>
      <c r="C56" s="21">
        <v>3149.89</v>
      </c>
      <c r="D56" s="21">
        <v>993.35029999999995</v>
      </c>
      <c r="E56" s="21">
        <v>189.71789999999999</v>
      </c>
      <c r="F56" s="21">
        <v>321.82</v>
      </c>
      <c r="G56" s="21">
        <v>353.38</v>
      </c>
      <c r="H56" s="21">
        <v>361.81</v>
      </c>
      <c r="I56" s="21">
        <v>415.34</v>
      </c>
      <c r="J56" s="21">
        <v>1255.9590000000001</v>
      </c>
      <c r="K56" s="21">
        <v>2770.61</v>
      </c>
      <c r="L56" s="21" t="e">
        <v>#N/A</v>
      </c>
      <c r="M56" s="21">
        <v>1882.83</v>
      </c>
      <c r="N56" s="21">
        <v>246.06</v>
      </c>
      <c r="O56" s="21">
        <v>315.17</v>
      </c>
      <c r="P56" s="21">
        <v>351.85166666666669</v>
      </c>
      <c r="Q56" s="21">
        <v>403.565</v>
      </c>
      <c r="R56" s="21" t="e">
        <v>#N/A</v>
      </c>
      <c r="S56" s="21" t="e">
        <v>#N/A</v>
      </c>
      <c r="T56" s="21">
        <v>139.77959999999999</v>
      </c>
      <c r="U56" s="21">
        <v>837.45</v>
      </c>
      <c r="V56" s="21">
        <v>1544.65</v>
      </c>
      <c r="W56" s="21"/>
      <c r="X56" s="16">
        <v>7.3999999999999999E-4</v>
      </c>
      <c r="Y56" s="16">
        <f t="shared" si="0"/>
        <v>6.164576127187793E-5</v>
      </c>
    </row>
    <row r="57" spans="1:25" x14ac:dyDescent="0.35">
      <c r="A57" s="23">
        <v>41182</v>
      </c>
      <c r="B57" s="21">
        <v>1766.17</v>
      </c>
      <c r="C57" s="21">
        <v>3088.22</v>
      </c>
      <c r="D57" s="21">
        <v>999.3519</v>
      </c>
      <c r="E57" s="21">
        <v>190.50450000000001</v>
      </c>
      <c r="F57" s="21">
        <v>321.64999999999998</v>
      </c>
      <c r="G57" s="21">
        <v>353.35</v>
      </c>
      <c r="H57" s="21">
        <v>364.07</v>
      </c>
      <c r="I57" s="21">
        <v>419.62</v>
      </c>
      <c r="J57" s="21">
        <v>1273.3652999999999</v>
      </c>
      <c r="K57" s="21">
        <v>2811.37</v>
      </c>
      <c r="L57" s="21" t="e">
        <v>#N/A</v>
      </c>
      <c r="M57" s="21">
        <v>1886.74</v>
      </c>
      <c r="N57" s="21">
        <v>249.19</v>
      </c>
      <c r="O57" s="21">
        <v>315.68</v>
      </c>
      <c r="P57" s="21">
        <v>355.54166666666669</v>
      </c>
      <c r="Q57" s="21">
        <v>408.1033333333333</v>
      </c>
      <c r="R57" s="21" t="e">
        <v>#N/A</v>
      </c>
      <c r="S57" s="21" t="e">
        <v>#N/A</v>
      </c>
      <c r="T57" s="21">
        <v>141.6284</v>
      </c>
      <c r="U57" s="21">
        <v>818.73</v>
      </c>
      <c r="V57" s="21">
        <v>1544.06</v>
      </c>
      <c r="W57" s="21"/>
      <c r="X57" s="16">
        <v>9.3999999999999997E-4</v>
      </c>
      <c r="Y57" s="16">
        <f t="shared" si="0"/>
        <v>7.8299604976184156E-5</v>
      </c>
    </row>
    <row r="58" spans="1:25" x14ac:dyDescent="0.35">
      <c r="A58" s="23">
        <v>41213</v>
      </c>
      <c r="B58" s="21">
        <v>1763.03</v>
      </c>
      <c r="C58" s="21">
        <v>3084.64</v>
      </c>
      <c r="D58" s="21">
        <v>1002.1746000000001</v>
      </c>
      <c r="E58" s="21">
        <v>190.8366</v>
      </c>
      <c r="F58" s="21">
        <v>321.19</v>
      </c>
      <c r="G58" s="21">
        <v>354.56</v>
      </c>
      <c r="H58" s="21">
        <v>367.98</v>
      </c>
      <c r="I58" s="21">
        <v>426.25</v>
      </c>
      <c r="J58" s="21">
        <v>1283.5069000000001</v>
      </c>
      <c r="K58" s="21">
        <v>2868.54</v>
      </c>
      <c r="L58" s="21" t="e">
        <v>#N/A</v>
      </c>
      <c r="M58" s="21">
        <v>1883.58</v>
      </c>
      <c r="N58" s="21">
        <v>250.56</v>
      </c>
      <c r="O58" s="21">
        <v>315.64999999999998</v>
      </c>
      <c r="P58" s="21">
        <v>359.13333333333338</v>
      </c>
      <c r="Q58" s="21">
        <v>412.77666666666664</v>
      </c>
      <c r="R58" s="21" t="e">
        <v>#N/A</v>
      </c>
      <c r="S58" s="21" t="e">
        <v>#N/A</v>
      </c>
      <c r="T58" s="21">
        <v>142.44139999999999</v>
      </c>
      <c r="U58" s="21">
        <v>821.92</v>
      </c>
      <c r="V58" s="21">
        <v>1548.43</v>
      </c>
      <c r="W58" s="21"/>
      <c r="X58" s="16">
        <v>1.09E-3</v>
      </c>
      <c r="Y58" s="16">
        <f t="shared" si="0"/>
        <v>9.0787986090079542E-5</v>
      </c>
    </row>
    <row r="59" spans="1:25" x14ac:dyDescent="0.35">
      <c r="A59" s="23">
        <v>41243</v>
      </c>
      <c r="B59" s="21">
        <v>1769.95</v>
      </c>
      <c r="C59" s="21">
        <v>3125.79</v>
      </c>
      <c r="D59" s="21">
        <v>1018.6753</v>
      </c>
      <c r="E59" s="21">
        <v>192.1576</v>
      </c>
      <c r="F59" s="21">
        <v>321.88</v>
      </c>
      <c r="G59" s="21">
        <v>355.42</v>
      </c>
      <c r="H59" s="21">
        <v>368.05</v>
      </c>
      <c r="I59" s="21">
        <v>425.79</v>
      </c>
      <c r="J59" s="21">
        <v>1293.4269999999999</v>
      </c>
      <c r="K59" s="21">
        <v>2902.25</v>
      </c>
      <c r="L59" s="21" t="e">
        <v>#N/A</v>
      </c>
      <c r="M59" s="21">
        <v>1880.34</v>
      </c>
      <c r="N59" s="21">
        <v>251.37</v>
      </c>
      <c r="O59" s="21">
        <v>316.63</v>
      </c>
      <c r="P59" s="21">
        <v>362.31166666666667</v>
      </c>
      <c r="Q59" s="21">
        <v>417.10833333333335</v>
      </c>
      <c r="R59" s="21" t="e">
        <v>#N/A</v>
      </c>
      <c r="S59" s="21" t="e">
        <v>#N/A</v>
      </c>
      <c r="T59" s="21">
        <v>142.9153</v>
      </c>
      <c r="U59" s="21">
        <v>849.35</v>
      </c>
      <c r="V59" s="21">
        <v>1580</v>
      </c>
      <c r="W59" s="21"/>
      <c r="X59" s="16">
        <v>7.9000000000000001E-4</v>
      </c>
      <c r="Y59" s="16">
        <f t="shared" si="0"/>
        <v>6.5809508204672795E-5</v>
      </c>
    </row>
    <row r="60" spans="1:25" x14ac:dyDescent="0.35">
      <c r="A60" s="23">
        <v>41274</v>
      </c>
      <c r="B60" s="21">
        <v>1766.44</v>
      </c>
      <c r="C60" s="21">
        <v>3064.42</v>
      </c>
      <c r="D60" s="21">
        <v>1006.0898</v>
      </c>
      <c r="E60" s="21">
        <v>192.51310000000001</v>
      </c>
      <c r="F60" s="21">
        <v>321.31</v>
      </c>
      <c r="G60" s="21">
        <v>354.53</v>
      </c>
      <c r="H60" s="21">
        <v>367.26</v>
      </c>
      <c r="I60" s="21">
        <v>426.67</v>
      </c>
      <c r="J60" s="21">
        <v>1313.192</v>
      </c>
      <c r="K60" s="21">
        <v>2966.51</v>
      </c>
      <c r="L60" s="21" t="e">
        <v>#N/A</v>
      </c>
      <c r="M60" s="21">
        <v>1882.91</v>
      </c>
      <c r="N60" s="21">
        <v>252.23</v>
      </c>
      <c r="O60" s="21">
        <v>316.37</v>
      </c>
      <c r="P60" s="21">
        <v>365.02499999999992</v>
      </c>
      <c r="Q60" s="21">
        <v>421.28166666666669</v>
      </c>
      <c r="R60" s="21" t="e">
        <v>#N/A</v>
      </c>
      <c r="S60" s="21" t="e">
        <v>#N/A</v>
      </c>
      <c r="T60" s="21">
        <v>143.4521</v>
      </c>
      <c r="U60" s="21">
        <v>902.09</v>
      </c>
      <c r="V60" s="21">
        <v>1580.42</v>
      </c>
      <c r="W60" s="21"/>
      <c r="X60" s="16">
        <v>4.2999999999999999E-4</v>
      </c>
      <c r="Y60" s="16">
        <f t="shared" si="0"/>
        <v>3.5826273120154184E-5</v>
      </c>
    </row>
    <row r="61" spans="1:25" x14ac:dyDescent="0.35">
      <c r="A61" s="23">
        <v>41305</v>
      </c>
      <c r="B61" s="21">
        <v>1759.28</v>
      </c>
      <c r="C61" s="21">
        <v>2957.12</v>
      </c>
      <c r="D61" s="21">
        <v>1010.2813</v>
      </c>
      <c r="E61" s="21">
        <v>191.29650000000001</v>
      </c>
      <c r="F61" s="21">
        <v>319.24</v>
      </c>
      <c r="G61" s="21">
        <v>352.3</v>
      </c>
      <c r="H61" s="21">
        <v>364</v>
      </c>
      <c r="I61" s="21">
        <v>422.74</v>
      </c>
      <c r="J61" s="21">
        <v>1330.8440000000001</v>
      </c>
      <c r="K61" s="21">
        <v>3004.83</v>
      </c>
      <c r="L61" s="21" t="e">
        <v>#N/A</v>
      </c>
      <c r="M61" s="21">
        <v>1873.49</v>
      </c>
      <c r="N61" s="21">
        <v>251.84</v>
      </c>
      <c r="O61" s="21">
        <v>315.58</v>
      </c>
      <c r="P61" s="21">
        <v>365.52833333333336</v>
      </c>
      <c r="Q61" s="21">
        <v>422.73499999999996</v>
      </c>
      <c r="R61" s="21" t="e">
        <v>#N/A</v>
      </c>
      <c r="S61" s="21" t="e">
        <v>#N/A</v>
      </c>
      <c r="T61" s="21">
        <v>143.3562</v>
      </c>
      <c r="U61" s="21">
        <v>911.11</v>
      </c>
      <c r="V61" s="21">
        <v>1649.07</v>
      </c>
      <c r="W61" s="21"/>
      <c r="X61" s="16">
        <v>7.3999999999999999E-4</v>
      </c>
      <c r="Y61" s="16">
        <f t="shared" si="0"/>
        <v>6.164576127187793E-5</v>
      </c>
    </row>
    <row r="62" spans="1:25" x14ac:dyDescent="0.35">
      <c r="A62" s="23">
        <v>41333</v>
      </c>
      <c r="B62" s="21">
        <v>1766.75</v>
      </c>
      <c r="C62" s="21">
        <v>2994.35</v>
      </c>
      <c r="D62" s="21">
        <v>1013.3402</v>
      </c>
      <c r="E62" s="21">
        <v>192.24019999999999</v>
      </c>
      <c r="F62" s="21">
        <v>320.63</v>
      </c>
      <c r="G62" s="21">
        <v>354.6</v>
      </c>
      <c r="H62" s="21">
        <v>366.75</v>
      </c>
      <c r="I62" s="21">
        <v>425.42</v>
      </c>
      <c r="J62" s="21">
        <v>1337.9290000000001</v>
      </c>
      <c r="K62" s="21">
        <v>3009.5</v>
      </c>
      <c r="L62" s="21" t="e">
        <v>#N/A</v>
      </c>
      <c r="M62" s="21">
        <v>1879.84</v>
      </c>
      <c r="N62" s="21">
        <v>251.84</v>
      </c>
      <c r="O62" s="21">
        <v>316.54000000000002</v>
      </c>
      <c r="P62" s="21">
        <v>366.35166666666663</v>
      </c>
      <c r="Q62" s="21">
        <v>424.41500000000002</v>
      </c>
      <c r="R62" s="21" t="e">
        <v>#N/A</v>
      </c>
      <c r="S62" s="21" t="e">
        <v>#N/A</v>
      </c>
      <c r="T62" s="21">
        <v>143.3383</v>
      </c>
      <c r="U62" s="21">
        <v>951.54</v>
      </c>
      <c r="V62" s="21">
        <v>1710.5</v>
      </c>
      <c r="W62" s="21"/>
      <c r="X62" s="16">
        <v>1.0399999999999999E-3</v>
      </c>
      <c r="Y62" s="16">
        <f t="shared" si="0"/>
        <v>8.6625382983651633E-5</v>
      </c>
    </row>
    <row r="63" spans="1:25" x14ac:dyDescent="0.35">
      <c r="A63" s="23">
        <v>41364</v>
      </c>
      <c r="B63" s="21">
        <v>1768.96</v>
      </c>
      <c r="C63" s="21">
        <v>2991.47</v>
      </c>
      <c r="D63" s="21">
        <v>1008.9659</v>
      </c>
      <c r="E63" s="21">
        <v>193.58090000000001</v>
      </c>
      <c r="F63" s="21">
        <v>320.95999999999998</v>
      </c>
      <c r="G63" s="21">
        <v>354.81</v>
      </c>
      <c r="H63" s="21">
        <v>366.31</v>
      </c>
      <c r="I63" s="21">
        <v>426.02</v>
      </c>
      <c r="J63" s="21">
        <v>1351.3219999999999</v>
      </c>
      <c r="K63" s="21">
        <v>3048.08</v>
      </c>
      <c r="L63" s="21" t="e">
        <v>#N/A</v>
      </c>
      <c r="M63" s="21">
        <v>1882.03</v>
      </c>
      <c r="N63" s="21">
        <v>252.57</v>
      </c>
      <c r="O63" s="21">
        <v>316.52</v>
      </c>
      <c r="P63" s="21">
        <v>366.72499999999997</v>
      </c>
      <c r="Q63" s="21">
        <v>425.48166666666663</v>
      </c>
      <c r="R63" s="21" t="e">
        <v>#N/A</v>
      </c>
      <c r="S63" s="21" t="e">
        <v>#N/A</v>
      </c>
      <c r="T63" s="21">
        <v>143.7921</v>
      </c>
      <c r="U63" s="21">
        <v>947.46</v>
      </c>
      <c r="V63" s="21">
        <v>1781.97</v>
      </c>
      <c r="W63" s="21"/>
      <c r="X63" s="16">
        <v>7.3999999999999999E-4</v>
      </c>
      <c r="Y63" s="16">
        <f t="shared" si="0"/>
        <v>6.164576127187793E-5</v>
      </c>
    </row>
    <row r="64" spans="1:25" x14ac:dyDescent="0.35">
      <c r="A64" s="23">
        <v>41394</v>
      </c>
      <c r="B64" s="21">
        <v>1777.01</v>
      </c>
      <c r="C64" s="21">
        <v>3111.06</v>
      </c>
      <c r="D64" s="21">
        <v>1020.0257</v>
      </c>
      <c r="E64" s="21">
        <v>196.53800000000001</v>
      </c>
      <c r="F64" s="21">
        <v>323.26</v>
      </c>
      <c r="G64" s="21">
        <v>358.88</v>
      </c>
      <c r="H64" s="21">
        <v>372.87</v>
      </c>
      <c r="I64" s="21">
        <v>435.15</v>
      </c>
      <c r="J64" s="21">
        <v>1374.453</v>
      </c>
      <c r="K64" s="21">
        <v>3146.77</v>
      </c>
      <c r="L64" s="21" t="e">
        <v>#N/A</v>
      </c>
      <c r="M64" s="21">
        <v>1892.04</v>
      </c>
      <c r="N64" s="21">
        <v>254.8</v>
      </c>
      <c r="O64" s="21">
        <v>317.79000000000002</v>
      </c>
      <c r="P64" s="21">
        <v>367.53999999999996</v>
      </c>
      <c r="Q64" s="21">
        <v>426.96500000000009</v>
      </c>
      <c r="R64" s="21" t="e">
        <v>#N/A</v>
      </c>
      <c r="S64" s="21" t="e">
        <v>#N/A</v>
      </c>
      <c r="T64" s="21">
        <v>145.1891</v>
      </c>
      <c r="U64" s="21">
        <v>984.14</v>
      </c>
      <c r="V64" s="21">
        <v>1666.95</v>
      </c>
      <c r="W64" s="21"/>
      <c r="X64" s="16">
        <v>4.8000000000000001E-4</v>
      </c>
      <c r="Y64" s="16">
        <f t="shared" si="0"/>
        <v>3.9991202697819972E-5</v>
      </c>
    </row>
    <row r="65" spans="1:25" x14ac:dyDescent="0.35">
      <c r="A65" s="23">
        <v>41425</v>
      </c>
      <c r="B65" s="21">
        <v>1758.26</v>
      </c>
      <c r="C65" s="21">
        <v>2917.01</v>
      </c>
      <c r="D65" s="21">
        <v>1007.5676</v>
      </c>
      <c r="E65" s="21">
        <v>193.4468</v>
      </c>
      <c r="F65" s="21">
        <v>318.17</v>
      </c>
      <c r="G65" s="21">
        <v>352.23</v>
      </c>
      <c r="H65" s="21">
        <v>364.08</v>
      </c>
      <c r="I65" s="21">
        <v>424.02</v>
      </c>
      <c r="J65" s="21">
        <v>1366.47</v>
      </c>
      <c r="K65" s="21">
        <v>3128.93</v>
      </c>
      <c r="L65" s="21" t="e">
        <v>#N/A</v>
      </c>
      <c r="M65" s="21">
        <v>1863.03</v>
      </c>
      <c r="N65" s="21">
        <v>252.59</v>
      </c>
      <c r="O65" s="21">
        <v>315.77999999999997</v>
      </c>
      <c r="P65" s="21">
        <v>366.87833333333333</v>
      </c>
      <c r="Q65" s="21">
        <v>426.67</v>
      </c>
      <c r="R65" s="21" t="e">
        <v>#N/A</v>
      </c>
      <c r="S65" s="21" t="e">
        <v>#N/A</v>
      </c>
      <c r="T65" s="21">
        <v>143.80719999999999</v>
      </c>
      <c r="U65" s="21">
        <v>977.48</v>
      </c>
      <c r="V65" s="21">
        <v>1610.03</v>
      </c>
      <c r="W65" s="21"/>
      <c r="X65" s="16">
        <v>2.8000000000000003E-4</v>
      </c>
      <c r="Y65" s="16">
        <f t="shared" si="0"/>
        <v>2.3330339424365576E-5</v>
      </c>
    </row>
    <row r="66" spans="1:25" x14ac:dyDescent="0.35">
      <c r="A66" s="23">
        <v>41455</v>
      </c>
      <c r="B66" s="21">
        <v>1743.85</v>
      </c>
      <c r="C66" s="21">
        <v>2824.49</v>
      </c>
      <c r="D66" s="21">
        <v>979.0444</v>
      </c>
      <c r="E66" s="21">
        <v>190.5472</v>
      </c>
      <c r="F66" s="21">
        <v>314.83</v>
      </c>
      <c r="G66" s="21">
        <v>345</v>
      </c>
      <c r="H66" s="21">
        <v>354.32</v>
      </c>
      <c r="I66" s="21">
        <v>409.55</v>
      </c>
      <c r="J66" s="21">
        <v>1332.002</v>
      </c>
      <c r="K66" s="21">
        <v>2992.99</v>
      </c>
      <c r="L66" s="21" t="e">
        <v>#N/A</v>
      </c>
      <c r="M66" s="21">
        <v>1845.11</v>
      </c>
      <c r="N66" s="21">
        <v>248.93</v>
      </c>
      <c r="O66" s="21">
        <v>313.98</v>
      </c>
      <c r="P66" s="21">
        <v>364.72166666666664</v>
      </c>
      <c r="Q66" s="21">
        <v>423.81666666666666</v>
      </c>
      <c r="R66" s="21" t="e">
        <v>#N/A</v>
      </c>
      <c r="S66" s="21" t="e">
        <v>#N/A</v>
      </c>
      <c r="T66" s="21">
        <v>141.41419999999999</v>
      </c>
      <c r="U66" s="21">
        <v>1045.26</v>
      </c>
      <c r="V66" s="21">
        <v>1592.58</v>
      </c>
      <c r="W66" s="21"/>
      <c r="X66" s="16">
        <v>3.3E-4</v>
      </c>
      <c r="Y66" s="16">
        <f t="shared" si="0"/>
        <v>2.7495841501634644E-5</v>
      </c>
    </row>
    <row r="67" spans="1:25" x14ac:dyDescent="0.35">
      <c r="A67" s="23">
        <v>41486</v>
      </c>
      <c r="B67" s="21">
        <v>1745.97</v>
      </c>
      <c r="C67" s="21">
        <v>2772.08</v>
      </c>
      <c r="D67" s="21">
        <v>970.47649999999999</v>
      </c>
      <c r="E67" s="21">
        <v>191.1302</v>
      </c>
      <c r="F67" s="21">
        <v>314.58999999999997</v>
      </c>
      <c r="G67" s="21">
        <v>346.18</v>
      </c>
      <c r="H67" s="21">
        <v>357.14</v>
      </c>
      <c r="I67" s="21">
        <v>412.85</v>
      </c>
      <c r="J67" s="21">
        <v>1358.33</v>
      </c>
      <c r="K67" s="21">
        <v>3005.26</v>
      </c>
      <c r="L67" s="21" t="e">
        <v>#N/A</v>
      </c>
      <c r="M67" s="21">
        <v>1843.45</v>
      </c>
      <c r="N67" s="21">
        <v>250.21</v>
      </c>
      <c r="O67" s="21">
        <v>313.39999999999998</v>
      </c>
      <c r="P67" s="21">
        <v>363.57833333333332</v>
      </c>
      <c r="Q67" s="21">
        <v>422.16833333333335</v>
      </c>
      <c r="R67" s="21" t="e">
        <v>#N/A</v>
      </c>
      <c r="S67" s="21" t="e">
        <v>#N/A</v>
      </c>
      <c r="T67" s="21">
        <v>142.1927</v>
      </c>
      <c r="U67" s="21">
        <v>1010.9</v>
      </c>
      <c r="V67" s="21">
        <v>1530.45</v>
      </c>
      <c r="W67" s="21"/>
      <c r="X67" s="16">
        <v>3.7999999999999997E-4</v>
      </c>
      <c r="Y67" s="16">
        <f t="shared" ref="Y67:Y130" si="1">(1+X67)^(1/12)-1</f>
        <v>3.1661152727568975E-5</v>
      </c>
    </row>
    <row r="68" spans="1:25" x14ac:dyDescent="0.35">
      <c r="A68" s="23">
        <v>41517</v>
      </c>
      <c r="B68" s="21">
        <v>1738.07</v>
      </c>
      <c r="C68" s="21">
        <v>2751.33</v>
      </c>
      <c r="D68" s="21">
        <v>956.63390000000004</v>
      </c>
      <c r="E68" s="21">
        <v>189.99529999999999</v>
      </c>
      <c r="F68" s="21">
        <v>313.33</v>
      </c>
      <c r="G68" s="21">
        <v>343.92</v>
      </c>
      <c r="H68" s="21">
        <v>354.55</v>
      </c>
      <c r="I68" s="21">
        <v>408.81</v>
      </c>
      <c r="J68" s="21">
        <v>1350.95</v>
      </c>
      <c r="K68" s="21">
        <v>2951.66</v>
      </c>
      <c r="L68" s="21">
        <v>99.379300000000001</v>
      </c>
      <c r="M68" s="21">
        <v>1838.18</v>
      </c>
      <c r="N68" s="21">
        <v>249.19</v>
      </c>
      <c r="O68" s="21">
        <v>312.75</v>
      </c>
      <c r="P68" s="21">
        <v>361.54500000000002</v>
      </c>
      <c r="Q68" s="21">
        <v>419.40000000000003</v>
      </c>
      <c r="R68" s="21" t="e">
        <v>#N/A</v>
      </c>
      <c r="S68" s="21" t="e">
        <v>#N/A</v>
      </c>
      <c r="T68" s="21">
        <v>141.53620000000001</v>
      </c>
      <c r="U68" s="21">
        <v>1073.79</v>
      </c>
      <c r="V68" s="21">
        <v>1571.49</v>
      </c>
      <c r="W68" s="21"/>
      <c r="X68" s="16">
        <v>2.3000000000000001E-4</v>
      </c>
      <c r="Y68" s="16">
        <f t="shared" si="1"/>
        <v>1.916464647733207E-5</v>
      </c>
    </row>
    <row r="69" spans="1:25" x14ac:dyDescent="0.35">
      <c r="A69" s="23">
        <v>41547</v>
      </c>
      <c r="B69" s="21">
        <v>1750.94</v>
      </c>
      <c r="C69" s="21">
        <v>2761.52</v>
      </c>
      <c r="D69" s="21">
        <v>977.22029999999995</v>
      </c>
      <c r="E69" s="21">
        <v>191.44909999999999</v>
      </c>
      <c r="F69" s="21">
        <v>316.42</v>
      </c>
      <c r="G69" s="21">
        <v>346.6</v>
      </c>
      <c r="H69" s="21">
        <v>357.24</v>
      </c>
      <c r="I69" s="21">
        <v>412.75</v>
      </c>
      <c r="J69" s="21">
        <v>1364.492</v>
      </c>
      <c r="K69" s="21">
        <v>2975.51</v>
      </c>
      <c r="L69" s="21">
        <v>100.3338</v>
      </c>
      <c r="M69" s="21">
        <v>1864.06</v>
      </c>
      <c r="N69" s="21">
        <v>251.47</v>
      </c>
      <c r="O69" s="21">
        <v>314.5</v>
      </c>
      <c r="P69" s="21">
        <v>360.0333333333333</v>
      </c>
      <c r="Q69" s="21">
        <v>417.18833333333333</v>
      </c>
      <c r="R69" s="21" t="e">
        <v>#N/A</v>
      </c>
      <c r="S69" s="21" t="e">
        <v>#N/A</v>
      </c>
      <c r="T69" s="21">
        <v>142.91820000000001</v>
      </c>
      <c r="U69" s="21">
        <v>1100.1500000000001</v>
      </c>
      <c r="V69" s="21">
        <v>1606.34</v>
      </c>
      <c r="W69" s="21"/>
      <c r="X69" s="16">
        <v>8.0000000000000007E-5</v>
      </c>
      <c r="Y69" s="16">
        <f t="shared" si="1"/>
        <v>6.6664222346801694E-6</v>
      </c>
    </row>
    <row r="70" spans="1:25" x14ac:dyDescent="0.35">
      <c r="A70" s="23">
        <v>41578</v>
      </c>
      <c r="B70" s="21">
        <v>1757.55</v>
      </c>
      <c r="C70" s="21">
        <v>2798.28</v>
      </c>
      <c r="D70" s="21">
        <v>984.9366</v>
      </c>
      <c r="E70" s="21">
        <v>192.92769999999999</v>
      </c>
      <c r="F70" s="21">
        <v>318.20999999999998</v>
      </c>
      <c r="G70" s="21">
        <v>349.57</v>
      </c>
      <c r="H70" s="21">
        <v>362.1</v>
      </c>
      <c r="I70" s="21">
        <v>420.18</v>
      </c>
      <c r="J70" s="21">
        <v>1397.8824999999999</v>
      </c>
      <c r="K70" s="21">
        <v>3083.05</v>
      </c>
      <c r="L70" s="21">
        <v>101.5613</v>
      </c>
      <c r="M70" s="21">
        <v>1876.76</v>
      </c>
      <c r="N70" s="21">
        <v>253.27</v>
      </c>
      <c r="O70" s="21">
        <v>315.52</v>
      </c>
      <c r="P70" s="21">
        <v>358.23833333333329</v>
      </c>
      <c r="Q70" s="21">
        <v>414.69333333333333</v>
      </c>
      <c r="R70" s="21" t="e">
        <v>#N/A</v>
      </c>
      <c r="S70" s="21" t="e">
        <v>#N/A</v>
      </c>
      <c r="T70" s="21">
        <v>144.0635</v>
      </c>
      <c r="U70" s="21">
        <v>1142.8900000000001</v>
      </c>
      <c r="V70" s="21">
        <v>1545.41</v>
      </c>
      <c r="W70" s="21"/>
      <c r="X70" s="16">
        <v>3.7999999999999997E-4</v>
      </c>
      <c r="Y70" s="16">
        <f t="shared" si="1"/>
        <v>3.1661152727568975E-5</v>
      </c>
    </row>
    <row r="71" spans="1:25" x14ac:dyDescent="0.35">
      <c r="A71" s="23">
        <v>41608</v>
      </c>
      <c r="B71" s="21">
        <v>1756.5</v>
      </c>
      <c r="C71" s="21">
        <v>2729.28</v>
      </c>
      <c r="D71" s="21">
        <v>982.90570000000002</v>
      </c>
      <c r="E71" s="21">
        <v>192.4111</v>
      </c>
      <c r="F71" s="21">
        <v>316.89</v>
      </c>
      <c r="G71" s="21">
        <v>349.43</v>
      </c>
      <c r="H71" s="21">
        <v>361.46</v>
      </c>
      <c r="I71" s="21">
        <v>418.33</v>
      </c>
      <c r="J71" s="21">
        <v>1405.2429999999999</v>
      </c>
      <c r="K71" s="21">
        <v>3087.18</v>
      </c>
      <c r="L71" s="21">
        <v>101.43600000000001</v>
      </c>
      <c r="M71" s="21">
        <v>1865.08</v>
      </c>
      <c r="N71" s="21">
        <v>253.54</v>
      </c>
      <c r="O71" s="21">
        <v>316.2</v>
      </c>
      <c r="P71" s="21">
        <v>357.80166666666668</v>
      </c>
      <c r="Q71" s="21">
        <v>413.74499999999995</v>
      </c>
      <c r="R71" s="21" t="e">
        <v>#N/A</v>
      </c>
      <c r="S71" s="21" t="e">
        <v>#N/A</v>
      </c>
      <c r="T71" s="21">
        <v>144.19569999999999</v>
      </c>
      <c r="U71" s="21">
        <v>1163.6400000000001</v>
      </c>
      <c r="V71" s="21">
        <v>1522.65</v>
      </c>
      <c r="W71" s="21"/>
      <c r="X71" s="16">
        <v>5.8E-4</v>
      </c>
      <c r="Y71" s="16">
        <f t="shared" si="1"/>
        <v>4.8320489481445961E-5</v>
      </c>
    </row>
    <row r="72" spans="1:25" x14ac:dyDescent="0.35">
      <c r="A72" s="23">
        <v>41639</v>
      </c>
      <c r="B72" s="21">
        <v>1742.78</v>
      </c>
      <c r="C72" s="21">
        <v>2676.43</v>
      </c>
      <c r="D72" s="21">
        <v>980.39610000000005</v>
      </c>
      <c r="E72" s="21">
        <v>191.56780000000001</v>
      </c>
      <c r="F72" s="21">
        <v>314.68</v>
      </c>
      <c r="G72" s="21">
        <v>347.37</v>
      </c>
      <c r="H72" s="21">
        <v>360.44</v>
      </c>
      <c r="I72" s="21">
        <v>418.3</v>
      </c>
      <c r="J72" s="21">
        <v>1412.6110000000001</v>
      </c>
      <c r="K72" s="21">
        <v>3112.84</v>
      </c>
      <c r="L72" s="21">
        <v>101.02930000000001</v>
      </c>
      <c r="M72" s="21">
        <v>1856.28</v>
      </c>
      <c r="N72" s="21">
        <v>252.81</v>
      </c>
      <c r="O72" s="21">
        <v>315.5</v>
      </c>
      <c r="P72" s="21">
        <v>358.82166666666672</v>
      </c>
      <c r="Q72" s="21">
        <v>415.20333333333338</v>
      </c>
      <c r="R72" s="21" t="e">
        <v>#N/A</v>
      </c>
      <c r="S72" s="21" t="e">
        <v>#N/A</v>
      </c>
      <c r="T72" s="21">
        <v>143.75059999999999</v>
      </c>
      <c r="U72" s="21">
        <v>1130.8800000000001</v>
      </c>
      <c r="V72" s="21">
        <v>1549.65</v>
      </c>
      <c r="W72" s="21"/>
      <c r="X72" s="16">
        <v>6.8000000000000005E-4</v>
      </c>
      <c r="Y72" s="16">
        <f t="shared" si="1"/>
        <v>5.6649013224552291E-5</v>
      </c>
    </row>
    <row r="73" spans="1:25" x14ac:dyDescent="0.35">
      <c r="A73" s="23">
        <v>41670</v>
      </c>
      <c r="B73" s="21">
        <v>1757.63</v>
      </c>
      <c r="C73" s="21">
        <v>2824.42</v>
      </c>
      <c r="D73" s="21">
        <v>999.49919999999997</v>
      </c>
      <c r="E73" s="21">
        <v>193.95580000000001</v>
      </c>
      <c r="F73" s="21">
        <v>319.08999999999997</v>
      </c>
      <c r="G73" s="21">
        <v>352.63</v>
      </c>
      <c r="H73" s="21">
        <v>366.83</v>
      </c>
      <c r="I73" s="21">
        <v>425.26</v>
      </c>
      <c r="J73" s="21">
        <v>1421.905</v>
      </c>
      <c r="K73" s="21">
        <v>3159.45</v>
      </c>
      <c r="L73" s="21">
        <v>102.1837</v>
      </c>
      <c r="M73" s="21">
        <v>1885.3</v>
      </c>
      <c r="N73" s="21">
        <v>254.88</v>
      </c>
      <c r="O73" s="21">
        <v>316.89999999999998</v>
      </c>
      <c r="P73" s="21">
        <v>360.43666666666667</v>
      </c>
      <c r="Q73" s="21">
        <v>417.2716666666667</v>
      </c>
      <c r="R73" s="21" t="e">
        <v>#N/A</v>
      </c>
      <c r="S73" s="21" t="e">
        <v>#N/A</v>
      </c>
      <c r="T73" s="21">
        <v>145.01849999999999</v>
      </c>
      <c r="U73" s="21">
        <v>1183.03</v>
      </c>
      <c r="V73" s="21">
        <v>1571.39</v>
      </c>
      <c r="W73" s="21"/>
      <c r="X73" s="16">
        <v>2.3000000000000001E-4</v>
      </c>
      <c r="Y73" s="16">
        <f t="shared" si="1"/>
        <v>1.916464647733207E-5</v>
      </c>
    </row>
    <row r="74" spans="1:25" x14ac:dyDescent="0.35">
      <c r="A74" s="23">
        <v>41698</v>
      </c>
      <c r="B74" s="21">
        <v>1761.18</v>
      </c>
      <c r="C74" s="21">
        <v>2847.77</v>
      </c>
      <c r="D74" s="21">
        <v>1011.2186</v>
      </c>
      <c r="E74" s="21">
        <v>194.96459999999999</v>
      </c>
      <c r="F74" s="21">
        <v>320.08</v>
      </c>
      <c r="G74" s="21">
        <v>354.76</v>
      </c>
      <c r="H74" s="21">
        <v>370.27</v>
      </c>
      <c r="I74" s="21">
        <v>431.56</v>
      </c>
      <c r="J74" s="21">
        <v>1449.326</v>
      </c>
      <c r="K74" s="21">
        <v>3280.4</v>
      </c>
      <c r="L74" s="21">
        <v>102.9713</v>
      </c>
      <c r="M74" s="21">
        <v>1891.79</v>
      </c>
      <c r="N74" s="21">
        <v>256.33999999999997</v>
      </c>
      <c r="O74" s="21">
        <v>317.64</v>
      </c>
      <c r="P74" s="21">
        <v>363.05666666666667</v>
      </c>
      <c r="Q74" s="21">
        <v>421.06333333333328</v>
      </c>
      <c r="R74" s="21" t="e">
        <v>#N/A</v>
      </c>
      <c r="S74" s="21" t="e">
        <v>#N/A</v>
      </c>
      <c r="T74" s="21">
        <v>145.9091</v>
      </c>
      <c r="U74" s="21">
        <v>1173.04</v>
      </c>
      <c r="V74" s="21">
        <v>1570.13</v>
      </c>
      <c r="W74" s="21"/>
      <c r="X74" s="16">
        <v>4.8000000000000001E-4</v>
      </c>
      <c r="Y74" s="16">
        <f t="shared" si="1"/>
        <v>3.9991202697819972E-5</v>
      </c>
    </row>
    <row r="75" spans="1:25" x14ac:dyDescent="0.35">
      <c r="A75" s="23">
        <v>41729</v>
      </c>
      <c r="B75" s="21">
        <v>1754.03</v>
      </c>
      <c r="C75" s="21">
        <v>2866.52</v>
      </c>
      <c r="D75" s="21">
        <v>1012.9155</v>
      </c>
      <c r="E75" s="21">
        <v>195.6249</v>
      </c>
      <c r="F75" s="21">
        <v>319.14999999999998</v>
      </c>
      <c r="G75" s="21">
        <v>354.52</v>
      </c>
      <c r="H75" s="21">
        <v>370.08</v>
      </c>
      <c r="I75" s="21">
        <v>433.3</v>
      </c>
      <c r="J75" s="21">
        <v>1452.547</v>
      </c>
      <c r="K75" s="21">
        <v>3296.88</v>
      </c>
      <c r="L75" s="21">
        <v>103.16759999999999</v>
      </c>
      <c r="M75" s="21">
        <v>1885.71</v>
      </c>
      <c r="N75" s="21">
        <v>256.07</v>
      </c>
      <c r="O75" s="21">
        <v>317.19</v>
      </c>
      <c r="P75" s="21">
        <v>365.19666666666666</v>
      </c>
      <c r="Q75" s="21">
        <v>424.4883333333334</v>
      </c>
      <c r="R75" s="21" t="e">
        <v>#N/A</v>
      </c>
      <c r="S75" s="21" t="e">
        <v>#N/A</v>
      </c>
      <c r="T75" s="21">
        <v>145.77180000000001</v>
      </c>
      <c r="U75" s="21">
        <v>1126.8599999999999</v>
      </c>
      <c r="V75" s="21">
        <v>1604.21</v>
      </c>
      <c r="W75" s="21"/>
      <c r="X75" s="16">
        <v>3.3E-4</v>
      </c>
      <c r="Y75" s="16">
        <f t="shared" si="1"/>
        <v>2.7495841501634644E-5</v>
      </c>
    </row>
    <row r="76" spans="1:25" x14ac:dyDescent="0.35">
      <c r="A76" s="23">
        <v>41759</v>
      </c>
      <c r="B76" s="21">
        <v>1760.41</v>
      </c>
      <c r="C76" s="21">
        <v>2923.77</v>
      </c>
      <c r="D76" s="21">
        <v>1025.0878</v>
      </c>
      <c r="E76" s="21">
        <v>196.79470000000001</v>
      </c>
      <c r="F76" s="21">
        <v>321.39</v>
      </c>
      <c r="G76" s="21">
        <v>357.36</v>
      </c>
      <c r="H76" s="21">
        <v>374</v>
      </c>
      <c r="I76" s="21">
        <v>439.88</v>
      </c>
      <c r="J76" s="21">
        <v>1460.518</v>
      </c>
      <c r="K76" s="21">
        <v>3369.58</v>
      </c>
      <c r="L76" s="21">
        <v>104.0176</v>
      </c>
      <c r="M76" s="21">
        <v>1903.14</v>
      </c>
      <c r="N76" s="21">
        <v>257.29000000000002</v>
      </c>
      <c r="O76" s="21">
        <v>318.27999999999997</v>
      </c>
      <c r="P76" s="21">
        <v>367.18</v>
      </c>
      <c r="Q76" s="21">
        <v>427.7716666666667</v>
      </c>
      <c r="R76" s="21" t="e">
        <v>#N/A</v>
      </c>
      <c r="S76" s="21" t="e">
        <v>#N/A</v>
      </c>
      <c r="T76" s="21">
        <v>146.5821</v>
      </c>
      <c r="U76" s="21">
        <v>1134.5</v>
      </c>
      <c r="V76" s="21">
        <v>1675.93</v>
      </c>
      <c r="W76" s="21"/>
      <c r="X76" s="16">
        <v>2.8000000000000003E-4</v>
      </c>
      <c r="Y76" s="16">
        <f t="shared" si="1"/>
        <v>2.3330339424365576E-5</v>
      </c>
    </row>
    <row r="77" spans="1:25" x14ac:dyDescent="0.35">
      <c r="A77" s="23">
        <v>41790</v>
      </c>
      <c r="B77" s="21">
        <v>1772.49</v>
      </c>
      <c r="C77" s="21">
        <v>3007.86</v>
      </c>
      <c r="D77" s="21">
        <v>1038.2916</v>
      </c>
      <c r="E77" s="21">
        <v>198.73159999999999</v>
      </c>
      <c r="F77" s="21">
        <v>324.69</v>
      </c>
      <c r="G77" s="21">
        <v>361.25</v>
      </c>
      <c r="H77" s="21">
        <v>378.92</v>
      </c>
      <c r="I77" s="21">
        <v>447.18</v>
      </c>
      <c r="J77" s="21">
        <v>1472.461</v>
      </c>
      <c r="K77" s="21">
        <v>3462.94</v>
      </c>
      <c r="L77" s="21">
        <v>105.29640000000001</v>
      </c>
      <c r="M77" s="21">
        <v>1926.04</v>
      </c>
      <c r="N77" s="21">
        <v>258.95999999999998</v>
      </c>
      <c r="O77" s="21">
        <v>319.52</v>
      </c>
      <c r="P77" s="21">
        <v>370.09</v>
      </c>
      <c r="Q77" s="21">
        <v>432.57999999999993</v>
      </c>
      <c r="R77" s="21" t="e">
        <v>#N/A</v>
      </c>
      <c r="S77" s="21" t="e">
        <v>#N/A</v>
      </c>
      <c r="T77" s="21">
        <v>147.63059999999999</v>
      </c>
      <c r="U77" s="21">
        <v>1192.96</v>
      </c>
      <c r="V77" s="21">
        <v>1683.84</v>
      </c>
      <c r="W77" s="21"/>
      <c r="X77" s="16">
        <v>3.3E-4</v>
      </c>
      <c r="Y77" s="16">
        <f t="shared" si="1"/>
        <v>2.7495841501634644E-5</v>
      </c>
    </row>
    <row r="78" spans="1:25" x14ac:dyDescent="0.35">
      <c r="A78" s="23">
        <v>41820</v>
      </c>
      <c r="B78" s="21">
        <v>1770.15</v>
      </c>
      <c r="C78" s="21">
        <v>3001.26</v>
      </c>
      <c r="D78" s="21">
        <v>1039.1905999999999</v>
      </c>
      <c r="E78" s="21">
        <v>199.87620000000001</v>
      </c>
      <c r="F78" s="21">
        <v>324.81</v>
      </c>
      <c r="G78" s="21">
        <v>361.09</v>
      </c>
      <c r="H78" s="21">
        <v>379.12</v>
      </c>
      <c r="I78" s="21">
        <v>448</v>
      </c>
      <c r="J78" s="21">
        <v>1484.0540000000001</v>
      </c>
      <c r="K78" s="21">
        <v>3519.24</v>
      </c>
      <c r="L78" s="21">
        <v>105.6292</v>
      </c>
      <c r="M78" s="21">
        <v>1931.09</v>
      </c>
      <c r="N78" s="21">
        <v>259.43</v>
      </c>
      <c r="O78" s="21">
        <v>319.63</v>
      </c>
      <c r="P78" s="21">
        <v>373.20333333333332</v>
      </c>
      <c r="Q78" s="21">
        <v>437.53</v>
      </c>
      <c r="R78" s="21" t="e">
        <v>#N/A</v>
      </c>
      <c r="S78" s="21" t="e">
        <v>#N/A</v>
      </c>
      <c r="T78" s="21">
        <v>147.91810000000001</v>
      </c>
      <c r="U78" s="21">
        <v>1120.07</v>
      </c>
      <c r="V78" s="21">
        <v>1726.16</v>
      </c>
      <c r="W78" s="21"/>
      <c r="X78" s="16">
        <v>2.3000000000000001E-4</v>
      </c>
      <c r="Y78" s="16">
        <f t="shared" si="1"/>
        <v>1.916464647733207E-5</v>
      </c>
    </row>
    <row r="79" spans="1:25" x14ac:dyDescent="0.35">
      <c r="A79" s="23">
        <v>41851</v>
      </c>
      <c r="B79" s="21">
        <v>1765.53</v>
      </c>
      <c r="C79" s="21">
        <v>3017.8</v>
      </c>
      <c r="D79" s="21">
        <v>1041.0228999999999</v>
      </c>
      <c r="E79" s="21">
        <v>200.95330000000001</v>
      </c>
      <c r="F79" s="21">
        <v>323.70999999999998</v>
      </c>
      <c r="G79" s="21">
        <v>360.83</v>
      </c>
      <c r="H79" s="21">
        <v>378.91</v>
      </c>
      <c r="I79" s="21">
        <v>448</v>
      </c>
      <c r="J79" s="21">
        <v>1463.8820000000001</v>
      </c>
      <c r="K79" s="21">
        <v>3488.3</v>
      </c>
      <c r="L79" s="21">
        <v>105.8381</v>
      </c>
      <c r="M79" s="21">
        <v>1919.76</v>
      </c>
      <c r="N79" s="21">
        <v>258.81</v>
      </c>
      <c r="O79" s="21">
        <v>319.12</v>
      </c>
      <c r="P79" s="21">
        <v>375.21666666666664</v>
      </c>
      <c r="Q79" s="21">
        <v>441.32</v>
      </c>
      <c r="R79" s="21" t="e">
        <v>#N/A</v>
      </c>
      <c r="S79" s="21" t="e">
        <v>#N/A</v>
      </c>
      <c r="T79" s="21">
        <v>147.55629999999999</v>
      </c>
      <c r="U79" s="21">
        <v>1174.3499999999999</v>
      </c>
      <c r="V79" s="21">
        <v>1776.34</v>
      </c>
      <c r="W79" s="21"/>
      <c r="X79" s="16">
        <v>2.3000000000000001E-4</v>
      </c>
      <c r="Y79" s="16">
        <f t="shared" si="1"/>
        <v>1.916464647733207E-5</v>
      </c>
    </row>
    <row r="80" spans="1:25" x14ac:dyDescent="0.35">
      <c r="A80" s="23">
        <v>41882</v>
      </c>
      <c r="B80" s="21">
        <v>1776.8</v>
      </c>
      <c r="C80" s="21">
        <v>3140.23</v>
      </c>
      <c r="D80" s="21">
        <v>1053.6262999999999</v>
      </c>
      <c r="E80" s="21">
        <v>203.68709999999999</v>
      </c>
      <c r="F80" s="21">
        <v>326.83999999999997</v>
      </c>
      <c r="G80" s="21">
        <v>364.97</v>
      </c>
      <c r="H80" s="21">
        <v>384.32</v>
      </c>
      <c r="I80" s="21">
        <v>455.12</v>
      </c>
      <c r="J80" s="21">
        <v>1486.3430000000001</v>
      </c>
      <c r="K80" s="21">
        <v>3575.86</v>
      </c>
      <c r="L80" s="21">
        <v>107.1738</v>
      </c>
      <c r="M80" s="21">
        <v>1937.74</v>
      </c>
      <c r="N80" s="21">
        <v>260.2</v>
      </c>
      <c r="O80" s="21">
        <v>320.14999999999998</v>
      </c>
      <c r="P80" s="21">
        <v>377.55833333333334</v>
      </c>
      <c r="Q80" s="21">
        <v>445.24666666666667</v>
      </c>
      <c r="R80" s="21" t="e">
        <v>#N/A</v>
      </c>
      <c r="S80" s="21" t="e">
        <v>#N/A</v>
      </c>
      <c r="T80" s="21">
        <v>148.37209999999999</v>
      </c>
      <c r="U80" s="21">
        <v>1101.68</v>
      </c>
      <c r="V80" s="21">
        <v>1731.74</v>
      </c>
      <c r="W80" s="21"/>
      <c r="X80" s="16">
        <v>2.3000000000000001E-4</v>
      </c>
      <c r="Y80" s="16">
        <f t="shared" si="1"/>
        <v>1.916464647733207E-5</v>
      </c>
    </row>
    <row r="81" spans="1:25" x14ac:dyDescent="0.35">
      <c r="A81" s="23">
        <v>41912</v>
      </c>
      <c r="B81" s="21">
        <v>1770.45</v>
      </c>
      <c r="C81" s="21">
        <v>3081.9</v>
      </c>
      <c r="D81" s="21">
        <v>1054.6976</v>
      </c>
      <c r="E81" s="21">
        <v>203.3742</v>
      </c>
      <c r="F81" s="21">
        <v>325.62</v>
      </c>
      <c r="G81" s="21">
        <v>362.01</v>
      </c>
      <c r="H81" s="21">
        <v>379.09</v>
      </c>
      <c r="I81" s="21">
        <v>447.1</v>
      </c>
      <c r="J81" s="21">
        <v>1455.1152999999999</v>
      </c>
      <c r="K81" s="21">
        <v>3505.6</v>
      </c>
      <c r="L81" s="21">
        <v>106.6788</v>
      </c>
      <c r="M81" s="21">
        <v>1934.61</v>
      </c>
      <c r="N81" s="21">
        <v>258.83999999999997</v>
      </c>
      <c r="O81" s="21">
        <v>319.68</v>
      </c>
      <c r="P81" s="21">
        <v>379.06</v>
      </c>
      <c r="Q81" s="21">
        <v>447.54666666666662</v>
      </c>
      <c r="R81" s="21" t="e">
        <v>#N/A</v>
      </c>
      <c r="S81" s="21" t="e">
        <v>#N/A</v>
      </c>
      <c r="T81" s="21">
        <v>147.60040000000001</v>
      </c>
      <c r="U81" s="21">
        <v>1173.51</v>
      </c>
      <c r="V81" s="21">
        <v>1858.96</v>
      </c>
      <c r="W81" s="21"/>
      <c r="X81" s="16">
        <v>1.7999999999999998E-4</v>
      </c>
      <c r="Y81" s="16">
        <f t="shared" si="1"/>
        <v>1.4998762642326469E-5</v>
      </c>
    </row>
    <row r="82" spans="1:25" x14ac:dyDescent="0.35">
      <c r="A82" s="23">
        <v>41943</v>
      </c>
      <c r="B82" s="21">
        <v>1783.18</v>
      </c>
      <c r="C82" s="21">
        <v>3166.66</v>
      </c>
      <c r="D82" s="21">
        <v>1061.9292</v>
      </c>
      <c r="E82" s="21">
        <v>205.07919999999999</v>
      </c>
      <c r="F82" s="21">
        <v>328.7</v>
      </c>
      <c r="G82" s="21">
        <v>365.25</v>
      </c>
      <c r="H82" s="21">
        <v>383.42</v>
      </c>
      <c r="I82" s="21">
        <v>451.93</v>
      </c>
      <c r="J82" s="21">
        <v>1471.6842999999999</v>
      </c>
      <c r="K82" s="21">
        <v>3575.01</v>
      </c>
      <c r="L82" s="21">
        <v>107.43040000000001</v>
      </c>
      <c r="M82" s="21">
        <v>1953.34</v>
      </c>
      <c r="N82" s="21">
        <v>261.20999999999998</v>
      </c>
      <c r="O82" s="21">
        <v>321.31</v>
      </c>
      <c r="P82" s="21">
        <v>380.62999999999994</v>
      </c>
      <c r="Q82" s="21">
        <v>449.55500000000001</v>
      </c>
      <c r="R82" s="21" t="e">
        <v>#N/A</v>
      </c>
      <c r="S82" s="21" t="e">
        <v>#N/A</v>
      </c>
      <c r="T82" s="21">
        <v>149.00659999999999</v>
      </c>
      <c r="U82" s="21">
        <v>1173.23</v>
      </c>
      <c r="V82" s="21">
        <v>1879.52</v>
      </c>
      <c r="W82" s="21"/>
      <c r="X82" s="16">
        <v>8.0000000000000007E-5</v>
      </c>
      <c r="Y82" s="16">
        <f t="shared" si="1"/>
        <v>6.6664222346801694E-6</v>
      </c>
    </row>
    <row r="83" spans="1:25" x14ac:dyDescent="0.35">
      <c r="A83" s="23">
        <v>41973</v>
      </c>
      <c r="B83" s="21">
        <v>1792.43</v>
      </c>
      <c r="C83" s="21">
        <v>3254.29</v>
      </c>
      <c r="D83" s="21">
        <v>1063.7662</v>
      </c>
      <c r="E83" s="21">
        <v>207.70189999999999</v>
      </c>
      <c r="F83" s="21">
        <v>331.08</v>
      </c>
      <c r="G83" s="21">
        <v>367.9</v>
      </c>
      <c r="H83" s="21">
        <v>386.41</v>
      </c>
      <c r="I83" s="21">
        <v>454.44</v>
      </c>
      <c r="J83" s="21">
        <v>1460.62</v>
      </c>
      <c r="K83" s="21">
        <v>3561.66</v>
      </c>
      <c r="L83" s="21">
        <v>108.16930000000001</v>
      </c>
      <c r="M83" s="21">
        <v>1966.13</v>
      </c>
      <c r="N83" s="21">
        <v>262.95999999999998</v>
      </c>
      <c r="O83" s="21">
        <v>322.12</v>
      </c>
      <c r="P83" s="21">
        <v>381.87833333333333</v>
      </c>
      <c r="Q83" s="21">
        <v>450.76499999999993</v>
      </c>
      <c r="R83" s="21" t="e">
        <v>#N/A</v>
      </c>
      <c r="S83" s="21" t="e">
        <v>#N/A</v>
      </c>
      <c r="T83" s="21">
        <v>150.0428</v>
      </c>
      <c r="U83" s="21">
        <v>1204.7</v>
      </c>
      <c r="V83" s="21">
        <v>1937.33</v>
      </c>
      <c r="W83" s="21"/>
      <c r="X83" s="16">
        <v>1.2999999999999999E-4</v>
      </c>
      <c r="Y83" s="16">
        <f t="shared" si="1"/>
        <v>1.0832687900919069E-5</v>
      </c>
    </row>
    <row r="84" spans="1:25" x14ac:dyDescent="0.35">
      <c r="A84" s="23">
        <v>42004</v>
      </c>
      <c r="B84" s="21">
        <v>1787.64</v>
      </c>
      <c r="C84" s="21">
        <v>3347.5</v>
      </c>
      <c r="D84" s="21">
        <v>1069.1334999999999</v>
      </c>
      <c r="E84" s="21">
        <v>209.0361</v>
      </c>
      <c r="F84" s="21">
        <v>331.5</v>
      </c>
      <c r="G84" s="21">
        <v>368.49</v>
      </c>
      <c r="H84" s="21">
        <v>387.63</v>
      </c>
      <c r="I84" s="21">
        <v>452.81</v>
      </c>
      <c r="J84" s="21">
        <v>1438.7919999999999</v>
      </c>
      <c r="K84" s="21">
        <v>3536.42</v>
      </c>
      <c r="L84" s="21">
        <v>108.1413</v>
      </c>
      <c r="M84" s="21">
        <v>1969.17</v>
      </c>
      <c r="N84" s="21">
        <v>262.58</v>
      </c>
      <c r="O84" s="21">
        <v>321.42</v>
      </c>
      <c r="P84" s="21">
        <v>383.29666666666668</v>
      </c>
      <c r="Q84" s="21">
        <v>451.56666666666666</v>
      </c>
      <c r="R84" s="21" t="e">
        <v>#N/A</v>
      </c>
      <c r="S84" s="21" t="e">
        <v>#N/A</v>
      </c>
      <c r="T84" s="21">
        <v>149.80199999999999</v>
      </c>
      <c r="U84" s="21">
        <v>1165.3900000000001</v>
      </c>
      <c r="V84" s="21">
        <v>2177.1</v>
      </c>
      <c r="W84" s="21"/>
      <c r="X84" s="16">
        <v>4.0999999999999999E-4</v>
      </c>
      <c r="Y84" s="16">
        <f t="shared" si="1"/>
        <v>3.4160247861958482E-5</v>
      </c>
    </row>
    <row r="85" spans="1:25" x14ac:dyDescent="0.35">
      <c r="A85" s="23">
        <v>42035</v>
      </c>
      <c r="B85" s="21">
        <v>1817.14</v>
      </c>
      <c r="C85" s="21">
        <v>3634.01</v>
      </c>
      <c r="D85" s="21">
        <v>1088.0826</v>
      </c>
      <c r="E85" s="21">
        <v>214.1747</v>
      </c>
      <c r="F85" s="21">
        <v>337.48</v>
      </c>
      <c r="G85" s="21">
        <v>378.08</v>
      </c>
      <c r="H85" s="21">
        <v>399.51</v>
      </c>
      <c r="I85" s="21">
        <v>465.05</v>
      </c>
      <c r="J85" s="21">
        <v>1446.3340000000001</v>
      </c>
      <c r="K85" s="21">
        <v>3639.5</v>
      </c>
      <c r="L85" s="21">
        <v>110.0029</v>
      </c>
      <c r="M85" s="21">
        <v>1985.88</v>
      </c>
      <c r="N85" s="21">
        <v>267.27</v>
      </c>
      <c r="O85" s="21">
        <v>324.20999999999998</v>
      </c>
      <c r="P85" s="21">
        <v>386.73</v>
      </c>
      <c r="Q85" s="21">
        <v>454.40833333333336</v>
      </c>
      <c r="R85" s="21" t="e">
        <v>#N/A</v>
      </c>
      <c r="S85" s="21" t="e">
        <v>#N/A</v>
      </c>
      <c r="T85" s="21">
        <v>152.56229999999999</v>
      </c>
      <c r="U85" s="21">
        <v>1233.3699999999999</v>
      </c>
      <c r="V85" s="21">
        <v>2173.36</v>
      </c>
      <c r="W85" s="21"/>
      <c r="X85" s="16">
        <v>3.0000000000000001E-5</v>
      </c>
      <c r="Y85" s="16">
        <f t="shared" si="1"/>
        <v>2.4999656256241565E-6</v>
      </c>
    </row>
    <row r="86" spans="1:25" x14ac:dyDescent="0.35">
      <c r="A86" s="23">
        <v>42063</v>
      </c>
      <c r="B86" s="21">
        <v>1800.77</v>
      </c>
      <c r="C86" s="21">
        <v>3439.67</v>
      </c>
      <c r="D86" s="21">
        <v>1076.8586</v>
      </c>
      <c r="E86" s="21">
        <v>212.76669999999999</v>
      </c>
      <c r="F86" s="21">
        <v>334.35</v>
      </c>
      <c r="G86" s="21">
        <v>373.86</v>
      </c>
      <c r="H86" s="21">
        <v>394.72</v>
      </c>
      <c r="I86" s="21">
        <v>461.91</v>
      </c>
      <c r="J86" s="21">
        <v>1481.5309999999999</v>
      </c>
      <c r="K86" s="21">
        <v>3713.2</v>
      </c>
      <c r="L86" s="21">
        <v>109.86190000000001</v>
      </c>
      <c r="M86" s="21">
        <v>1982.65</v>
      </c>
      <c r="N86" s="21">
        <v>265.55</v>
      </c>
      <c r="O86" s="21">
        <v>322.98</v>
      </c>
      <c r="P86" s="21">
        <v>388.46333333333337</v>
      </c>
      <c r="Q86" s="21">
        <v>455.53999999999996</v>
      </c>
      <c r="R86" s="21" t="e">
        <v>#N/A</v>
      </c>
      <c r="S86" s="21" t="e">
        <v>#N/A</v>
      </c>
      <c r="T86" s="21">
        <v>151.5966</v>
      </c>
      <c r="U86" s="21">
        <v>1252.77</v>
      </c>
      <c r="V86" s="21">
        <v>2256.21</v>
      </c>
      <c r="W86" s="21"/>
      <c r="X86" s="16">
        <v>1.2999999999999999E-4</v>
      </c>
      <c r="Y86" s="16">
        <f t="shared" si="1"/>
        <v>1.0832687900919069E-5</v>
      </c>
    </row>
    <row r="87" spans="1:25" x14ac:dyDescent="0.35">
      <c r="A87" s="23">
        <v>42094</v>
      </c>
      <c r="B87" s="21">
        <v>1810.55</v>
      </c>
      <c r="C87" s="21">
        <v>3480.04</v>
      </c>
      <c r="D87" s="21">
        <v>1079.9685999999999</v>
      </c>
      <c r="E87" s="21">
        <v>214.46199999999999</v>
      </c>
      <c r="F87" s="21">
        <v>336.08</v>
      </c>
      <c r="G87" s="21">
        <v>375.29</v>
      </c>
      <c r="H87" s="21">
        <v>396.11</v>
      </c>
      <c r="I87" s="21">
        <v>463.25</v>
      </c>
      <c r="J87" s="21">
        <v>1472.779</v>
      </c>
      <c r="K87" s="21">
        <v>3720.15</v>
      </c>
      <c r="L87" s="21">
        <v>110.2945</v>
      </c>
      <c r="M87" s="21">
        <v>1989.99</v>
      </c>
      <c r="N87" s="21">
        <v>267.22000000000003</v>
      </c>
      <c r="O87" s="21">
        <v>324.32</v>
      </c>
      <c r="P87" s="21">
        <v>391.3</v>
      </c>
      <c r="Q87" s="21">
        <v>458.23166666666663</v>
      </c>
      <c r="R87" s="21" t="e">
        <v>#N/A</v>
      </c>
      <c r="S87" s="21" t="e">
        <v>#N/A</v>
      </c>
      <c r="T87" s="21">
        <v>152.57749999999999</v>
      </c>
      <c r="U87" s="21">
        <v>1220.1300000000001</v>
      </c>
      <c r="V87" s="21">
        <v>2124</v>
      </c>
      <c r="W87" s="21"/>
      <c r="X87" s="16">
        <v>2.3000000000000001E-4</v>
      </c>
      <c r="Y87" s="16">
        <f t="shared" si="1"/>
        <v>1.916464647733207E-5</v>
      </c>
    </row>
    <row r="88" spans="1:25" x14ac:dyDescent="0.35">
      <c r="A88" s="23">
        <v>42124</v>
      </c>
      <c r="B88" s="21">
        <v>1808.7</v>
      </c>
      <c r="C88" s="21">
        <v>3371.88</v>
      </c>
      <c r="D88" s="21">
        <v>1074.3022000000001</v>
      </c>
      <c r="E88" s="21">
        <v>212.18360000000001</v>
      </c>
      <c r="F88" s="21">
        <v>335.17</v>
      </c>
      <c r="G88" s="21">
        <v>373.56</v>
      </c>
      <c r="H88" s="21">
        <v>393.43</v>
      </c>
      <c r="I88" s="21">
        <v>460.78</v>
      </c>
      <c r="J88" s="21">
        <v>1490.6610000000001</v>
      </c>
      <c r="K88" s="21">
        <v>3760.56</v>
      </c>
      <c r="L88" s="21">
        <v>109.9335</v>
      </c>
      <c r="M88" s="21">
        <v>1990.82</v>
      </c>
      <c r="N88" s="21">
        <v>267.01</v>
      </c>
      <c r="O88" s="21">
        <v>324.58</v>
      </c>
      <c r="P88" s="21">
        <v>392.96833333333331</v>
      </c>
      <c r="Q88" s="21">
        <v>459.70666666666665</v>
      </c>
      <c r="R88" s="21" t="e">
        <v>#N/A</v>
      </c>
      <c r="S88" s="21" t="e">
        <v>#N/A</v>
      </c>
      <c r="T88" s="21">
        <v>152.4572</v>
      </c>
      <c r="U88" s="21">
        <v>1246.53</v>
      </c>
      <c r="V88" s="21">
        <v>2134.4499999999998</v>
      </c>
      <c r="W88" s="21"/>
      <c r="X88" s="16">
        <v>3.0000000000000001E-5</v>
      </c>
      <c r="Y88" s="16">
        <f t="shared" si="1"/>
        <v>2.4999656256241565E-6</v>
      </c>
    </row>
    <row r="89" spans="1:25" x14ac:dyDescent="0.35">
      <c r="A89" s="23">
        <v>42155</v>
      </c>
      <c r="B89" s="21">
        <v>1809.53</v>
      </c>
      <c r="C89" s="21">
        <v>3318.33</v>
      </c>
      <c r="D89" s="21">
        <v>1071.3344</v>
      </c>
      <c r="E89" s="21">
        <v>211.0506</v>
      </c>
      <c r="F89" s="21">
        <v>334.82</v>
      </c>
      <c r="G89" s="21">
        <v>372.42</v>
      </c>
      <c r="H89" s="21">
        <v>390.9</v>
      </c>
      <c r="I89" s="21">
        <v>457.83</v>
      </c>
      <c r="J89" s="21">
        <v>1495.913</v>
      </c>
      <c r="K89" s="21">
        <v>3741.08</v>
      </c>
      <c r="L89" s="21">
        <v>109.6969</v>
      </c>
      <c r="M89" s="21">
        <v>1990.36</v>
      </c>
      <c r="N89" s="21">
        <v>267.11</v>
      </c>
      <c r="O89" s="21">
        <v>325.07</v>
      </c>
      <c r="P89" s="21">
        <v>393.7166666666667</v>
      </c>
      <c r="Q89" s="21">
        <v>460.2716666666667</v>
      </c>
      <c r="R89" s="21" t="e">
        <v>#N/A</v>
      </c>
      <c r="S89" s="21" t="e">
        <v>#N/A</v>
      </c>
      <c r="T89" s="21">
        <v>152.52109999999999</v>
      </c>
      <c r="U89" s="21">
        <v>1253.95</v>
      </c>
      <c r="V89" s="21">
        <v>2009.16</v>
      </c>
      <c r="W89" s="21"/>
      <c r="X89" s="16">
        <v>3.0000000000000001E-5</v>
      </c>
      <c r="Y89" s="16">
        <f t="shared" si="1"/>
        <v>2.4999656256241565E-6</v>
      </c>
    </row>
    <row r="90" spans="1:25" x14ac:dyDescent="0.35">
      <c r="A90" s="23">
        <v>42185</v>
      </c>
      <c r="B90" s="21">
        <v>1802.11</v>
      </c>
      <c r="C90" s="21">
        <v>3191.14</v>
      </c>
      <c r="D90" s="21">
        <v>1070.3581999999999</v>
      </c>
      <c r="E90" s="21">
        <v>208.03039999999999</v>
      </c>
      <c r="F90" s="21">
        <v>332.08</v>
      </c>
      <c r="G90" s="21">
        <v>368.32</v>
      </c>
      <c r="H90" s="21">
        <v>384.31</v>
      </c>
      <c r="I90" s="21">
        <v>448.32</v>
      </c>
      <c r="J90" s="21">
        <v>1474.44</v>
      </c>
      <c r="K90" s="21">
        <v>3653.9</v>
      </c>
      <c r="L90" s="21">
        <v>108.0766</v>
      </c>
      <c r="M90" s="21">
        <v>1975.18</v>
      </c>
      <c r="N90" s="21">
        <v>264.39</v>
      </c>
      <c r="O90" s="21">
        <v>324.88</v>
      </c>
      <c r="P90" s="21">
        <v>393.16333333333336</v>
      </c>
      <c r="Q90" s="21">
        <v>459.52333333333337</v>
      </c>
      <c r="R90" s="21" t="e">
        <v>#N/A</v>
      </c>
      <c r="S90" s="21" t="e">
        <v>#N/A</v>
      </c>
      <c r="T90" s="21">
        <v>150.8819</v>
      </c>
      <c r="U90" s="21">
        <v>1238.68</v>
      </c>
      <c r="V90" s="21">
        <v>2092.6799999999998</v>
      </c>
      <c r="W90" s="21"/>
      <c r="X90" s="16">
        <v>8.0000000000000007E-5</v>
      </c>
      <c r="Y90" s="16">
        <f t="shared" si="1"/>
        <v>6.6664222346801694E-6</v>
      </c>
    </row>
    <row r="91" spans="1:25" x14ac:dyDescent="0.35">
      <c r="A91" s="23">
        <v>42216</v>
      </c>
      <c r="B91" s="21">
        <v>1809.61</v>
      </c>
      <c r="C91" s="21">
        <v>3302.89</v>
      </c>
      <c r="D91" s="21">
        <v>1078.1111000000001</v>
      </c>
      <c r="E91" s="21">
        <v>210.78989999999999</v>
      </c>
      <c r="F91" s="21">
        <v>334.49</v>
      </c>
      <c r="G91" s="21">
        <v>370.82</v>
      </c>
      <c r="H91" s="21">
        <v>387.74</v>
      </c>
      <c r="I91" s="21">
        <v>449.88</v>
      </c>
      <c r="J91" s="21">
        <v>1465.5139999999999</v>
      </c>
      <c r="K91" s="21">
        <v>3647.65</v>
      </c>
      <c r="L91" s="21">
        <v>108.8981</v>
      </c>
      <c r="M91" s="21">
        <v>1987.63</v>
      </c>
      <c r="N91" s="21">
        <v>266.11</v>
      </c>
      <c r="O91" s="21">
        <v>325.49</v>
      </c>
      <c r="P91" s="21">
        <v>391.20166666666665</v>
      </c>
      <c r="Q91" s="21">
        <v>456.99500000000006</v>
      </c>
      <c r="R91" s="21" t="e">
        <v>#N/A</v>
      </c>
      <c r="S91" s="21" t="e">
        <v>#N/A</v>
      </c>
      <c r="T91" s="21">
        <v>151.9033</v>
      </c>
      <c r="U91" s="21">
        <v>1159.45</v>
      </c>
      <c r="V91" s="21">
        <v>1936.62</v>
      </c>
      <c r="W91" s="21"/>
      <c r="X91" s="16">
        <v>6.4000000000000005E-4</v>
      </c>
      <c r="Y91" s="16">
        <f t="shared" si="1"/>
        <v>5.3317695282828481E-5</v>
      </c>
    </row>
    <row r="92" spans="1:25" x14ac:dyDescent="0.35">
      <c r="A92" s="23">
        <v>42247</v>
      </c>
      <c r="B92" s="21">
        <v>1810.59</v>
      </c>
      <c r="C92" s="21">
        <v>3302.25</v>
      </c>
      <c r="D92" s="21">
        <v>1080.2281</v>
      </c>
      <c r="E92" s="21">
        <v>210.1634</v>
      </c>
      <c r="F92" s="21">
        <v>334.66</v>
      </c>
      <c r="G92" s="21">
        <v>370.02</v>
      </c>
      <c r="H92" s="21">
        <v>386.51</v>
      </c>
      <c r="I92" s="21">
        <v>445.2</v>
      </c>
      <c r="J92" s="21">
        <v>1439.7170000000001</v>
      </c>
      <c r="K92" s="21">
        <v>3596.75</v>
      </c>
      <c r="L92" s="21">
        <v>108.2654</v>
      </c>
      <c r="M92" s="21">
        <v>1989.31</v>
      </c>
      <c r="N92" s="21">
        <v>265.25</v>
      </c>
      <c r="O92" s="21">
        <v>325.81</v>
      </c>
      <c r="P92" s="21">
        <v>389.83333333333331</v>
      </c>
      <c r="Q92" s="21">
        <v>454.21</v>
      </c>
      <c r="R92" s="21" t="e">
        <v>#N/A</v>
      </c>
      <c r="S92" s="21" t="e">
        <v>#N/A</v>
      </c>
      <c r="T92" s="21">
        <v>151.3785</v>
      </c>
      <c r="U92" s="21">
        <v>1100.69</v>
      </c>
      <c r="V92" s="21">
        <v>1960.33</v>
      </c>
      <c r="W92" s="21"/>
      <c r="X92" s="16">
        <v>3.0000000000000001E-5</v>
      </c>
      <c r="Y92" s="16">
        <f t="shared" si="1"/>
        <v>2.4999656256241565E-6</v>
      </c>
    </row>
    <row r="93" spans="1:25" x14ac:dyDescent="0.35">
      <c r="A93" s="23">
        <v>42277</v>
      </c>
      <c r="B93" s="21">
        <v>1824.52</v>
      </c>
      <c r="C93" s="21">
        <v>3353.11</v>
      </c>
      <c r="D93" s="21">
        <v>1088.0533</v>
      </c>
      <c r="E93" s="21">
        <v>211.79419999999999</v>
      </c>
      <c r="F93" s="21">
        <v>337.2</v>
      </c>
      <c r="G93" s="21">
        <v>372.77</v>
      </c>
      <c r="H93" s="21">
        <v>390.14</v>
      </c>
      <c r="I93" s="21">
        <v>445.03</v>
      </c>
      <c r="J93" s="21">
        <v>1402.771</v>
      </c>
      <c r="K93" s="21">
        <v>3478.46</v>
      </c>
      <c r="L93" s="21">
        <v>107.9552</v>
      </c>
      <c r="M93" s="21">
        <v>2000.94</v>
      </c>
      <c r="N93" s="21">
        <v>268.47000000000003</v>
      </c>
      <c r="O93" s="21">
        <v>327.29000000000002</v>
      </c>
      <c r="P93" s="21">
        <v>388.83833333333331</v>
      </c>
      <c r="Q93" s="21">
        <v>451.17333333333335</v>
      </c>
      <c r="R93" s="21" t="e">
        <v>#N/A</v>
      </c>
      <c r="S93" s="21" t="e">
        <v>#N/A</v>
      </c>
      <c r="T93" s="21">
        <v>153.23240000000001</v>
      </c>
      <c r="U93" s="21">
        <v>1161.8599999999999</v>
      </c>
      <c r="V93" s="21">
        <v>2091.0100000000002</v>
      </c>
      <c r="W93" s="21"/>
      <c r="X93" s="16">
        <v>-1.4999999999999999E-4</v>
      </c>
      <c r="Y93" s="16">
        <f t="shared" si="1"/>
        <v>-1.250085945736501E-5</v>
      </c>
    </row>
    <row r="94" spans="1:25" x14ac:dyDescent="0.35">
      <c r="A94" s="23">
        <v>42308</v>
      </c>
      <c r="B94" s="21">
        <v>1818.38</v>
      </c>
      <c r="C94" s="21">
        <v>3334.81</v>
      </c>
      <c r="D94" s="21">
        <v>1092.3792000000001</v>
      </c>
      <c r="E94" s="21">
        <v>212.80199999999999</v>
      </c>
      <c r="F94" s="21">
        <v>336.59</v>
      </c>
      <c r="G94" s="21">
        <v>373.48</v>
      </c>
      <c r="H94" s="21">
        <v>391.31</v>
      </c>
      <c r="I94" s="21">
        <v>448.71</v>
      </c>
      <c r="J94" s="21">
        <v>1441.0206000000001</v>
      </c>
      <c r="K94" s="21">
        <v>3588.23</v>
      </c>
      <c r="L94" s="21">
        <v>108.79770000000001</v>
      </c>
      <c r="M94" s="21">
        <v>2002.26</v>
      </c>
      <c r="N94" s="21">
        <v>268.02</v>
      </c>
      <c r="O94" s="21">
        <v>326.57</v>
      </c>
      <c r="P94" s="21">
        <v>388.48499999999996</v>
      </c>
      <c r="Q94" s="21">
        <v>449.16166666666669</v>
      </c>
      <c r="R94" s="21" t="e">
        <v>#N/A</v>
      </c>
      <c r="S94" s="21" t="e">
        <v>#N/A</v>
      </c>
      <c r="T94" s="21">
        <v>152.9409</v>
      </c>
      <c r="U94" s="21">
        <v>1198.1099999999999</v>
      </c>
      <c r="V94" s="21">
        <v>2133.69</v>
      </c>
      <c r="W94" s="21"/>
      <c r="X94" s="16">
        <v>7.3999999999999999E-4</v>
      </c>
      <c r="Y94" s="16">
        <f t="shared" si="1"/>
        <v>6.164576127187793E-5</v>
      </c>
    </row>
    <row r="95" spans="1:25" x14ac:dyDescent="0.35">
      <c r="A95" s="23">
        <v>42338</v>
      </c>
      <c r="B95" s="21">
        <v>1812.21</v>
      </c>
      <c r="C95" s="21">
        <v>3307.46</v>
      </c>
      <c r="D95" s="21">
        <v>1096.7224000000001</v>
      </c>
      <c r="E95" s="21">
        <v>212.88509999999999</v>
      </c>
      <c r="F95" s="21">
        <v>335.64</v>
      </c>
      <c r="G95" s="21">
        <v>373.42</v>
      </c>
      <c r="H95" s="21">
        <v>391.29</v>
      </c>
      <c r="I95" s="21">
        <v>446.57</v>
      </c>
      <c r="J95" s="21">
        <v>1409.2860000000001</v>
      </c>
      <c r="K95" s="21">
        <v>3494.33</v>
      </c>
      <c r="L95" s="21">
        <v>108.9892</v>
      </c>
      <c r="M95" s="21">
        <v>1999.54</v>
      </c>
      <c r="N95" s="21">
        <v>267.5</v>
      </c>
      <c r="O95" s="21">
        <v>326.06</v>
      </c>
      <c r="P95" s="21">
        <v>388.54999999999995</v>
      </c>
      <c r="Q95" s="21">
        <v>447.28500000000003</v>
      </c>
      <c r="R95" s="21" t="e">
        <v>#N/A</v>
      </c>
      <c r="S95" s="21" t="e">
        <v>#N/A</v>
      </c>
      <c r="T95" s="21">
        <v>152.63720000000001</v>
      </c>
      <c r="U95" s="21">
        <v>1135.8900000000001</v>
      </c>
      <c r="V95" s="21">
        <v>2084.4499999999998</v>
      </c>
      <c r="W95" s="21"/>
      <c r="X95" s="16">
        <v>1.7000000000000001E-3</v>
      </c>
      <c r="Y95" s="16">
        <f t="shared" si="1"/>
        <v>1.4155640446089635E-4</v>
      </c>
    </row>
    <row r="96" spans="1:25" x14ac:dyDescent="0.35">
      <c r="A96" s="23">
        <v>42369</v>
      </c>
      <c r="B96" s="21">
        <v>1808.79</v>
      </c>
      <c r="C96" s="21">
        <v>3306.91</v>
      </c>
      <c r="D96" s="21">
        <v>1104.4274</v>
      </c>
      <c r="E96" s="21">
        <v>212.17959999999999</v>
      </c>
      <c r="F96" s="21">
        <v>335.2</v>
      </c>
      <c r="G96" s="21">
        <v>372.23</v>
      </c>
      <c r="H96" s="21">
        <v>389.75</v>
      </c>
      <c r="I96" s="21">
        <v>440.54</v>
      </c>
      <c r="J96" s="21">
        <v>1373.818</v>
      </c>
      <c r="K96" s="21">
        <v>3405.26</v>
      </c>
      <c r="L96" s="21">
        <v>108.3058</v>
      </c>
      <c r="M96" s="21">
        <v>1998.89</v>
      </c>
      <c r="N96" s="21">
        <v>265.13</v>
      </c>
      <c r="O96" s="21">
        <v>325.44</v>
      </c>
      <c r="P96" s="21">
        <v>389.45666666666665</v>
      </c>
      <c r="Q96" s="21">
        <v>445.98833333333329</v>
      </c>
      <c r="R96" s="21" t="e">
        <v>#N/A</v>
      </c>
      <c r="S96" s="21" t="e">
        <v>#N/A</v>
      </c>
      <c r="T96" s="21">
        <v>151.21469999999999</v>
      </c>
      <c r="U96" s="21">
        <v>1035.3800000000001</v>
      </c>
      <c r="V96" s="21">
        <v>2000.83</v>
      </c>
      <c r="W96" s="21"/>
      <c r="X96" s="16">
        <v>1.65E-3</v>
      </c>
      <c r="Y96" s="16">
        <f t="shared" si="1"/>
        <v>1.373961251101008E-4</v>
      </c>
    </row>
    <row r="97" spans="1:25" x14ac:dyDescent="0.35">
      <c r="A97" s="23">
        <v>42400</v>
      </c>
      <c r="B97" s="21">
        <v>1838.28</v>
      </c>
      <c r="C97" s="21">
        <v>3473.05</v>
      </c>
      <c r="D97" s="21">
        <v>1117.6052999999999</v>
      </c>
      <c r="E97" s="21">
        <v>215.86189999999999</v>
      </c>
      <c r="F97" s="21">
        <v>341.01</v>
      </c>
      <c r="G97" s="21">
        <v>377.02</v>
      </c>
      <c r="H97" s="21">
        <v>393.49</v>
      </c>
      <c r="I97" s="21">
        <v>439.66</v>
      </c>
      <c r="J97" s="21">
        <v>1351.9649999999999</v>
      </c>
      <c r="K97" s="21">
        <v>3341</v>
      </c>
      <c r="L97" s="21">
        <v>109.0438</v>
      </c>
      <c r="M97" s="21">
        <v>2024.83</v>
      </c>
      <c r="N97" s="21">
        <v>269.14</v>
      </c>
      <c r="O97" s="21">
        <v>328.76</v>
      </c>
      <c r="P97" s="21">
        <v>390.41499999999996</v>
      </c>
      <c r="Q97" s="21">
        <v>444.28500000000003</v>
      </c>
      <c r="R97" s="21" t="e">
        <v>#N/A</v>
      </c>
      <c r="S97" s="21" t="e">
        <v>#N/A</v>
      </c>
      <c r="T97" s="21">
        <v>153.3596</v>
      </c>
      <c r="U97" s="21">
        <v>1033.9000000000001</v>
      </c>
      <c r="V97" s="21">
        <v>1997.09</v>
      </c>
      <c r="W97" s="21"/>
      <c r="X97" s="16">
        <v>3.13E-3</v>
      </c>
      <c r="Y97" s="16">
        <f t="shared" si="1"/>
        <v>2.6045989274736669E-4</v>
      </c>
    </row>
    <row r="98" spans="1:25" x14ac:dyDescent="0.35">
      <c r="A98" s="23">
        <v>42428</v>
      </c>
      <c r="B98" s="21">
        <v>1847.75</v>
      </c>
      <c r="C98" s="21">
        <v>3576.54</v>
      </c>
      <c r="D98" s="21">
        <v>1119.3632</v>
      </c>
      <c r="E98" s="21">
        <v>218.16739999999999</v>
      </c>
      <c r="F98" s="21">
        <v>343.27</v>
      </c>
      <c r="G98" s="21">
        <v>379.69</v>
      </c>
      <c r="H98" s="21">
        <v>396.81</v>
      </c>
      <c r="I98" s="21">
        <v>443.36</v>
      </c>
      <c r="J98" s="21">
        <v>1358.9269999999999</v>
      </c>
      <c r="K98" s="21">
        <v>3394.49</v>
      </c>
      <c r="L98" s="21">
        <v>109.6223</v>
      </c>
      <c r="M98" s="21">
        <v>2032.39</v>
      </c>
      <c r="N98" s="21">
        <v>271.32</v>
      </c>
      <c r="O98" s="21">
        <v>329.46</v>
      </c>
      <c r="P98" s="21">
        <v>392.13166666666666</v>
      </c>
      <c r="Q98" s="21">
        <v>443.9783333333333</v>
      </c>
      <c r="R98" s="21" t="e">
        <v>#N/A</v>
      </c>
      <c r="S98" s="21" t="e">
        <v>#N/A</v>
      </c>
      <c r="T98" s="21">
        <v>154.47710000000001</v>
      </c>
      <c r="U98" s="21">
        <v>1114.03</v>
      </c>
      <c r="V98" s="21">
        <v>2078.1999999999998</v>
      </c>
      <c r="W98" s="21"/>
      <c r="X98" s="16">
        <v>3.1800000000000001E-3</v>
      </c>
      <c r="Y98" s="16">
        <f t="shared" si="1"/>
        <v>2.6461454539083995E-4</v>
      </c>
    </row>
    <row r="99" spans="1:25" x14ac:dyDescent="0.35">
      <c r="A99" s="23">
        <v>42460</v>
      </c>
      <c r="B99" s="21">
        <v>1851.2</v>
      </c>
      <c r="C99" s="21">
        <v>3576.53</v>
      </c>
      <c r="D99" s="21">
        <v>1122.9087</v>
      </c>
      <c r="E99" s="21">
        <v>219.1669</v>
      </c>
      <c r="F99" s="21">
        <v>344.12</v>
      </c>
      <c r="G99" s="21">
        <v>384.35</v>
      </c>
      <c r="H99" s="21">
        <v>404.82</v>
      </c>
      <c r="I99" s="21">
        <v>459.56</v>
      </c>
      <c r="J99" s="21">
        <v>1416.2860000000001</v>
      </c>
      <c r="K99" s="21">
        <v>3679.87</v>
      </c>
      <c r="L99" s="21">
        <v>111.2689</v>
      </c>
      <c r="M99" s="21">
        <v>2038.4</v>
      </c>
      <c r="N99" s="21">
        <v>274.7</v>
      </c>
      <c r="O99" s="21">
        <v>329.85</v>
      </c>
      <c r="P99" s="21">
        <v>394.57833333333332</v>
      </c>
      <c r="Q99" s="21">
        <v>446.40000000000003</v>
      </c>
      <c r="R99" s="21" t="e">
        <v>#N/A</v>
      </c>
      <c r="S99" s="21" t="e">
        <v>#N/A</v>
      </c>
      <c r="T99" s="21">
        <v>156.5975</v>
      </c>
      <c r="U99" s="21">
        <v>1130.8399999999999</v>
      </c>
      <c r="V99" s="21">
        <v>2061.5700000000002</v>
      </c>
      <c r="W99" s="21"/>
      <c r="X99" s="16">
        <v>2.0100000000000001E-3</v>
      </c>
      <c r="Y99" s="16">
        <f t="shared" si="1"/>
        <v>1.6734588849409704E-4</v>
      </c>
    </row>
    <row r="100" spans="1:25" x14ac:dyDescent="0.35">
      <c r="A100" s="23">
        <v>42490</v>
      </c>
      <c r="B100" s="21">
        <v>1850.61</v>
      </c>
      <c r="C100" s="21">
        <v>3558.63</v>
      </c>
      <c r="D100" s="21">
        <v>1131.1656</v>
      </c>
      <c r="E100" s="21">
        <v>218.37960000000001</v>
      </c>
      <c r="F100" s="21">
        <v>344.21</v>
      </c>
      <c r="G100" s="21">
        <v>386.38</v>
      </c>
      <c r="H100" s="21">
        <v>408.71</v>
      </c>
      <c r="I100" s="21">
        <v>467.84</v>
      </c>
      <c r="J100" s="21">
        <v>1469.672</v>
      </c>
      <c r="K100" s="21">
        <v>3910.82</v>
      </c>
      <c r="L100" s="21">
        <v>111.9157</v>
      </c>
      <c r="M100" s="21">
        <v>2041.7</v>
      </c>
      <c r="N100" s="21">
        <v>275.73</v>
      </c>
      <c r="O100" s="21">
        <v>330.66</v>
      </c>
      <c r="P100" s="21">
        <v>397.4783333333333</v>
      </c>
      <c r="Q100" s="21">
        <v>449.58833333333337</v>
      </c>
      <c r="R100" s="21" t="e">
        <v>#N/A</v>
      </c>
      <c r="S100" s="21" t="e">
        <v>#N/A</v>
      </c>
      <c r="T100" s="21">
        <v>157.2235</v>
      </c>
      <c r="U100" s="21">
        <v>1154.79</v>
      </c>
      <c r="V100" s="21">
        <v>2114.4499999999998</v>
      </c>
      <c r="W100" s="21"/>
      <c r="X100" s="16">
        <v>2.1099999999999999E-3</v>
      </c>
      <c r="Y100" s="16">
        <f t="shared" si="1"/>
        <v>1.7566351672582137E-4</v>
      </c>
    </row>
    <row r="101" spans="1:25" x14ac:dyDescent="0.35">
      <c r="A101" s="23">
        <v>42521</v>
      </c>
      <c r="B101" s="21">
        <v>1847.83</v>
      </c>
      <c r="C101" s="21">
        <v>3586.85</v>
      </c>
      <c r="D101" s="21">
        <v>1134.2251000000001</v>
      </c>
      <c r="E101" s="21">
        <v>219.66849999999999</v>
      </c>
      <c r="F101" s="21">
        <v>344.4</v>
      </c>
      <c r="G101" s="21">
        <v>387.29</v>
      </c>
      <c r="H101" s="21">
        <v>408.73</v>
      </c>
      <c r="I101" s="21">
        <v>466.97</v>
      </c>
      <c r="J101" s="21">
        <v>1479.8150000000001</v>
      </c>
      <c r="K101" s="21">
        <v>3894.74</v>
      </c>
      <c r="L101" s="21">
        <v>112.2409</v>
      </c>
      <c r="M101" s="21">
        <v>2044.34</v>
      </c>
      <c r="N101" s="21">
        <v>276.08</v>
      </c>
      <c r="O101" s="21">
        <v>330.97</v>
      </c>
      <c r="P101" s="21">
        <v>400.38499999999999</v>
      </c>
      <c r="Q101" s="21">
        <v>452.9883333333334</v>
      </c>
      <c r="R101" s="21" t="e">
        <v>#N/A</v>
      </c>
      <c r="S101" s="21" t="e">
        <v>#N/A</v>
      </c>
      <c r="T101" s="21">
        <v>157.39869999999999</v>
      </c>
      <c r="U101" s="21">
        <v>1151.92</v>
      </c>
      <c r="V101" s="21">
        <v>2187.09</v>
      </c>
      <c r="W101" s="21"/>
      <c r="X101" s="16">
        <v>2.8699999999999997E-3</v>
      </c>
      <c r="Y101" s="16">
        <f t="shared" si="1"/>
        <v>2.3885263850376148E-4</v>
      </c>
    </row>
    <row r="102" spans="1:25" x14ac:dyDescent="0.35">
      <c r="A102" s="23">
        <v>42551</v>
      </c>
      <c r="B102" s="21">
        <v>1874.91</v>
      </c>
      <c r="C102" s="21">
        <v>3807.03</v>
      </c>
      <c r="D102" s="21">
        <v>1152.269</v>
      </c>
      <c r="E102" s="21">
        <v>224.9083</v>
      </c>
      <c r="F102" s="21">
        <v>349.85</v>
      </c>
      <c r="G102" s="21">
        <v>394.4</v>
      </c>
      <c r="H102" s="21">
        <v>417.39</v>
      </c>
      <c r="I102" s="21">
        <v>479.31</v>
      </c>
      <c r="J102" s="21">
        <v>1492.3230000000001</v>
      </c>
      <c r="K102" s="21">
        <v>3974.53</v>
      </c>
      <c r="L102" s="21">
        <v>113.958</v>
      </c>
      <c r="M102" s="21">
        <v>2060.9499999999998</v>
      </c>
      <c r="N102" s="21">
        <v>280.83999999999997</v>
      </c>
      <c r="O102" s="21">
        <v>333.71</v>
      </c>
      <c r="P102" s="21">
        <v>404.99166666666662</v>
      </c>
      <c r="Q102" s="21">
        <v>459.45</v>
      </c>
      <c r="R102" s="21" t="e">
        <v>#N/A</v>
      </c>
      <c r="S102" s="21" t="e">
        <v>#N/A</v>
      </c>
      <c r="T102" s="21">
        <v>160.07900000000001</v>
      </c>
      <c r="U102" s="21">
        <v>1219.94</v>
      </c>
      <c r="V102" s="21">
        <v>2278.9299999999998</v>
      </c>
      <c r="W102" s="21"/>
      <c r="X102" s="16">
        <v>2.6099999999999999E-3</v>
      </c>
      <c r="Y102" s="16">
        <f t="shared" si="1"/>
        <v>2.1724024865843461E-4</v>
      </c>
    </row>
    <row r="103" spans="1:25" x14ac:dyDescent="0.35">
      <c r="A103" s="23">
        <v>42582</v>
      </c>
      <c r="B103" s="21">
        <v>1875.65</v>
      </c>
      <c r="C103" s="21">
        <v>3892.41</v>
      </c>
      <c r="D103" s="21">
        <v>1152.9727</v>
      </c>
      <c r="E103" s="21">
        <v>226.32140000000001</v>
      </c>
      <c r="F103" s="21">
        <v>351</v>
      </c>
      <c r="G103" s="21">
        <v>397.6</v>
      </c>
      <c r="H103" s="21">
        <v>422.99</v>
      </c>
      <c r="I103" s="21">
        <v>486.91</v>
      </c>
      <c r="J103" s="21">
        <v>1530.95</v>
      </c>
      <c r="K103" s="21">
        <v>4153.16</v>
      </c>
      <c r="L103" s="21">
        <v>115.545</v>
      </c>
      <c r="M103" s="21">
        <v>2065.17</v>
      </c>
      <c r="N103" s="21">
        <v>283.56</v>
      </c>
      <c r="O103" s="21">
        <v>333.44</v>
      </c>
      <c r="P103" s="21">
        <v>409.9083333333333</v>
      </c>
      <c r="Q103" s="21">
        <v>467.32499999999999</v>
      </c>
      <c r="R103" s="21" t="e">
        <v>#N/A</v>
      </c>
      <c r="S103" s="21" t="e">
        <v>#N/A</v>
      </c>
      <c r="T103" s="21">
        <v>161.702</v>
      </c>
      <c r="U103" s="21">
        <v>1239.9100000000001</v>
      </c>
      <c r="V103" s="21">
        <v>2223.79</v>
      </c>
      <c r="W103" s="21"/>
      <c r="X103" s="16">
        <v>2.5600000000000002E-3</v>
      </c>
      <c r="Y103" s="16">
        <f t="shared" si="1"/>
        <v>2.130834308573526E-4</v>
      </c>
    </row>
    <row r="104" spans="1:25" x14ac:dyDescent="0.35">
      <c r="A104" s="23">
        <v>42613</v>
      </c>
      <c r="B104" s="21">
        <v>1866.87</v>
      </c>
      <c r="C104" s="21">
        <v>3855.46</v>
      </c>
      <c r="D104" s="21">
        <v>1154.5282999999999</v>
      </c>
      <c r="E104" s="21">
        <v>226.51150000000001</v>
      </c>
      <c r="F104" s="21">
        <v>350.07</v>
      </c>
      <c r="G104" s="21">
        <v>397.16</v>
      </c>
      <c r="H104" s="21">
        <v>423.04</v>
      </c>
      <c r="I104" s="21">
        <v>489.55</v>
      </c>
      <c r="J104" s="21">
        <v>1562.0429999999999</v>
      </c>
      <c r="K104" s="21">
        <v>4277.4399999999996</v>
      </c>
      <c r="L104" s="21">
        <v>116.2466</v>
      </c>
      <c r="M104" s="21">
        <v>2067.5500000000002</v>
      </c>
      <c r="N104" s="21">
        <v>283.08</v>
      </c>
      <c r="O104" s="21">
        <v>333.48</v>
      </c>
      <c r="P104" s="21">
        <v>414.28000000000003</v>
      </c>
      <c r="Q104" s="21">
        <v>475.02333333333331</v>
      </c>
      <c r="R104" s="21" t="e">
        <v>#N/A</v>
      </c>
      <c r="S104" s="21" t="e">
        <v>#N/A</v>
      </c>
      <c r="T104" s="21">
        <v>161.54050000000001</v>
      </c>
      <c r="U104" s="21">
        <v>1251.6500000000001</v>
      </c>
      <c r="V104" s="21">
        <v>2175.94</v>
      </c>
      <c r="W104" s="21"/>
      <c r="X104" s="16">
        <v>3.32E-3</v>
      </c>
      <c r="Y104" s="16">
        <f t="shared" si="1"/>
        <v>2.7624656304214845E-4</v>
      </c>
    </row>
    <row r="105" spans="1:25" x14ac:dyDescent="0.35">
      <c r="A105" s="23">
        <v>42643</v>
      </c>
      <c r="B105" s="21">
        <v>1870.04</v>
      </c>
      <c r="C105" s="21">
        <v>3793.4</v>
      </c>
      <c r="D105" s="21">
        <v>1148.7661000000001</v>
      </c>
      <c r="E105" s="21">
        <v>226.4699</v>
      </c>
      <c r="F105" s="21">
        <v>350.21</v>
      </c>
      <c r="G105" s="21">
        <v>395.9</v>
      </c>
      <c r="H105" s="21">
        <v>421.31</v>
      </c>
      <c r="I105" s="21">
        <v>488.63</v>
      </c>
      <c r="J105" s="21">
        <v>1572.2163</v>
      </c>
      <c r="K105" s="21">
        <v>4315.67</v>
      </c>
      <c r="L105" s="21">
        <v>116.1041</v>
      </c>
      <c r="M105" s="21">
        <v>2073.2399999999998</v>
      </c>
      <c r="N105" s="21">
        <v>282.5</v>
      </c>
      <c r="O105" s="21">
        <v>334.36</v>
      </c>
      <c r="P105" s="21">
        <v>417.02833333333336</v>
      </c>
      <c r="Q105" s="21">
        <v>479.86833333333334</v>
      </c>
      <c r="R105" s="21" t="e">
        <v>#N/A</v>
      </c>
      <c r="S105" s="21" t="e">
        <v>#N/A</v>
      </c>
      <c r="T105" s="21">
        <v>161.19839999999999</v>
      </c>
      <c r="U105" s="21">
        <v>1191.3900000000001</v>
      </c>
      <c r="V105" s="21">
        <v>2101.23</v>
      </c>
      <c r="W105" s="21"/>
      <c r="X105" s="16">
        <v>2.7600000000000003E-3</v>
      </c>
      <c r="Y105" s="16">
        <f t="shared" si="1"/>
        <v>2.2970956201162629E-4</v>
      </c>
    </row>
    <row r="106" spans="1:25" x14ac:dyDescent="0.35">
      <c r="A106" s="23">
        <v>42674</v>
      </c>
      <c r="B106" s="21">
        <v>1860.71</v>
      </c>
      <c r="C106" s="21">
        <v>3638.67</v>
      </c>
      <c r="D106" s="21">
        <v>1136.7144000000001</v>
      </c>
      <c r="E106" s="21">
        <v>222.97749999999999</v>
      </c>
      <c r="F106" s="21">
        <v>347.65</v>
      </c>
      <c r="G106" s="21">
        <v>392.05</v>
      </c>
      <c r="H106" s="21">
        <v>417.27</v>
      </c>
      <c r="I106" s="21">
        <v>485.13</v>
      </c>
      <c r="J106" s="21">
        <v>1577.3779</v>
      </c>
      <c r="K106" s="21">
        <v>4367.82</v>
      </c>
      <c r="L106" s="21">
        <v>115.27809999999999</v>
      </c>
      <c r="M106" s="21">
        <v>2067.79</v>
      </c>
      <c r="N106" s="21">
        <v>280.27</v>
      </c>
      <c r="O106" s="21">
        <v>334.24</v>
      </c>
      <c r="P106" s="21">
        <v>418.45499999999998</v>
      </c>
      <c r="Q106" s="21">
        <v>482.75</v>
      </c>
      <c r="R106" s="21" t="e">
        <v>#N/A</v>
      </c>
      <c r="S106" s="21" t="e">
        <v>#N/A</v>
      </c>
      <c r="T106" s="21">
        <v>159.9485</v>
      </c>
      <c r="U106" s="21">
        <v>1322.34</v>
      </c>
      <c r="V106" s="21">
        <v>2107.9</v>
      </c>
      <c r="W106" s="21"/>
      <c r="X106" s="16">
        <v>3.0200000000000001E-3</v>
      </c>
      <c r="Y106" s="16">
        <f t="shared" si="1"/>
        <v>2.5131898869834579E-4</v>
      </c>
    </row>
    <row r="107" spans="1:25" x14ac:dyDescent="0.35">
      <c r="A107" s="23">
        <v>42704</v>
      </c>
      <c r="B107" s="21">
        <v>1828.4</v>
      </c>
      <c r="C107" s="21">
        <v>3368.72</v>
      </c>
      <c r="D107" s="21">
        <v>1094.3199</v>
      </c>
      <c r="E107" s="21">
        <v>219.1728</v>
      </c>
      <c r="F107" s="21">
        <v>340</v>
      </c>
      <c r="G107" s="21">
        <v>382.89</v>
      </c>
      <c r="H107" s="21">
        <v>405.78</v>
      </c>
      <c r="I107" s="21">
        <v>470.97</v>
      </c>
      <c r="J107" s="21">
        <v>1571.758</v>
      </c>
      <c r="K107" s="21">
        <v>4278.0600000000004</v>
      </c>
      <c r="L107" s="21">
        <v>113.3729</v>
      </c>
      <c r="M107" s="21">
        <v>2032.37</v>
      </c>
      <c r="N107" s="21">
        <v>275.06</v>
      </c>
      <c r="O107" s="21">
        <v>332.52</v>
      </c>
      <c r="P107" s="21">
        <v>417.96333333333331</v>
      </c>
      <c r="Q107" s="21">
        <v>483.41666666666669</v>
      </c>
      <c r="R107" s="21" t="e">
        <v>#N/A</v>
      </c>
      <c r="S107" s="21" t="e">
        <v>#N/A</v>
      </c>
      <c r="T107" s="21">
        <v>157.06020000000001</v>
      </c>
      <c r="U107" s="21">
        <v>1357.13</v>
      </c>
      <c r="V107" s="21">
        <v>2174.08</v>
      </c>
      <c r="W107" s="21"/>
      <c r="X107" s="16">
        <v>4.7999999999999996E-3</v>
      </c>
      <c r="Y107" s="16">
        <f t="shared" si="1"/>
        <v>3.9912268925679228E-4</v>
      </c>
    </row>
    <row r="108" spans="1:25" x14ac:dyDescent="0.35">
      <c r="A108" s="23">
        <v>42735</v>
      </c>
      <c r="B108" s="21">
        <v>1827.92</v>
      </c>
      <c r="C108" s="21">
        <v>3350.77</v>
      </c>
      <c r="D108" s="21">
        <v>1107.1674</v>
      </c>
      <c r="E108" s="21">
        <v>220.0718</v>
      </c>
      <c r="F108" s="21">
        <v>339.77</v>
      </c>
      <c r="G108" s="21">
        <v>383.77</v>
      </c>
      <c r="H108" s="21">
        <v>407.89</v>
      </c>
      <c r="I108" s="21">
        <v>475.2</v>
      </c>
      <c r="J108" s="21">
        <v>1600.7760000000001</v>
      </c>
      <c r="K108" s="21">
        <v>4356.67</v>
      </c>
      <c r="L108" s="21">
        <v>114.0363</v>
      </c>
      <c r="M108" s="21">
        <v>2032.34</v>
      </c>
      <c r="N108" s="21">
        <v>273.94</v>
      </c>
      <c r="O108" s="21">
        <v>332.03</v>
      </c>
      <c r="P108" s="21">
        <v>416.37999999999994</v>
      </c>
      <c r="Q108" s="21">
        <v>482.73166666666674</v>
      </c>
      <c r="R108" s="21" t="e">
        <v>#N/A</v>
      </c>
      <c r="S108" s="21" t="e">
        <v>#N/A</v>
      </c>
      <c r="T108" s="21">
        <v>156.512</v>
      </c>
      <c r="U108" s="21">
        <v>1361.82</v>
      </c>
      <c r="V108" s="21">
        <v>2131.11</v>
      </c>
      <c r="W108" s="21"/>
      <c r="X108" s="16">
        <v>5.0000000000000001E-3</v>
      </c>
      <c r="Y108" s="16">
        <f t="shared" si="1"/>
        <v>4.1571484472902043E-4</v>
      </c>
    </row>
    <row r="109" spans="1:25" x14ac:dyDescent="0.35">
      <c r="A109" s="23">
        <v>42766</v>
      </c>
      <c r="B109" s="21">
        <v>1831.49</v>
      </c>
      <c r="C109" s="21">
        <v>3363.95</v>
      </c>
      <c r="D109" s="21">
        <v>1114.4666</v>
      </c>
      <c r="E109" s="21">
        <v>218.27809999999999</v>
      </c>
      <c r="F109" s="21">
        <v>340.2</v>
      </c>
      <c r="G109" s="21">
        <v>384.75</v>
      </c>
      <c r="H109" s="21">
        <v>408.71</v>
      </c>
      <c r="I109" s="21">
        <v>477.73</v>
      </c>
      <c r="J109" s="21">
        <v>1621.652</v>
      </c>
      <c r="K109" s="21">
        <v>4511.68</v>
      </c>
      <c r="L109" s="21">
        <v>114.1335</v>
      </c>
      <c r="M109" s="21">
        <v>2031.65</v>
      </c>
      <c r="N109" s="21">
        <v>275.62</v>
      </c>
      <c r="O109" s="21">
        <v>332.76</v>
      </c>
      <c r="P109" s="21">
        <v>414</v>
      </c>
      <c r="Q109" s="21">
        <v>481.20166666666665</v>
      </c>
      <c r="R109" s="21" t="e">
        <v>#N/A</v>
      </c>
      <c r="S109" s="21" t="e">
        <v>#N/A</v>
      </c>
      <c r="T109" s="21">
        <v>157.6146</v>
      </c>
      <c r="U109" s="21">
        <v>1386.68</v>
      </c>
      <c r="V109" s="21">
        <v>2230.89</v>
      </c>
      <c r="W109" s="21"/>
      <c r="X109" s="16">
        <v>5.1500000000000001E-3</v>
      </c>
      <c r="Y109" s="16">
        <f t="shared" si="1"/>
        <v>4.2815697513898243E-4</v>
      </c>
    </row>
    <row r="110" spans="1:25" x14ac:dyDescent="0.35">
      <c r="A110" s="23">
        <v>42794</v>
      </c>
      <c r="B110" s="21">
        <v>1836.89</v>
      </c>
      <c r="C110" s="21">
        <v>3416.37</v>
      </c>
      <c r="D110" s="21">
        <v>1122.2053000000001</v>
      </c>
      <c r="E110" s="21">
        <v>220.4118</v>
      </c>
      <c r="F110" s="21">
        <v>341.84</v>
      </c>
      <c r="G110" s="21">
        <v>387.93</v>
      </c>
      <c r="H110" s="21">
        <v>413.09</v>
      </c>
      <c r="I110" s="21">
        <v>483.94</v>
      </c>
      <c r="J110" s="21">
        <v>1644.345</v>
      </c>
      <c r="K110" s="21">
        <v>4615.4799999999996</v>
      </c>
      <c r="L110" s="21">
        <v>115.3446</v>
      </c>
      <c r="M110" s="21">
        <v>2041.37</v>
      </c>
      <c r="N110" s="21">
        <v>276.23</v>
      </c>
      <c r="O110" s="21">
        <v>333.21</v>
      </c>
      <c r="P110" s="21">
        <v>412.3416666666667</v>
      </c>
      <c r="Q110" s="21">
        <v>480.26666666666665</v>
      </c>
      <c r="R110" s="21" t="e">
        <v>#N/A</v>
      </c>
      <c r="S110" s="21" t="e">
        <v>#N/A</v>
      </c>
      <c r="T110" s="21">
        <v>157.92519999999999</v>
      </c>
      <c r="U110" s="21">
        <v>1385.92</v>
      </c>
      <c r="V110" s="21">
        <v>2173.13</v>
      </c>
      <c r="W110" s="21"/>
      <c r="X110" s="16">
        <v>6.0699999999999999E-3</v>
      </c>
      <c r="Y110" s="16">
        <f t="shared" si="1"/>
        <v>5.0443149627965589E-4</v>
      </c>
    </row>
    <row r="111" spans="1:25" x14ac:dyDescent="0.35">
      <c r="A111" s="23">
        <v>42825</v>
      </c>
      <c r="B111" s="21">
        <v>1837.81</v>
      </c>
      <c r="C111" s="21">
        <v>3397.53</v>
      </c>
      <c r="D111" s="21">
        <v>1124.6415999999999</v>
      </c>
      <c r="E111" s="21">
        <v>220.45259999999999</v>
      </c>
      <c r="F111" s="21">
        <v>341.82</v>
      </c>
      <c r="G111" s="21">
        <v>387.45</v>
      </c>
      <c r="H111" s="21">
        <v>412.05</v>
      </c>
      <c r="I111" s="21">
        <v>483.33</v>
      </c>
      <c r="J111" s="21">
        <v>1640.79</v>
      </c>
      <c r="K111" s="21">
        <v>4600.3100000000004</v>
      </c>
      <c r="L111" s="21">
        <v>115.44240000000001</v>
      </c>
      <c r="M111" s="21">
        <v>2041.95</v>
      </c>
      <c r="N111" s="21">
        <v>276.31</v>
      </c>
      <c r="O111" s="21">
        <v>333.82</v>
      </c>
      <c r="P111" s="21">
        <v>410.7983333333334</v>
      </c>
      <c r="Q111" s="21">
        <v>479.38333333333327</v>
      </c>
      <c r="R111" s="21" t="e">
        <v>#N/A</v>
      </c>
      <c r="S111" s="21" t="e">
        <v>#N/A</v>
      </c>
      <c r="T111" s="21">
        <v>157.97229999999999</v>
      </c>
      <c r="U111" s="21">
        <v>1400.43</v>
      </c>
      <c r="V111" s="21">
        <v>2153.6799999999998</v>
      </c>
      <c r="W111" s="21"/>
      <c r="X111" s="16">
        <v>7.5399999999999998E-3</v>
      </c>
      <c r="Y111" s="16">
        <f t="shared" si="1"/>
        <v>6.2617232107387011E-4</v>
      </c>
    </row>
    <row r="112" spans="1:25" x14ac:dyDescent="0.35">
      <c r="A112" s="23">
        <v>42855</v>
      </c>
      <c r="B112" s="21">
        <v>1847.64</v>
      </c>
      <c r="C112" s="21">
        <v>3449.96</v>
      </c>
      <c r="D112" s="21">
        <v>1132.8019999999999</v>
      </c>
      <c r="E112" s="21">
        <v>221.63890000000001</v>
      </c>
      <c r="F112" s="21">
        <v>344.12</v>
      </c>
      <c r="G112" s="21">
        <v>390.39</v>
      </c>
      <c r="H112" s="21">
        <v>416.2</v>
      </c>
      <c r="I112" s="21">
        <v>488.78</v>
      </c>
      <c r="J112" s="21">
        <v>1659.0309999999999</v>
      </c>
      <c r="K112" s="21">
        <v>4683.1099999999997</v>
      </c>
      <c r="L112" s="21">
        <v>116.28360000000001</v>
      </c>
      <c r="M112" s="21">
        <v>2055.27</v>
      </c>
      <c r="N112" s="21">
        <v>278.5</v>
      </c>
      <c r="O112" s="21">
        <v>334.87</v>
      </c>
      <c r="P112" s="21">
        <v>410.61999999999995</v>
      </c>
      <c r="Q112" s="21">
        <v>479.99166666666662</v>
      </c>
      <c r="R112" s="21" t="e">
        <v>#N/A</v>
      </c>
      <c r="S112" s="21" t="e">
        <v>#N/A</v>
      </c>
      <c r="T112" s="21">
        <v>159.2328</v>
      </c>
      <c r="U112" s="21">
        <v>1370.21</v>
      </c>
      <c r="V112" s="21">
        <v>2097.61</v>
      </c>
      <c r="W112" s="21"/>
      <c r="X112" s="16">
        <v>7.9500000000000005E-3</v>
      </c>
      <c r="Y112" s="16">
        <f t="shared" si="1"/>
        <v>6.6009820601808933E-4</v>
      </c>
    </row>
    <row r="113" spans="1:25" x14ac:dyDescent="0.35">
      <c r="A113" s="23">
        <v>42886</v>
      </c>
      <c r="B113" s="21">
        <v>1855.03</v>
      </c>
      <c r="C113" s="21">
        <v>3518.19</v>
      </c>
      <c r="D113" s="21">
        <v>1150.7805000000001</v>
      </c>
      <c r="E113" s="21">
        <v>222.9126</v>
      </c>
      <c r="F113" s="21">
        <v>346.32</v>
      </c>
      <c r="G113" s="21">
        <v>393.34</v>
      </c>
      <c r="H113" s="21">
        <v>420.83</v>
      </c>
      <c r="I113" s="21">
        <v>494.71</v>
      </c>
      <c r="J113" s="21">
        <v>1673.203</v>
      </c>
      <c r="K113" s="21">
        <v>4734.93</v>
      </c>
      <c r="L113" s="21">
        <v>117.08620000000001</v>
      </c>
      <c r="M113" s="21">
        <v>2068.0300000000002</v>
      </c>
      <c r="N113" s="21">
        <v>280.89999999999998</v>
      </c>
      <c r="O113" s="21">
        <v>336.05</v>
      </c>
      <c r="P113" s="21">
        <v>413.12833333333327</v>
      </c>
      <c r="Q113" s="21">
        <v>483.94833333333332</v>
      </c>
      <c r="R113" s="21" t="e">
        <v>#N/A</v>
      </c>
      <c r="S113" s="21" t="e">
        <v>#N/A</v>
      </c>
      <c r="T113" s="21">
        <v>160.63630000000001</v>
      </c>
      <c r="U113" s="21">
        <v>1415.36</v>
      </c>
      <c r="V113" s="21">
        <v>2075.2199999999998</v>
      </c>
      <c r="W113" s="21"/>
      <c r="X113" s="16">
        <v>9.7299999999999991E-3</v>
      </c>
      <c r="Y113" s="16">
        <f t="shared" si="1"/>
        <v>8.0723967457130286E-4</v>
      </c>
    </row>
    <row r="114" spans="1:25" x14ac:dyDescent="0.35">
      <c r="A114" s="23">
        <v>42916</v>
      </c>
      <c r="B114" s="21">
        <v>1849.99</v>
      </c>
      <c r="C114" s="21">
        <v>3532.19</v>
      </c>
      <c r="D114" s="21">
        <v>1146.6531</v>
      </c>
      <c r="E114" s="21">
        <v>221.84530000000001</v>
      </c>
      <c r="F114" s="21">
        <v>345.45</v>
      </c>
      <c r="G114" s="21">
        <v>393.8</v>
      </c>
      <c r="H114" s="21">
        <v>422.07</v>
      </c>
      <c r="I114" s="21">
        <v>496.29</v>
      </c>
      <c r="J114" s="21">
        <v>1675.578</v>
      </c>
      <c r="K114" s="21">
        <v>4736.1400000000003</v>
      </c>
      <c r="L114" s="21">
        <v>116.84439999999999</v>
      </c>
      <c r="M114" s="21">
        <v>2059.7199999999998</v>
      </c>
      <c r="N114" s="21">
        <v>279.93</v>
      </c>
      <c r="O114" s="21">
        <v>335.81</v>
      </c>
      <c r="P114" s="21">
        <v>415.49166666666673</v>
      </c>
      <c r="Q114" s="21">
        <v>487.46333333333331</v>
      </c>
      <c r="R114" s="21" t="e">
        <v>#N/A</v>
      </c>
      <c r="S114" s="21" t="e">
        <v>#N/A</v>
      </c>
      <c r="T114" s="21">
        <v>160.107</v>
      </c>
      <c r="U114" s="21">
        <v>1425.14</v>
      </c>
      <c r="V114" s="21">
        <v>2041.03</v>
      </c>
      <c r="W114" s="21"/>
      <c r="X114" s="16">
        <v>1.014E-2</v>
      </c>
      <c r="Y114" s="16">
        <f t="shared" si="1"/>
        <v>8.410981171809162E-4</v>
      </c>
    </row>
    <row r="115" spans="1:25" x14ac:dyDescent="0.35">
      <c r="A115" s="23">
        <v>42947</v>
      </c>
      <c r="B115" s="21">
        <v>1855.94</v>
      </c>
      <c r="C115" s="21">
        <v>3510.36</v>
      </c>
      <c r="D115" s="21">
        <v>1155.9302</v>
      </c>
      <c r="E115" s="21">
        <v>222.15860000000001</v>
      </c>
      <c r="F115" s="21">
        <v>346.48</v>
      </c>
      <c r="G115" s="21">
        <v>395.83</v>
      </c>
      <c r="H115" s="21">
        <v>424.94</v>
      </c>
      <c r="I115" s="21">
        <v>500.78</v>
      </c>
      <c r="J115" s="21">
        <v>1693.3520000000001</v>
      </c>
      <c r="K115" s="21">
        <v>4825.82</v>
      </c>
      <c r="L115" s="21">
        <v>117.56910000000001</v>
      </c>
      <c r="M115" s="21">
        <v>2069.0300000000002</v>
      </c>
      <c r="N115" s="21">
        <v>281.66000000000003</v>
      </c>
      <c r="O115" s="21">
        <v>336.73</v>
      </c>
      <c r="P115" s="21">
        <v>418.19666666666666</v>
      </c>
      <c r="Q115" s="21">
        <v>491.30500000000001</v>
      </c>
      <c r="R115" s="21" t="e">
        <v>#N/A</v>
      </c>
      <c r="S115" s="21" t="e">
        <v>#N/A</v>
      </c>
      <c r="T115" s="21">
        <v>161.1361</v>
      </c>
      <c r="U115" s="21">
        <v>1405.28</v>
      </c>
      <c r="V115" s="21">
        <v>2022.42</v>
      </c>
      <c r="W115" s="21"/>
      <c r="X115" s="16">
        <v>1.0749999999999999E-2</v>
      </c>
      <c r="Y115" s="16">
        <f t="shared" si="1"/>
        <v>8.9144956674491738E-4</v>
      </c>
    </row>
    <row r="116" spans="1:25" x14ac:dyDescent="0.35">
      <c r="A116" s="23">
        <v>42978</v>
      </c>
      <c r="B116" s="21">
        <v>1867.48</v>
      </c>
      <c r="C116" s="21">
        <v>3630.93</v>
      </c>
      <c r="D116" s="21">
        <v>1164.7267999999999</v>
      </c>
      <c r="E116" s="21">
        <v>224.07980000000001</v>
      </c>
      <c r="F116" s="21">
        <v>349.66</v>
      </c>
      <c r="G116" s="21">
        <v>399.42</v>
      </c>
      <c r="H116" s="21">
        <v>428.89</v>
      </c>
      <c r="I116" s="21">
        <v>504.58</v>
      </c>
      <c r="J116" s="21">
        <v>1691.9749999999999</v>
      </c>
      <c r="K116" s="21">
        <v>4857.79</v>
      </c>
      <c r="L116" s="21">
        <v>118.5946</v>
      </c>
      <c r="M116" s="21">
        <v>2084.15</v>
      </c>
      <c r="N116" s="21">
        <v>284.85000000000002</v>
      </c>
      <c r="O116" s="21">
        <v>338.01</v>
      </c>
      <c r="P116" s="21">
        <v>420.82999999999993</v>
      </c>
      <c r="Q116" s="21">
        <v>494.74499999999995</v>
      </c>
      <c r="R116" s="21" t="e">
        <v>#N/A</v>
      </c>
      <c r="S116" s="21" t="e">
        <v>#N/A</v>
      </c>
      <c r="T116" s="21">
        <v>162.92769999999999</v>
      </c>
      <c r="U116" s="21">
        <v>1490.86</v>
      </c>
      <c r="V116" s="21">
        <v>2021.16</v>
      </c>
      <c r="W116" s="21"/>
      <c r="X116" s="16">
        <v>9.9399999999999992E-3</v>
      </c>
      <c r="Y116" s="16">
        <f t="shared" si="1"/>
        <v>8.2458337776469826E-4</v>
      </c>
    </row>
    <row r="117" spans="1:25" x14ac:dyDescent="0.35">
      <c r="A117" s="23">
        <v>43008</v>
      </c>
      <c r="B117" s="21">
        <v>1856.36</v>
      </c>
      <c r="C117" s="21">
        <v>3552.51</v>
      </c>
      <c r="D117" s="21">
        <v>1158.8051</v>
      </c>
      <c r="E117" s="21">
        <v>222.84639999999999</v>
      </c>
      <c r="F117" s="21">
        <v>347.62</v>
      </c>
      <c r="G117" s="21">
        <v>397.59</v>
      </c>
      <c r="H117" s="21">
        <v>427.39</v>
      </c>
      <c r="I117" s="21">
        <v>504.4</v>
      </c>
      <c r="J117" s="21">
        <v>1706.1751999999999</v>
      </c>
      <c r="K117" s="21">
        <v>4947.97</v>
      </c>
      <c r="L117" s="21">
        <v>118.2334</v>
      </c>
      <c r="M117" s="21">
        <v>2079.48</v>
      </c>
      <c r="N117" s="21">
        <v>282.13</v>
      </c>
      <c r="O117" s="21">
        <v>337.23</v>
      </c>
      <c r="P117" s="21">
        <v>423.3866666666666</v>
      </c>
      <c r="Q117" s="21">
        <v>498.25666666666666</v>
      </c>
      <c r="R117" s="21" t="e">
        <v>#N/A</v>
      </c>
      <c r="S117" s="21" t="e">
        <v>#N/A</v>
      </c>
      <c r="T117" s="21">
        <v>161.37860000000001</v>
      </c>
      <c r="U117" s="21">
        <v>1502.77</v>
      </c>
      <c r="V117" s="21">
        <v>2038.55</v>
      </c>
      <c r="W117" s="21"/>
      <c r="X117" s="16">
        <v>1.0489999999999999E-2</v>
      </c>
      <c r="Y117" s="16">
        <f t="shared" si="1"/>
        <v>8.6999170022172834E-4</v>
      </c>
    </row>
    <row r="118" spans="1:25" x14ac:dyDescent="0.35">
      <c r="A118" s="23">
        <v>43039</v>
      </c>
      <c r="B118" s="21">
        <v>1853.94</v>
      </c>
      <c r="C118" s="21">
        <v>3549.82</v>
      </c>
      <c r="D118" s="21">
        <v>1161.6334999999999</v>
      </c>
      <c r="E118" s="21">
        <v>223.8623</v>
      </c>
      <c r="F118" s="21">
        <v>347.39</v>
      </c>
      <c r="G118" s="21">
        <v>398.56</v>
      </c>
      <c r="H118" s="21">
        <v>429.01</v>
      </c>
      <c r="I118" s="21">
        <v>506.39</v>
      </c>
      <c r="J118" s="21">
        <v>1713.1278</v>
      </c>
      <c r="K118" s="21">
        <v>4980.47</v>
      </c>
      <c r="L118" s="21">
        <v>119.0073</v>
      </c>
      <c r="M118" s="21">
        <v>2078.83</v>
      </c>
      <c r="N118" s="21">
        <v>283.24</v>
      </c>
      <c r="O118" s="21">
        <v>337.43</v>
      </c>
      <c r="P118" s="21">
        <v>425.5216666666667</v>
      </c>
      <c r="Q118" s="21">
        <v>501.19166666666661</v>
      </c>
      <c r="R118" s="21" t="e">
        <v>#N/A</v>
      </c>
      <c r="S118" s="21" t="e">
        <v>#N/A</v>
      </c>
      <c r="T118" s="21">
        <v>162.0582</v>
      </c>
      <c r="U118" s="21">
        <v>1544.14</v>
      </c>
      <c r="V118" s="21">
        <v>2042.16</v>
      </c>
      <c r="W118" s="21"/>
      <c r="X118" s="16">
        <v>1.1319999999999998E-2</v>
      </c>
      <c r="Y118" s="16">
        <f t="shared" si="1"/>
        <v>9.3847411281711146E-4</v>
      </c>
    </row>
    <row r="119" spans="1:25" x14ac:dyDescent="0.35">
      <c r="A119" s="23">
        <v>43069</v>
      </c>
      <c r="B119" s="21">
        <v>1848.23</v>
      </c>
      <c r="C119" s="21">
        <v>3575.27</v>
      </c>
      <c r="D119" s="21">
        <v>1155.4136000000001</v>
      </c>
      <c r="E119" s="21">
        <v>224.88560000000001</v>
      </c>
      <c r="F119" s="21">
        <v>346.89</v>
      </c>
      <c r="G119" s="21">
        <v>398.04</v>
      </c>
      <c r="H119" s="21">
        <v>428.6</v>
      </c>
      <c r="I119" s="21">
        <v>506.08</v>
      </c>
      <c r="J119" s="21">
        <v>1708.7927</v>
      </c>
      <c r="K119" s="21">
        <v>4966.01</v>
      </c>
      <c r="L119" s="21">
        <v>119.05459999999999</v>
      </c>
      <c r="M119" s="21">
        <v>2075.83</v>
      </c>
      <c r="N119" s="21">
        <v>282.31</v>
      </c>
      <c r="O119" s="21">
        <v>337.11</v>
      </c>
      <c r="P119" s="21">
        <v>426.81666666666666</v>
      </c>
      <c r="Q119" s="21">
        <v>503.08666666666659</v>
      </c>
      <c r="R119" s="21" t="e">
        <v>#N/A</v>
      </c>
      <c r="S119" s="21" t="e">
        <v>#N/A</v>
      </c>
      <c r="T119" s="21">
        <v>161.55619999999999</v>
      </c>
      <c r="U119" s="21">
        <v>1535.51</v>
      </c>
      <c r="V119" s="21">
        <v>2046.97</v>
      </c>
      <c r="W119" s="21"/>
      <c r="X119" s="16">
        <v>1.26E-2</v>
      </c>
      <c r="Y119" s="16">
        <f t="shared" si="1"/>
        <v>1.0439846190974933E-3</v>
      </c>
    </row>
    <row r="120" spans="1:25" x14ac:dyDescent="0.35">
      <c r="A120" s="23">
        <v>43100</v>
      </c>
      <c r="B120" s="21">
        <v>1848.73</v>
      </c>
      <c r="C120" s="21">
        <v>3636.65</v>
      </c>
      <c r="D120" s="21">
        <v>1167.4901</v>
      </c>
      <c r="E120" s="21">
        <v>224.76769999999999</v>
      </c>
      <c r="F120" s="21">
        <v>347.96</v>
      </c>
      <c r="G120" s="21">
        <v>400.01</v>
      </c>
      <c r="H120" s="21">
        <v>432.27</v>
      </c>
      <c r="I120" s="21">
        <v>510.58</v>
      </c>
      <c r="J120" s="21">
        <v>1713.2565999999999</v>
      </c>
      <c r="K120" s="21">
        <v>5011.55</v>
      </c>
      <c r="L120" s="21">
        <v>119.3571</v>
      </c>
      <c r="M120" s="21">
        <v>2082.61</v>
      </c>
      <c r="N120" s="21">
        <v>283.12</v>
      </c>
      <c r="O120" s="21">
        <v>337.19</v>
      </c>
      <c r="P120" s="21">
        <v>428.51666666666665</v>
      </c>
      <c r="Q120" s="21">
        <v>505.46833333333325</v>
      </c>
      <c r="R120" s="21" t="e">
        <v>#N/A</v>
      </c>
      <c r="S120" s="21" t="e">
        <v>#N/A</v>
      </c>
      <c r="T120" s="21">
        <v>162.01310000000001</v>
      </c>
      <c r="U120" s="21">
        <v>1574.98</v>
      </c>
      <c r="V120" s="21">
        <v>1970.72</v>
      </c>
      <c r="W120" s="21"/>
      <c r="X120" s="16">
        <v>1.3819999999999999E-2</v>
      </c>
      <c r="Y120" s="16">
        <f t="shared" si="1"/>
        <v>1.1444355854044463E-3</v>
      </c>
    </row>
    <row r="121" spans="1:25" x14ac:dyDescent="0.35">
      <c r="A121" s="23">
        <v>43131</v>
      </c>
      <c r="B121" s="21">
        <v>1830.69</v>
      </c>
      <c r="C121" s="21">
        <v>3519.21</v>
      </c>
      <c r="D121" s="21">
        <v>1153.7452000000001</v>
      </c>
      <c r="E121" s="21">
        <v>223.50540000000001</v>
      </c>
      <c r="F121" s="21">
        <v>343.62</v>
      </c>
      <c r="G121" s="21">
        <v>396.24</v>
      </c>
      <c r="H121" s="21">
        <v>427.03</v>
      </c>
      <c r="I121" s="21">
        <v>507.28</v>
      </c>
      <c r="J121" s="21">
        <v>1722.2601999999999</v>
      </c>
      <c r="K121" s="21">
        <v>5093.59</v>
      </c>
      <c r="L121" s="21">
        <v>118.71810000000001</v>
      </c>
      <c r="M121" s="21">
        <v>2058.1999999999998</v>
      </c>
      <c r="N121" s="21">
        <v>280.05</v>
      </c>
      <c r="O121" s="21">
        <v>336.22</v>
      </c>
      <c r="P121" s="21">
        <v>428.86499999999995</v>
      </c>
      <c r="Q121" s="21">
        <v>506.55166666666656</v>
      </c>
      <c r="R121" s="21" t="e">
        <v>#N/A</v>
      </c>
      <c r="S121" s="21">
        <v>98.874799999999993</v>
      </c>
      <c r="T121" s="21">
        <v>160.40610000000001</v>
      </c>
      <c r="U121" s="21">
        <v>1512.45</v>
      </c>
      <c r="V121" s="21">
        <v>1874.5</v>
      </c>
      <c r="W121" s="21"/>
      <c r="X121" s="16">
        <v>1.4590000000000001E-2</v>
      </c>
      <c r="Y121" s="16">
        <f t="shared" si="1"/>
        <v>1.2077779437853486E-3</v>
      </c>
    </row>
    <row r="122" spans="1:25" x14ac:dyDescent="0.35">
      <c r="A122" s="23">
        <v>43159</v>
      </c>
      <c r="B122" s="21">
        <v>1825.2</v>
      </c>
      <c r="C122" s="21">
        <v>3413.53</v>
      </c>
      <c r="D122" s="21">
        <v>1150.2979</v>
      </c>
      <c r="E122" s="21">
        <v>224.125</v>
      </c>
      <c r="F122" s="21">
        <v>341.22</v>
      </c>
      <c r="G122" s="21">
        <v>392.6</v>
      </c>
      <c r="H122" s="21">
        <v>420.15</v>
      </c>
      <c r="I122" s="21">
        <v>498.59</v>
      </c>
      <c r="J122" s="21">
        <v>1709.6541</v>
      </c>
      <c r="K122" s="21">
        <v>4962.42</v>
      </c>
      <c r="L122" s="21">
        <v>118.20099999999999</v>
      </c>
      <c r="M122" s="21">
        <v>2044.7</v>
      </c>
      <c r="N122" s="21">
        <v>278.32</v>
      </c>
      <c r="O122" s="21">
        <v>335.3</v>
      </c>
      <c r="P122" s="21">
        <v>427.40833333333336</v>
      </c>
      <c r="Q122" s="21">
        <v>505.55333333333328</v>
      </c>
      <c r="R122" s="21" t="e">
        <v>#N/A</v>
      </c>
      <c r="S122" s="21">
        <v>98.164000000000001</v>
      </c>
      <c r="T122" s="21">
        <v>159.4145</v>
      </c>
      <c r="U122" s="21">
        <v>1529.43</v>
      </c>
      <c r="V122" s="21">
        <v>1894.52</v>
      </c>
      <c r="W122" s="21"/>
      <c r="X122" s="16">
        <v>1.6559999999999998E-2</v>
      </c>
      <c r="Y122" s="16">
        <f t="shared" si="1"/>
        <v>1.3696352960459457E-3</v>
      </c>
    </row>
    <row r="123" spans="1:25" x14ac:dyDescent="0.35">
      <c r="A123" s="23">
        <v>43190</v>
      </c>
      <c r="B123" s="21">
        <v>1834.91</v>
      </c>
      <c r="C123" s="21">
        <v>3516.87</v>
      </c>
      <c r="D123" s="21">
        <v>1154.5436999999999</v>
      </c>
      <c r="E123" s="21">
        <v>227.0461</v>
      </c>
      <c r="F123" s="21">
        <v>343.89</v>
      </c>
      <c r="G123" s="21">
        <v>394.6</v>
      </c>
      <c r="H123" s="21">
        <v>421.49</v>
      </c>
      <c r="I123" s="21">
        <v>499.59</v>
      </c>
      <c r="J123" s="21">
        <v>1700.2905000000001</v>
      </c>
      <c r="K123" s="21">
        <v>4885.41</v>
      </c>
      <c r="L123" s="21">
        <v>118.574</v>
      </c>
      <c r="M123" s="21">
        <v>2057.7600000000002</v>
      </c>
      <c r="N123" s="21">
        <v>279.39999999999998</v>
      </c>
      <c r="O123" s="21">
        <v>335.89</v>
      </c>
      <c r="P123" s="21">
        <v>426.42500000000001</v>
      </c>
      <c r="Q123" s="21">
        <v>504.75166666666672</v>
      </c>
      <c r="R123" s="21" t="e">
        <v>#N/A</v>
      </c>
      <c r="S123" s="21">
        <v>98.720500000000001</v>
      </c>
      <c r="T123" s="21">
        <v>160.07249999999999</v>
      </c>
      <c r="U123" s="21">
        <v>1541.88</v>
      </c>
      <c r="V123" s="21">
        <v>1961.42</v>
      </c>
      <c r="W123" s="21"/>
      <c r="X123" s="16">
        <v>1.7059999999999999E-2</v>
      </c>
      <c r="Y123" s="16">
        <f t="shared" si="1"/>
        <v>1.4106700916622916E-3</v>
      </c>
    </row>
    <row r="124" spans="1:25" x14ac:dyDescent="0.35">
      <c r="A124" s="23">
        <v>43220</v>
      </c>
      <c r="B124" s="21">
        <v>1824.27</v>
      </c>
      <c r="C124" s="21">
        <v>3448.5</v>
      </c>
      <c r="D124" s="21">
        <v>1150.4232999999999</v>
      </c>
      <c r="E124" s="21">
        <v>226.37190000000001</v>
      </c>
      <c r="F124" s="21">
        <v>341.58</v>
      </c>
      <c r="G124" s="21">
        <v>391.99</v>
      </c>
      <c r="H124" s="21">
        <v>417.58</v>
      </c>
      <c r="I124" s="21">
        <v>494.56</v>
      </c>
      <c r="J124" s="21">
        <v>1711.0300999999999</v>
      </c>
      <c r="K124" s="21">
        <v>4933.28</v>
      </c>
      <c r="L124" s="21">
        <v>118.3066</v>
      </c>
      <c r="M124" s="21">
        <v>2047.42</v>
      </c>
      <c r="N124" s="21">
        <v>277.45999999999998</v>
      </c>
      <c r="O124" s="21">
        <v>335.76</v>
      </c>
      <c r="P124" s="21">
        <v>424.52</v>
      </c>
      <c r="Q124" s="21">
        <v>502.78</v>
      </c>
      <c r="R124" s="21" t="e">
        <v>#N/A</v>
      </c>
      <c r="S124" s="21">
        <v>98.213399999999993</v>
      </c>
      <c r="T124" s="21">
        <v>159.0318</v>
      </c>
      <c r="U124" s="21">
        <v>1633.61</v>
      </c>
      <c r="V124" s="21">
        <v>2056.86</v>
      </c>
      <c r="W124" s="21"/>
      <c r="X124" s="16">
        <v>1.8020000000000001E-2</v>
      </c>
      <c r="Y124" s="16">
        <f t="shared" si="1"/>
        <v>1.4894050887224175E-3</v>
      </c>
    </row>
    <row r="125" spans="1:25" x14ac:dyDescent="0.35">
      <c r="A125" s="23">
        <v>43251</v>
      </c>
      <c r="B125" s="21">
        <v>1836.19</v>
      </c>
      <c r="C125" s="21">
        <v>3521.46</v>
      </c>
      <c r="D125" s="21">
        <v>1163.597</v>
      </c>
      <c r="E125" s="21">
        <v>226.62129999999999</v>
      </c>
      <c r="F125" s="21">
        <v>344.32</v>
      </c>
      <c r="G125" s="21">
        <v>394.63</v>
      </c>
      <c r="H125" s="21">
        <v>420.05</v>
      </c>
      <c r="I125" s="21">
        <v>496.3</v>
      </c>
      <c r="J125" s="21">
        <v>1711.5900999999999</v>
      </c>
      <c r="K125" s="21">
        <v>4880.63</v>
      </c>
      <c r="L125" s="21">
        <v>118.5395</v>
      </c>
      <c r="M125" s="21">
        <v>2061.73</v>
      </c>
      <c r="N125" s="21">
        <v>279.69</v>
      </c>
      <c r="O125" s="21">
        <v>337.13</v>
      </c>
      <c r="P125" s="21">
        <v>423.09500000000003</v>
      </c>
      <c r="Q125" s="21">
        <v>501.15000000000003</v>
      </c>
      <c r="R125" s="21" t="e">
        <v>#N/A</v>
      </c>
      <c r="S125" s="21">
        <v>98.872600000000006</v>
      </c>
      <c r="T125" s="21">
        <v>160.30789999999999</v>
      </c>
      <c r="U125" s="21">
        <v>1643.07</v>
      </c>
      <c r="V125" s="21">
        <v>2076.6999999999998</v>
      </c>
      <c r="W125" s="21"/>
      <c r="X125" s="16">
        <v>1.9E-2</v>
      </c>
      <c r="Y125" s="16">
        <f t="shared" si="1"/>
        <v>1.5697102274137009E-3</v>
      </c>
    </row>
    <row r="126" spans="1:25" x14ac:dyDescent="0.35">
      <c r="A126" s="23">
        <v>43281</v>
      </c>
      <c r="B126" s="21">
        <v>1835.98</v>
      </c>
      <c r="C126" s="21">
        <v>3527.72</v>
      </c>
      <c r="D126" s="21">
        <v>1164.5902000000001</v>
      </c>
      <c r="E126" s="21">
        <v>227.55199999999999</v>
      </c>
      <c r="F126" s="21">
        <v>344.41</v>
      </c>
      <c r="G126" s="21">
        <v>393.78</v>
      </c>
      <c r="H126" s="21">
        <v>417.89</v>
      </c>
      <c r="I126" s="21">
        <v>493.5</v>
      </c>
      <c r="J126" s="21">
        <v>1718.9755</v>
      </c>
      <c r="K126" s="21">
        <v>4874.2700000000004</v>
      </c>
      <c r="L126" s="21">
        <v>118.581</v>
      </c>
      <c r="M126" s="21">
        <v>2062.73</v>
      </c>
      <c r="N126" s="21">
        <v>279.22000000000003</v>
      </c>
      <c r="O126" s="21">
        <v>337.28</v>
      </c>
      <c r="P126" s="21">
        <v>420.69833333333332</v>
      </c>
      <c r="Q126" s="21">
        <v>498.30333333333328</v>
      </c>
      <c r="R126" s="21" t="e">
        <v>#N/A</v>
      </c>
      <c r="S126" s="21">
        <v>98.9131</v>
      </c>
      <c r="T126" s="21">
        <v>160.11250000000001</v>
      </c>
      <c r="U126" s="21">
        <v>1670.8</v>
      </c>
      <c r="V126" s="21">
        <v>2087.23</v>
      </c>
      <c r="W126" s="21"/>
      <c r="X126" s="16">
        <v>1.917E-2</v>
      </c>
      <c r="Y126" s="16">
        <f t="shared" si="1"/>
        <v>1.5836335045535943E-3</v>
      </c>
    </row>
    <row r="127" spans="1:25" x14ac:dyDescent="0.35">
      <c r="A127" s="23">
        <v>43312</v>
      </c>
      <c r="B127" s="21">
        <v>1832.27</v>
      </c>
      <c r="C127" s="21">
        <v>3475.81</v>
      </c>
      <c r="D127" s="21">
        <v>1167.4160999999999</v>
      </c>
      <c r="E127" s="21">
        <v>227.50280000000001</v>
      </c>
      <c r="F127" s="21">
        <v>343.5</v>
      </c>
      <c r="G127" s="21">
        <v>394.3</v>
      </c>
      <c r="H127" s="21">
        <v>420.64</v>
      </c>
      <c r="I127" s="21">
        <v>498.59</v>
      </c>
      <c r="J127" s="21">
        <v>1737.5410999999999</v>
      </c>
      <c r="K127" s="21">
        <v>4937.74</v>
      </c>
      <c r="L127" s="21">
        <v>119.1219</v>
      </c>
      <c r="M127" s="21">
        <v>2060.5500000000002</v>
      </c>
      <c r="N127" s="21">
        <v>279.14999999999998</v>
      </c>
      <c r="O127" s="21">
        <v>337.61</v>
      </c>
      <c r="P127" s="21">
        <v>419.63333333333327</v>
      </c>
      <c r="Q127" s="21">
        <v>496.85500000000002</v>
      </c>
      <c r="R127" s="21" t="e">
        <v>#N/A</v>
      </c>
      <c r="S127" s="21">
        <v>98.780699999999996</v>
      </c>
      <c r="T127" s="21">
        <v>160.1379</v>
      </c>
      <c r="U127" s="21">
        <v>1740.75</v>
      </c>
      <c r="V127" s="21">
        <v>2120.11</v>
      </c>
      <c r="W127" s="21"/>
      <c r="X127" s="16">
        <v>2.0230000000000001E-2</v>
      </c>
      <c r="Y127" s="16">
        <f t="shared" si="1"/>
        <v>1.6704012412538383E-3</v>
      </c>
    </row>
    <row r="128" spans="1:25" x14ac:dyDescent="0.35">
      <c r="A128" s="23">
        <v>43343</v>
      </c>
      <c r="B128" s="21">
        <v>1843.26</v>
      </c>
      <c r="C128" s="21">
        <v>3530.61</v>
      </c>
      <c r="D128" s="21">
        <v>1170.4141999999999</v>
      </c>
      <c r="E128" s="21">
        <v>228.06469999999999</v>
      </c>
      <c r="F128" s="21">
        <v>345.88</v>
      </c>
      <c r="G128" s="21">
        <v>396.96</v>
      </c>
      <c r="H128" s="21">
        <v>423.02</v>
      </c>
      <c r="I128" s="21">
        <v>500.73</v>
      </c>
      <c r="J128" s="21">
        <v>1750.0675000000001</v>
      </c>
      <c r="K128" s="21">
        <v>4989.12</v>
      </c>
      <c r="L128" s="21">
        <v>119.6276</v>
      </c>
      <c r="M128" s="21">
        <v>2073.0300000000002</v>
      </c>
      <c r="N128" s="21">
        <v>281.89</v>
      </c>
      <c r="O128" s="21">
        <v>339.08</v>
      </c>
      <c r="P128" s="21">
        <v>420.11166666666662</v>
      </c>
      <c r="Q128" s="21">
        <v>497.21166666666664</v>
      </c>
      <c r="R128" s="21" t="e">
        <v>#N/A</v>
      </c>
      <c r="S128" s="21">
        <v>99.418300000000002</v>
      </c>
      <c r="T128" s="21">
        <v>161.72810000000001</v>
      </c>
      <c r="U128" s="21">
        <v>1696.57</v>
      </c>
      <c r="V128" s="21">
        <v>2071.7800000000002</v>
      </c>
      <c r="W128" s="21"/>
      <c r="X128" s="16">
        <v>2.0979999999999999E-2</v>
      </c>
      <c r="Y128" s="16">
        <f t="shared" si="1"/>
        <v>1.731743601740332E-3</v>
      </c>
    </row>
    <row r="129" spans="1:25" x14ac:dyDescent="0.35">
      <c r="A129" s="23">
        <v>43373</v>
      </c>
      <c r="B129" s="21">
        <v>1833.71</v>
      </c>
      <c r="C129" s="21">
        <v>3426.03</v>
      </c>
      <c r="D129" s="21">
        <v>1162.8369</v>
      </c>
      <c r="E129" s="21">
        <v>227.4289</v>
      </c>
      <c r="F129" s="21">
        <v>343.22</v>
      </c>
      <c r="G129" s="21">
        <v>395.12</v>
      </c>
      <c r="H129" s="21">
        <v>420.74</v>
      </c>
      <c r="I129" s="21">
        <v>500.17</v>
      </c>
      <c r="J129" s="21">
        <v>1759.6985</v>
      </c>
      <c r="K129" s="21">
        <v>5022.93</v>
      </c>
      <c r="L129" s="21">
        <v>119.3557</v>
      </c>
      <c r="M129" s="21">
        <v>2060.3000000000002</v>
      </c>
      <c r="N129" s="21">
        <v>280.5</v>
      </c>
      <c r="O129" s="21">
        <v>338.95</v>
      </c>
      <c r="P129" s="21">
        <v>419.98666666666668</v>
      </c>
      <c r="Q129" s="21">
        <v>497.30833333333339</v>
      </c>
      <c r="R129" s="21" t="e">
        <v>#N/A</v>
      </c>
      <c r="S129" s="21">
        <v>98.771000000000001</v>
      </c>
      <c r="T129" s="21">
        <v>160.99090000000001</v>
      </c>
      <c r="U129" s="21">
        <v>1511.41</v>
      </c>
      <c r="V129" s="21">
        <v>2042.28</v>
      </c>
      <c r="W129" s="21"/>
      <c r="X129" s="16">
        <v>2.2000000000000002E-2</v>
      </c>
      <c r="Y129" s="16">
        <f t="shared" si="1"/>
        <v>1.8151029571964461E-3</v>
      </c>
    </row>
    <row r="130" spans="1:25" x14ac:dyDescent="0.35">
      <c r="A130" s="23">
        <v>43404</v>
      </c>
      <c r="B130" s="21">
        <v>1834.38</v>
      </c>
      <c r="C130" s="21">
        <v>3321.66</v>
      </c>
      <c r="D130" s="21">
        <v>1155.6760999999999</v>
      </c>
      <c r="E130" s="21">
        <v>227.87780000000001</v>
      </c>
      <c r="F130" s="21">
        <v>341.41</v>
      </c>
      <c r="G130" s="21">
        <v>391.98</v>
      </c>
      <c r="H130" s="21">
        <v>415.19</v>
      </c>
      <c r="I130" s="21">
        <v>491.38</v>
      </c>
      <c r="J130" s="21">
        <v>1732.4849999999999</v>
      </c>
      <c r="K130" s="21">
        <v>4892.2299999999996</v>
      </c>
      <c r="L130" s="21">
        <v>118.9971</v>
      </c>
      <c r="M130" s="21">
        <v>2047.31</v>
      </c>
      <c r="N130" s="21">
        <v>278.94</v>
      </c>
      <c r="O130" s="21">
        <v>339.19</v>
      </c>
      <c r="P130" s="21">
        <v>419.58833333333337</v>
      </c>
      <c r="Q130" s="21">
        <v>496.77833333333336</v>
      </c>
      <c r="R130" s="21" t="e">
        <v>#N/A</v>
      </c>
      <c r="S130" s="21">
        <v>98.129000000000005</v>
      </c>
      <c r="T130" s="21">
        <v>160.16820000000001</v>
      </c>
      <c r="U130" s="21">
        <v>1533.27</v>
      </c>
      <c r="V130" s="21">
        <v>2114.61</v>
      </c>
      <c r="W130" s="21"/>
      <c r="X130" s="16">
        <v>2.3279999999999999E-2</v>
      </c>
      <c r="Y130" s="16">
        <f t="shared" si="1"/>
        <v>1.9196029423682592E-3</v>
      </c>
    </row>
    <row r="131" spans="1:25" x14ac:dyDescent="0.35">
      <c r="A131" s="23">
        <v>43434</v>
      </c>
      <c r="B131" s="21">
        <v>1847.08</v>
      </c>
      <c r="C131" s="21">
        <v>3384.52</v>
      </c>
      <c r="D131" s="21">
        <v>1168.4675</v>
      </c>
      <c r="E131" s="21">
        <v>229.32929999999999</v>
      </c>
      <c r="F131" s="21">
        <v>344.39</v>
      </c>
      <c r="G131" s="21">
        <v>393.59</v>
      </c>
      <c r="H131" s="21">
        <v>415.29</v>
      </c>
      <c r="I131" s="21">
        <v>489.45</v>
      </c>
      <c r="J131" s="21">
        <v>1719.3379</v>
      </c>
      <c r="K131" s="21">
        <v>4758.08</v>
      </c>
      <c r="L131" s="21">
        <v>118.9143</v>
      </c>
      <c r="M131" s="21">
        <v>2065.7600000000002</v>
      </c>
      <c r="N131" s="21">
        <v>280.79000000000002</v>
      </c>
      <c r="O131" s="21">
        <v>340.48</v>
      </c>
      <c r="P131" s="21">
        <v>418.79500000000002</v>
      </c>
      <c r="Q131" s="21">
        <v>495.6366666666666</v>
      </c>
      <c r="R131" s="21" t="e">
        <v>#N/A</v>
      </c>
      <c r="S131" s="21">
        <v>99.085899999999995</v>
      </c>
      <c r="T131" s="21">
        <v>161.18770000000001</v>
      </c>
      <c r="U131" s="21">
        <v>1348.56</v>
      </c>
      <c r="V131" s="21">
        <v>1970.33</v>
      </c>
      <c r="W131" s="21"/>
      <c r="X131" s="16">
        <v>2.3450000000000002E-2</v>
      </c>
      <c r="Y131" s="16">
        <f t="shared" ref="Y131:Y194" si="2">(1+X131)^(1/12)-1</f>
        <v>1.9334728317226269E-3</v>
      </c>
    </row>
    <row r="132" spans="1:25" x14ac:dyDescent="0.35">
      <c r="A132" s="23">
        <v>43465</v>
      </c>
      <c r="B132" s="21">
        <v>1874.81</v>
      </c>
      <c r="C132" s="21">
        <v>3569.7</v>
      </c>
      <c r="D132" s="21">
        <v>1182.4579000000001</v>
      </c>
      <c r="E132" s="21">
        <v>232.6335</v>
      </c>
      <c r="F132" s="21">
        <v>351.18</v>
      </c>
      <c r="G132" s="21">
        <v>400.37</v>
      </c>
      <c r="H132" s="21">
        <v>422.21</v>
      </c>
      <c r="I132" s="21">
        <v>495.69</v>
      </c>
      <c r="J132" s="21">
        <v>1682.9589000000001</v>
      </c>
      <c r="K132" s="21">
        <v>4631.58</v>
      </c>
      <c r="L132" s="21">
        <v>120.13890000000001</v>
      </c>
      <c r="M132" s="21">
        <v>2103.2199999999998</v>
      </c>
      <c r="N132" s="21">
        <v>285.33</v>
      </c>
      <c r="O132" s="21">
        <v>343.17</v>
      </c>
      <c r="P132" s="21">
        <v>419.51500000000004</v>
      </c>
      <c r="Q132" s="21">
        <v>496.00166666666661</v>
      </c>
      <c r="R132" s="21" t="e">
        <v>#N/A</v>
      </c>
      <c r="S132" s="21">
        <v>100.9055</v>
      </c>
      <c r="T132" s="21">
        <v>163.65610000000001</v>
      </c>
      <c r="U132" s="21">
        <v>1499.42</v>
      </c>
      <c r="V132" s="21">
        <v>2173.67</v>
      </c>
      <c r="W132" s="21"/>
      <c r="X132" s="16">
        <v>2.3610000000000003E-2</v>
      </c>
      <c r="Y132" s="16">
        <f t="shared" si="2"/>
        <v>1.9465249161871867E-3</v>
      </c>
    </row>
    <row r="133" spans="1:25" x14ac:dyDescent="0.35">
      <c r="A133" s="23">
        <v>43496</v>
      </c>
      <c r="B133" s="21">
        <v>1882.86</v>
      </c>
      <c r="C133" s="21">
        <v>3593.66</v>
      </c>
      <c r="D133" s="21">
        <v>1191.396</v>
      </c>
      <c r="E133" s="21">
        <v>234.7405</v>
      </c>
      <c r="F133" s="21">
        <v>353.35</v>
      </c>
      <c r="G133" s="21">
        <v>405.51</v>
      </c>
      <c r="H133" s="21">
        <v>431.18</v>
      </c>
      <c r="I133" s="21">
        <v>508.58</v>
      </c>
      <c r="J133" s="21">
        <v>1757.8630000000001</v>
      </c>
      <c r="K133" s="21">
        <v>4907.8500000000004</v>
      </c>
      <c r="L133" s="21">
        <v>121.934</v>
      </c>
      <c r="M133" s="21">
        <v>2119.9</v>
      </c>
      <c r="N133" s="21">
        <v>288.32</v>
      </c>
      <c r="O133" s="21">
        <v>344.78</v>
      </c>
      <c r="P133" s="21">
        <v>421.27166666666659</v>
      </c>
      <c r="Q133" s="21">
        <v>497.66666666666669</v>
      </c>
      <c r="R133" s="21">
        <v>102.30589999999999</v>
      </c>
      <c r="S133" s="21">
        <v>101.7171</v>
      </c>
      <c r="T133" s="21">
        <v>165.37</v>
      </c>
      <c r="U133" s="21">
        <v>1575.55</v>
      </c>
      <c r="V133" s="21">
        <v>2183.66</v>
      </c>
      <c r="W133" s="21"/>
      <c r="X133" s="16">
        <v>2.3900000000000001E-2</v>
      </c>
      <c r="Y133" s="16">
        <f t="shared" si="2"/>
        <v>1.970177053312705E-3</v>
      </c>
    </row>
    <row r="134" spans="1:25" x14ac:dyDescent="0.35">
      <c r="A134" s="23">
        <v>43524</v>
      </c>
      <c r="B134" s="21">
        <v>1881.44</v>
      </c>
      <c r="C134" s="21">
        <v>3549.74</v>
      </c>
      <c r="D134" s="21">
        <v>1197.7750000000001</v>
      </c>
      <c r="E134" s="21">
        <v>235.0102</v>
      </c>
      <c r="F134" s="21">
        <v>352.74</v>
      </c>
      <c r="G134" s="21">
        <v>405.76</v>
      </c>
      <c r="H134" s="21">
        <v>431.75</v>
      </c>
      <c r="I134" s="21">
        <v>510.52</v>
      </c>
      <c r="J134" s="21">
        <v>1786.32</v>
      </c>
      <c r="K134" s="21">
        <v>5032.43</v>
      </c>
      <c r="L134" s="21">
        <v>122.5617</v>
      </c>
      <c r="M134" s="21">
        <v>2117.9699999999998</v>
      </c>
      <c r="N134" s="21">
        <v>289.5</v>
      </c>
      <c r="O134" s="21">
        <v>345.76</v>
      </c>
      <c r="P134" s="21">
        <v>422.72666666666669</v>
      </c>
      <c r="Q134" s="21">
        <v>499.29833333333335</v>
      </c>
      <c r="R134" s="21">
        <v>103.8974</v>
      </c>
      <c r="S134" s="21">
        <v>101.6562</v>
      </c>
      <c r="T134" s="21">
        <v>166.09190000000001</v>
      </c>
      <c r="U134" s="21">
        <v>1539.74</v>
      </c>
      <c r="V134" s="21">
        <v>2282.81</v>
      </c>
      <c r="W134" s="21"/>
      <c r="X134" s="16">
        <v>2.436E-2</v>
      </c>
      <c r="Y134" s="16">
        <f t="shared" si="2"/>
        <v>2.0076816438103773E-3</v>
      </c>
    </row>
    <row r="135" spans="1:25" x14ac:dyDescent="0.35">
      <c r="A135" s="23">
        <v>43555</v>
      </c>
      <c r="B135" s="21">
        <v>1904.59</v>
      </c>
      <c r="C135" s="21">
        <v>3736.29</v>
      </c>
      <c r="D135" s="21">
        <v>1216.7090000000001</v>
      </c>
      <c r="E135" s="21">
        <v>239.41159999999999</v>
      </c>
      <c r="F135" s="21">
        <v>358.75</v>
      </c>
      <c r="G135" s="21">
        <v>413.88</v>
      </c>
      <c r="H135" s="21">
        <v>441.79</v>
      </c>
      <c r="I135" s="21">
        <v>524.54</v>
      </c>
      <c r="J135" s="21">
        <v>1802.826</v>
      </c>
      <c r="K135" s="21">
        <v>5097.88</v>
      </c>
      <c r="L135" s="21">
        <v>124.7714</v>
      </c>
      <c r="M135" s="21">
        <v>2148.8000000000002</v>
      </c>
      <c r="N135" s="21">
        <v>294.57</v>
      </c>
      <c r="O135" s="21">
        <v>348.25</v>
      </c>
      <c r="P135" s="21">
        <v>426.23499999999996</v>
      </c>
      <c r="Q135" s="21">
        <v>503.35999999999996</v>
      </c>
      <c r="R135" s="21">
        <v>103.6878</v>
      </c>
      <c r="S135" s="21">
        <v>103.2094</v>
      </c>
      <c r="T135" s="21">
        <v>168.93549999999999</v>
      </c>
      <c r="U135" s="21">
        <v>1591.21</v>
      </c>
      <c r="V135" s="21">
        <v>2252.79</v>
      </c>
      <c r="W135" s="21"/>
      <c r="X135" s="16">
        <v>2.3889999999999998E-2</v>
      </c>
      <c r="Y135" s="16">
        <f t="shared" si="2"/>
        <v>1.9693615646076967E-3</v>
      </c>
    </row>
    <row r="136" spans="1:25" x14ac:dyDescent="0.35">
      <c r="A136" s="23">
        <v>43585</v>
      </c>
      <c r="B136" s="21">
        <v>1905.4</v>
      </c>
      <c r="C136" s="21">
        <v>3669.4</v>
      </c>
      <c r="D136" s="21">
        <v>1221.2819999999999</v>
      </c>
      <c r="E136" s="21">
        <v>239.09219999999999</v>
      </c>
      <c r="F136" s="21">
        <v>358.16</v>
      </c>
      <c r="G136" s="21">
        <v>414.01</v>
      </c>
      <c r="H136" s="21">
        <v>442.88</v>
      </c>
      <c r="I136" s="21">
        <v>529.05999999999995</v>
      </c>
      <c r="J136" s="21">
        <v>1827.3789999999999</v>
      </c>
      <c r="K136" s="21">
        <v>5234.7</v>
      </c>
      <c r="L136" s="21">
        <v>125.4832</v>
      </c>
      <c r="M136" s="21">
        <v>2147.5300000000002</v>
      </c>
      <c r="N136" s="21">
        <v>295.2</v>
      </c>
      <c r="O136" s="21">
        <v>349.17</v>
      </c>
      <c r="P136" s="21">
        <v>430.85000000000008</v>
      </c>
      <c r="Q136" s="21">
        <v>509.63999999999993</v>
      </c>
      <c r="R136" s="21">
        <v>105.37739999999999</v>
      </c>
      <c r="S136" s="21">
        <v>103.1992</v>
      </c>
      <c r="T136" s="21">
        <v>169.34649999999999</v>
      </c>
      <c r="U136" s="21">
        <v>1465.49</v>
      </c>
      <c r="V136" s="21">
        <v>2252.06</v>
      </c>
      <c r="W136" s="21"/>
      <c r="X136" s="16">
        <v>2.418E-2</v>
      </c>
      <c r="Y136" s="16">
        <f t="shared" si="2"/>
        <v>1.9930077734353624E-3</v>
      </c>
    </row>
    <row r="137" spans="1:25" x14ac:dyDescent="0.35">
      <c r="A137" s="23">
        <v>43616</v>
      </c>
      <c r="B137" s="21">
        <v>1933.54</v>
      </c>
      <c r="C137" s="21">
        <v>3909.5</v>
      </c>
      <c r="D137" s="21">
        <v>1238.1189999999999</v>
      </c>
      <c r="E137" s="21">
        <v>242.5566</v>
      </c>
      <c r="F137" s="21">
        <v>364.95</v>
      </c>
      <c r="G137" s="21">
        <v>421.46</v>
      </c>
      <c r="H137" s="21">
        <v>450.42</v>
      </c>
      <c r="I137" s="21">
        <v>535.36</v>
      </c>
      <c r="J137" s="21">
        <v>1806.0709999999999</v>
      </c>
      <c r="K137" s="21">
        <v>5148.6899999999996</v>
      </c>
      <c r="L137" s="21">
        <v>126.6169</v>
      </c>
      <c r="M137" s="21">
        <v>2175.29</v>
      </c>
      <c r="N137" s="21">
        <v>301.22000000000003</v>
      </c>
      <c r="O137" s="21">
        <v>352.57</v>
      </c>
      <c r="P137" s="21">
        <v>436.70499999999998</v>
      </c>
      <c r="Q137" s="21">
        <v>517.29166666666663</v>
      </c>
      <c r="R137" s="21">
        <v>105.2958</v>
      </c>
      <c r="S137" s="21">
        <v>104.2084</v>
      </c>
      <c r="T137" s="21">
        <v>172.75880000000001</v>
      </c>
      <c r="U137" s="21">
        <v>1566.57</v>
      </c>
      <c r="V137" s="21">
        <v>2229.21</v>
      </c>
      <c r="W137" s="21"/>
      <c r="X137" s="16">
        <v>2.342E-2</v>
      </c>
      <c r="Y137" s="16">
        <f t="shared" si="2"/>
        <v>1.9310253576545477E-3</v>
      </c>
    </row>
    <row r="138" spans="1:25" x14ac:dyDescent="0.35">
      <c r="A138" s="23">
        <v>43646</v>
      </c>
      <c r="B138" s="21">
        <v>1949.63</v>
      </c>
      <c r="C138" s="21">
        <v>3961.7</v>
      </c>
      <c r="D138" s="21">
        <v>1242.691</v>
      </c>
      <c r="E138" s="21">
        <v>246.34639999999999</v>
      </c>
      <c r="F138" s="21">
        <v>368.05</v>
      </c>
      <c r="G138" s="21">
        <v>427.43</v>
      </c>
      <c r="H138" s="21">
        <v>460.15</v>
      </c>
      <c r="I138" s="21">
        <v>549.70000000000005</v>
      </c>
      <c r="J138" s="21">
        <v>1846.136</v>
      </c>
      <c r="K138" s="21">
        <v>5331.54</v>
      </c>
      <c r="L138" s="21">
        <v>128.79499999999999</v>
      </c>
      <c r="M138" s="21">
        <v>2190.94</v>
      </c>
      <c r="N138" s="21">
        <v>304.22000000000003</v>
      </c>
      <c r="O138" s="21">
        <v>354.06</v>
      </c>
      <c r="P138" s="21">
        <v>443.02833333333336</v>
      </c>
      <c r="Q138" s="21">
        <v>526.29333333333341</v>
      </c>
      <c r="R138" s="21">
        <v>105.3413</v>
      </c>
      <c r="S138" s="21">
        <v>104.76090000000001</v>
      </c>
      <c r="T138" s="21">
        <v>174.44919999999999</v>
      </c>
      <c r="U138" s="21">
        <v>1574.6</v>
      </c>
      <c r="V138" s="21">
        <v>2284.21</v>
      </c>
      <c r="W138" s="21"/>
      <c r="X138" s="16">
        <v>2.0930000000000001E-2</v>
      </c>
      <c r="Y138" s="16">
        <f t="shared" si="2"/>
        <v>1.7276553963356811E-3</v>
      </c>
    </row>
    <row r="139" spans="1:25" x14ac:dyDescent="0.35">
      <c r="A139" s="23">
        <v>43677</v>
      </c>
      <c r="B139" s="21">
        <v>1946.14</v>
      </c>
      <c r="C139" s="21">
        <v>3968.04</v>
      </c>
      <c r="D139" s="21">
        <v>1252.7061000000001</v>
      </c>
      <c r="E139" s="21">
        <v>250.01920000000001</v>
      </c>
      <c r="F139" s="21">
        <v>368.39</v>
      </c>
      <c r="G139" s="21">
        <v>428.75</v>
      </c>
      <c r="H139" s="21">
        <v>462.31</v>
      </c>
      <c r="I139" s="21">
        <v>553.41</v>
      </c>
      <c r="J139" s="21">
        <v>1855.6379999999999</v>
      </c>
      <c r="K139" s="21">
        <v>5416.53</v>
      </c>
      <c r="L139" s="21">
        <v>130.1046</v>
      </c>
      <c r="M139" s="21">
        <v>2199.79</v>
      </c>
      <c r="N139" s="21">
        <v>304.85000000000002</v>
      </c>
      <c r="O139" s="21">
        <v>354</v>
      </c>
      <c r="P139" s="21">
        <v>448.2166666666667</v>
      </c>
      <c r="Q139" s="21">
        <v>533.76499999999999</v>
      </c>
      <c r="R139" s="21">
        <v>106.1562</v>
      </c>
      <c r="S139" s="21">
        <v>105.1664</v>
      </c>
      <c r="T139" s="21">
        <v>174.79300000000001</v>
      </c>
      <c r="U139" s="21">
        <v>1494.84</v>
      </c>
      <c r="V139" s="21">
        <v>2347.81</v>
      </c>
      <c r="W139" s="21"/>
      <c r="X139" s="16">
        <v>2.0649999999999998E-2</v>
      </c>
      <c r="Y139" s="16">
        <f t="shared" si="2"/>
        <v>1.7047580537850049E-3</v>
      </c>
    </row>
    <row r="140" spans="1:25" x14ac:dyDescent="0.35">
      <c r="A140" s="23">
        <v>43708</v>
      </c>
      <c r="B140" s="21">
        <v>1981.49</v>
      </c>
      <c r="C140" s="21">
        <v>4384.67</v>
      </c>
      <c r="D140" s="21">
        <v>1272.4658999999999</v>
      </c>
      <c r="E140" s="21">
        <v>255.8313</v>
      </c>
      <c r="F140" s="21">
        <v>377.12</v>
      </c>
      <c r="G140" s="21">
        <v>441.62</v>
      </c>
      <c r="H140" s="21">
        <v>477.59</v>
      </c>
      <c r="I140" s="21">
        <v>570.49</v>
      </c>
      <c r="J140" s="21">
        <v>1862.47</v>
      </c>
      <c r="K140" s="21">
        <v>5473.54</v>
      </c>
      <c r="L140" s="21">
        <v>132.55240000000001</v>
      </c>
      <c r="M140" s="21">
        <v>2219.44</v>
      </c>
      <c r="N140" s="21">
        <v>312.10000000000002</v>
      </c>
      <c r="O140" s="21">
        <v>357.85</v>
      </c>
      <c r="P140" s="21">
        <v>455.85666666666674</v>
      </c>
      <c r="Q140" s="21">
        <v>543.75999999999988</v>
      </c>
      <c r="R140" s="21">
        <v>105.89360000000001</v>
      </c>
      <c r="S140" s="21">
        <v>105.8408</v>
      </c>
      <c r="T140" s="21">
        <v>178.8571</v>
      </c>
      <c r="U140" s="21">
        <v>1523.37</v>
      </c>
      <c r="V140" s="21">
        <v>2420.1999999999998</v>
      </c>
      <c r="W140" s="21"/>
      <c r="X140" s="16">
        <v>1.983E-2</v>
      </c>
      <c r="Y140" s="16">
        <f t="shared" si="2"/>
        <v>1.6376684115799733E-3</v>
      </c>
    </row>
    <row r="141" spans="1:25" x14ac:dyDescent="0.35">
      <c r="A141" s="23">
        <v>43738</v>
      </c>
      <c r="B141" s="21">
        <v>1972.64</v>
      </c>
      <c r="C141" s="21">
        <v>4275.3</v>
      </c>
      <c r="D141" s="21">
        <v>1262.2660000000001</v>
      </c>
      <c r="E141" s="21">
        <v>255.0745</v>
      </c>
      <c r="F141" s="21">
        <v>375.29</v>
      </c>
      <c r="G141" s="21">
        <v>438.63</v>
      </c>
      <c r="H141" s="21">
        <v>473.6</v>
      </c>
      <c r="I141" s="21">
        <v>567.61</v>
      </c>
      <c r="J141" s="21">
        <v>1869.556</v>
      </c>
      <c r="K141" s="21">
        <v>5475.11</v>
      </c>
      <c r="L141" s="21">
        <v>132.04159999999999</v>
      </c>
      <c r="M141" s="21">
        <v>2221</v>
      </c>
      <c r="N141" s="21">
        <v>309.99</v>
      </c>
      <c r="O141" s="21">
        <v>357.33</v>
      </c>
      <c r="P141" s="21">
        <v>461.1583333333333</v>
      </c>
      <c r="Q141" s="21">
        <v>550.93833333333339</v>
      </c>
      <c r="R141" s="21">
        <v>106.4251</v>
      </c>
      <c r="S141" s="21">
        <v>106.0904</v>
      </c>
      <c r="T141" s="21">
        <v>177.73929999999999</v>
      </c>
      <c r="U141" s="21">
        <v>1562.45</v>
      </c>
      <c r="V141" s="21">
        <v>2421.52</v>
      </c>
      <c r="W141" s="21"/>
      <c r="X141" s="16">
        <v>1.8159999999999999E-2</v>
      </c>
      <c r="Y141" s="16">
        <f t="shared" si="2"/>
        <v>1.50088158885886E-3</v>
      </c>
    </row>
    <row r="142" spans="1:25" x14ac:dyDescent="0.35">
      <c r="A142" s="23">
        <v>43769</v>
      </c>
      <c r="B142" s="21">
        <v>1978.34</v>
      </c>
      <c r="C142" s="21">
        <v>4238.57</v>
      </c>
      <c r="D142" s="21">
        <v>1264.528</v>
      </c>
      <c r="E142" s="21">
        <v>253.20320000000001</v>
      </c>
      <c r="F142" s="21">
        <v>376</v>
      </c>
      <c r="G142" s="21">
        <v>439.79</v>
      </c>
      <c r="H142" s="21">
        <v>476.12</v>
      </c>
      <c r="I142" s="21">
        <v>571.71</v>
      </c>
      <c r="J142" s="21">
        <v>1874.1510000000001</v>
      </c>
      <c r="K142" s="21">
        <v>5521.21</v>
      </c>
      <c r="L142" s="21">
        <v>132.1943</v>
      </c>
      <c r="M142" s="21">
        <v>2228.84</v>
      </c>
      <c r="N142" s="21">
        <v>311.02</v>
      </c>
      <c r="O142" s="21">
        <v>358.29</v>
      </c>
      <c r="P142" s="21">
        <v>466.69833333333327</v>
      </c>
      <c r="Q142" s="21">
        <v>558.04666666666674</v>
      </c>
      <c r="R142" s="21">
        <v>106.0222</v>
      </c>
      <c r="S142" s="21">
        <v>106.36920000000001</v>
      </c>
      <c r="T142" s="21">
        <v>178.3246</v>
      </c>
      <c r="U142" s="21">
        <v>1624.5</v>
      </c>
      <c r="V142" s="21">
        <v>2414.73</v>
      </c>
      <c r="W142" s="21"/>
      <c r="X142" s="16">
        <v>1.5349999999999999E-2</v>
      </c>
      <c r="Y142" s="16">
        <f t="shared" si="2"/>
        <v>1.2702544773797175E-3</v>
      </c>
    </row>
    <row r="143" spans="1:25" x14ac:dyDescent="0.35">
      <c r="A143" s="23">
        <v>43799</v>
      </c>
      <c r="B143" s="21">
        <v>1973.39</v>
      </c>
      <c r="C143" s="21">
        <v>4216.68</v>
      </c>
      <c r="D143" s="21">
        <v>1267.6899000000001</v>
      </c>
      <c r="E143" s="21">
        <v>252.94759999999999</v>
      </c>
      <c r="F143" s="21">
        <v>375.44</v>
      </c>
      <c r="G143" s="21">
        <v>439.26</v>
      </c>
      <c r="H143" s="21">
        <v>476.78</v>
      </c>
      <c r="I143" s="21">
        <v>573.57000000000005</v>
      </c>
      <c r="J143" s="21">
        <v>1880.039</v>
      </c>
      <c r="K143" s="21">
        <v>5552.26</v>
      </c>
      <c r="L143" s="21">
        <v>132.26779999999999</v>
      </c>
      <c r="M143" s="21">
        <v>2230.64</v>
      </c>
      <c r="N143" s="21">
        <v>309.75</v>
      </c>
      <c r="O143" s="21">
        <v>358.34</v>
      </c>
      <c r="P143" s="21">
        <v>471.0916666666667</v>
      </c>
      <c r="Q143" s="21">
        <v>564.41500000000008</v>
      </c>
      <c r="R143" s="21">
        <v>106.61620000000001</v>
      </c>
      <c r="S143" s="21">
        <v>106.50709999999999</v>
      </c>
      <c r="T143" s="21">
        <v>177.63030000000001</v>
      </c>
      <c r="U143" s="21">
        <v>1668.47</v>
      </c>
      <c r="V143" s="21">
        <v>2375.7600000000002</v>
      </c>
      <c r="W143" s="21"/>
      <c r="X143" s="16">
        <v>1.575E-2</v>
      </c>
      <c r="Y143" s="16">
        <f t="shared" si="2"/>
        <v>1.3031196473178852E-3</v>
      </c>
    </row>
    <row r="144" spans="1:25" x14ac:dyDescent="0.35">
      <c r="A144" s="23">
        <v>43830</v>
      </c>
      <c r="B144" s="21">
        <v>1972.74</v>
      </c>
      <c r="C144" s="21">
        <v>4098.99</v>
      </c>
      <c r="D144" s="21">
        <v>1271.5600999999999</v>
      </c>
      <c r="E144" s="21">
        <v>251.7132</v>
      </c>
      <c r="F144" s="21">
        <v>374.62</v>
      </c>
      <c r="G144" s="21">
        <v>438.45</v>
      </c>
      <c r="H144" s="21">
        <v>477.03</v>
      </c>
      <c r="I144" s="21">
        <v>577.21</v>
      </c>
      <c r="J144" s="21">
        <v>1916.5160000000001</v>
      </c>
      <c r="K144" s="21">
        <v>5720.22</v>
      </c>
      <c r="L144" s="21">
        <v>132.4632</v>
      </c>
      <c r="M144" s="21">
        <v>2236.8200000000002</v>
      </c>
      <c r="N144" s="21">
        <v>308.98</v>
      </c>
      <c r="O144" s="21">
        <v>358.72</v>
      </c>
      <c r="P144" s="21">
        <v>473.90499999999992</v>
      </c>
      <c r="Q144" s="21">
        <v>569.00000000000011</v>
      </c>
      <c r="R144" s="21">
        <v>108.1992</v>
      </c>
      <c r="S144" s="21">
        <v>107.13330000000001</v>
      </c>
      <c r="T144" s="21">
        <v>177.18539999999999</v>
      </c>
      <c r="U144" s="21">
        <v>1614.06</v>
      </c>
      <c r="V144" s="21">
        <v>2423.98</v>
      </c>
      <c r="W144" s="21"/>
      <c r="X144" s="16">
        <v>1.5489999999999999E-2</v>
      </c>
      <c r="Y144" s="16">
        <f t="shared" si="2"/>
        <v>1.2817586366717926E-3</v>
      </c>
    </row>
    <row r="145" spans="1:25" x14ac:dyDescent="0.35">
      <c r="A145" s="23">
        <v>43861</v>
      </c>
      <c r="B145" s="21">
        <v>2000.87</v>
      </c>
      <c r="C145" s="21">
        <v>4379.57</v>
      </c>
      <c r="D145" s="21">
        <v>1294.4059999999999</v>
      </c>
      <c r="E145" s="21">
        <v>256.77499999999998</v>
      </c>
      <c r="F145" s="21">
        <v>381.17</v>
      </c>
      <c r="G145" s="21">
        <v>448.94</v>
      </c>
      <c r="H145" s="21">
        <v>488.65</v>
      </c>
      <c r="I145" s="21">
        <v>590.66</v>
      </c>
      <c r="J145" s="21">
        <v>1915.384</v>
      </c>
      <c r="K145" s="21">
        <v>5810.66</v>
      </c>
      <c r="L145" s="21">
        <v>134.8486</v>
      </c>
      <c r="M145" s="21">
        <v>2252.4499999999998</v>
      </c>
      <c r="N145" s="21">
        <v>316.67</v>
      </c>
      <c r="O145" s="21">
        <v>362.29</v>
      </c>
      <c r="P145" s="21">
        <v>478.29500000000002</v>
      </c>
      <c r="Q145" s="21">
        <v>575.20833333333337</v>
      </c>
      <c r="R145" s="21">
        <v>108.9157</v>
      </c>
      <c r="S145" s="21">
        <v>107.7878</v>
      </c>
      <c r="T145" s="21">
        <v>181.5351</v>
      </c>
      <c r="U145" s="21">
        <v>1476.43</v>
      </c>
      <c r="V145" s="21">
        <v>2240.41</v>
      </c>
      <c r="W145" s="21"/>
      <c r="X145" s="16">
        <v>1.5469999999999999E-2</v>
      </c>
      <c r="Y145" s="16">
        <f t="shared" si="2"/>
        <v>1.280115274358673E-3</v>
      </c>
    </row>
    <row r="146" spans="1:25" x14ac:dyDescent="0.35">
      <c r="A146" s="23">
        <v>43889</v>
      </c>
      <c r="B146" s="21">
        <v>2034.1</v>
      </c>
      <c r="C146" s="21">
        <v>4673.03</v>
      </c>
      <c r="D146" s="21">
        <v>1311.098</v>
      </c>
      <c r="E146" s="21">
        <v>259.57679999999999</v>
      </c>
      <c r="F146" s="21">
        <v>388.73</v>
      </c>
      <c r="G146" s="21">
        <v>457.28</v>
      </c>
      <c r="H146" s="21">
        <v>496.79</v>
      </c>
      <c r="I146" s="21">
        <v>596.20000000000005</v>
      </c>
      <c r="J146" s="21">
        <v>1887.6079999999999</v>
      </c>
      <c r="K146" s="21">
        <v>5776.98</v>
      </c>
      <c r="L146" s="21">
        <v>135.63679999999999</v>
      </c>
      <c r="M146" s="21">
        <v>2275.8000000000002</v>
      </c>
      <c r="N146" s="21">
        <v>322.73</v>
      </c>
      <c r="O146" s="21">
        <v>365.52</v>
      </c>
      <c r="P146" s="21">
        <v>481.49499999999995</v>
      </c>
      <c r="Q146" s="21">
        <v>579.49333333333334</v>
      </c>
      <c r="R146" s="21">
        <v>108.35129999999999</v>
      </c>
      <c r="S146" s="21">
        <v>109.1148</v>
      </c>
      <c r="T146" s="21">
        <v>184.94030000000001</v>
      </c>
      <c r="U146" s="21">
        <v>1153.0999999999999</v>
      </c>
      <c r="V146" s="21">
        <v>1722.9</v>
      </c>
      <c r="W146" s="21"/>
      <c r="X146" s="16">
        <v>1.2840000000000001E-2</v>
      </c>
      <c r="Y146" s="16">
        <f t="shared" si="2"/>
        <v>1.0637542271645373E-3</v>
      </c>
    </row>
    <row r="147" spans="1:25" x14ac:dyDescent="0.35">
      <c r="A147" s="23">
        <v>43921</v>
      </c>
      <c r="B147" s="21">
        <v>2076.34</v>
      </c>
      <c r="C147" s="21">
        <v>4955.8599999999997</v>
      </c>
      <c r="D147" s="21">
        <v>1263.5409999999999</v>
      </c>
      <c r="E147" s="21">
        <v>256.60230000000001</v>
      </c>
      <c r="F147" s="21">
        <v>396.37</v>
      </c>
      <c r="G147" s="21">
        <v>444.94</v>
      </c>
      <c r="H147" s="21">
        <v>474.37</v>
      </c>
      <c r="I147" s="21">
        <v>534.54999999999995</v>
      </c>
      <c r="J147" s="21">
        <v>1675.047</v>
      </c>
      <c r="K147" s="21">
        <v>4939.67</v>
      </c>
      <c r="L147" s="21">
        <v>128.56540000000001</v>
      </c>
      <c r="M147" s="21">
        <v>2299.88</v>
      </c>
      <c r="N147" s="21">
        <v>312.64</v>
      </c>
      <c r="O147" s="21">
        <v>357.96</v>
      </c>
      <c r="P147" s="21">
        <v>481.62333333333328</v>
      </c>
      <c r="Q147" s="21">
        <v>573.98333333333346</v>
      </c>
      <c r="R147" s="21">
        <v>93.917500000000004</v>
      </c>
      <c r="S147" s="21">
        <v>109.3618</v>
      </c>
      <c r="T147" s="21">
        <v>178.0145</v>
      </c>
      <c r="U147" s="21">
        <v>1310.6600000000001</v>
      </c>
      <c r="V147" s="21">
        <v>1844.65</v>
      </c>
      <c r="W147" s="21"/>
      <c r="X147" s="16">
        <v>9.2000000000000003E-4</v>
      </c>
      <c r="Y147" s="16">
        <f t="shared" si="2"/>
        <v>7.6634357877747306E-5</v>
      </c>
    </row>
    <row r="148" spans="1:25" x14ac:dyDescent="0.35">
      <c r="A148" s="23">
        <v>43951</v>
      </c>
      <c r="B148" s="21">
        <v>2082</v>
      </c>
      <c r="C148" s="21">
        <v>5056.12</v>
      </c>
      <c r="D148" s="21">
        <v>1247.683</v>
      </c>
      <c r="E148" s="21">
        <v>259.96449999999999</v>
      </c>
      <c r="F148" s="21">
        <v>399.05</v>
      </c>
      <c r="G148" s="21">
        <v>454.52</v>
      </c>
      <c r="H148" s="21">
        <v>494.65</v>
      </c>
      <c r="I148" s="21">
        <v>566.22</v>
      </c>
      <c r="J148" s="21">
        <v>1743.0360000000001</v>
      </c>
      <c r="K148" s="21">
        <v>5484.35</v>
      </c>
      <c r="L148" s="21">
        <v>132.29900000000001</v>
      </c>
      <c r="M148" s="21">
        <v>2314.48</v>
      </c>
      <c r="N148" s="21">
        <v>316.47000000000003</v>
      </c>
      <c r="O148" s="21">
        <v>362.75</v>
      </c>
      <c r="P148" s="21">
        <v>484.71166666666664</v>
      </c>
      <c r="Q148" s="21">
        <v>573.0683333333335</v>
      </c>
      <c r="R148" s="21">
        <v>98.524600000000007</v>
      </c>
      <c r="S148" s="21">
        <v>109.5453</v>
      </c>
      <c r="T148" s="21">
        <v>179.74940000000001</v>
      </c>
      <c r="U148" s="21">
        <v>1394.04</v>
      </c>
      <c r="V148" s="21">
        <v>1816.62</v>
      </c>
      <c r="W148" s="21"/>
      <c r="X148" s="16">
        <v>1E-3</v>
      </c>
      <c r="Y148" s="16">
        <f t="shared" si="2"/>
        <v>8.3295163273211514E-5</v>
      </c>
    </row>
    <row r="149" spans="1:25" x14ac:dyDescent="0.35">
      <c r="A149" s="23">
        <v>43982</v>
      </c>
      <c r="B149" s="21">
        <v>2085.7399999999998</v>
      </c>
      <c r="C149" s="21">
        <v>4961.74</v>
      </c>
      <c r="D149" s="21">
        <v>1287.374</v>
      </c>
      <c r="E149" s="21">
        <v>260.7201</v>
      </c>
      <c r="F149" s="21">
        <v>398.9</v>
      </c>
      <c r="G149" s="21">
        <v>459.92</v>
      </c>
      <c r="H149" s="21">
        <v>499.39</v>
      </c>
      <c r="I149" s="21">
        <v>580.39</v>
      </c>
      <c r="J149" s="21">
        <v>1818.932</v>
      </c>
      <c r="K149" s="21">
        <v>5765.74</v>
      </c>
      <c r="L149" s="21">
        <v>133.97290000000001</v>
      </c>
      <c r="M149" s="21">
        <v>2317.31</v>
      </c>
      <c r="N149" s="21">
        <v>319.83</v>
      </c>
      <c r="O149" s="21">
        <v>366.72</v>
      </c>
      <c r="P149" s="21">
        <v>488.48</v>
      </c>
      <c r="Q149" s="21">
        <v>574.20500000000004</v>
      </c>
      <c r="R149" s="21">
        <v>101.877</v>
      </c>
      <c r="S149" s="21">
        <v>109.8458</v>
      </c>
      <c r="T149" s="21">
        <v>181.61369999999999</v>
      </c>
      <c r="U149" s="21">
        <v>1441.37</v>
      </c>
      <c r="V149" s="21">
        <v>1838.77</v>
      </c>
      <c r="W149" s="21"/>
      <c r="X149" s="16">
        <v>1.3900000000000002E-3</v>
      </c>
      <c r="Y149" s="16">
        <f t="shared" si="2"/>
        <v>1.1575960331544621E-4</v>
      </c>
    </row>
    <row r="150" spans="1:25" x14ac:dyDescent="0.35">
      <c r="A150" s="23">
        <v>44012</v>
      </c>
      <c r="B150" s="21">
        <v>2087.5</v>
      </c>
      <c r="C150" s="21">
        <v>4968.17</v>
      </c>
      <c r="D150" s="21">
        <v>1297.9690000000001</v>
      </c>
      <c r="E150" s="21">
        <v>261.0376</v>
      </c>
      <c r="F150" s="21">
        <v>399.18</v>
      </c>
      <c r="G150" s="21">
        <v>464.87</v>
      </c>
      <c r="H150" s="21">
        <v>507.49</v>
      </c>
      <c r="I150" s="21">
        <v>594.6</v>
      </c>
      <c r="J150" s="21">
        <v>1832.056</v>
      </c>
      <c r="K150" s="21">
        <v>6014.87</v>
      </c>
      <c r="L150" s="21">
        <v>135.78800000000001</v>
      </c>
      <c r="M150" s="21">
        <v>2315.19</v>
      </c>
      <c r="N150" s="21">
        <v>325</v>
      </c>
      <c r="O150" s="21">
        <v>370.63</v>
      </c>
      <c r="P150" s="21">
        <v>493.55666666666667</v>
      </c>
      <c r="Q150" s="21">
        <v>577.10333333333335</v>
      </c>
      <c r="R150" s="21">
        <v>103.85550000000001</v>
      </c>
      <c r="S150" s="21">
        <v>109.3685</v>
      </c>
      <c r="T150" s="21">
        <v>184.8117</v>
      </c>
      <c r="U150" s="21">
        <v>1480.43</v>
      </c>
      <c r="V150" s="21">
        <v>1790.52</v>
      </c>
      <c r="W150" s="21"/>
      <c r="X150" s="16">
        <v>1.3900000000000002E-3</v>
      </c>
      <c r="Y150" s="16">
        <f t="shared" si="2"/>
        <v>1.1575960331544621E-4</v>
      </c>
    </row>
    <row r="151" spans="1:25" x14ac:dyDescent="0.35">
      <c r="A151" s="23">
        <v>44043</v>
      </c>
      <c r="B151" s="21">
        <v>2094.27</v>
      </c>
      <c r="C151" s="21">
        <v>5178.1099999999997</v>
      </c>
      <c r="D151" s="21">
        <v>1319.83</v>
      </c>
      <c r="E151" s="21">
        <v>262.8954</v>
      </c>
      <c r="F151" s="21">
        <v>402.18</v>
      </c>
      <c r="G151" s="21">
        <v>475.85</v>
      </c>
      <c r="H151" s="21">
        <v>523.09</v>
      </c>
      <c r="I151" s="21">
        <v>615.49</v>
      </c>
      <c r="J151" s="21">
        <v>1912.047</v>
      </c>
      <c r="K151" s="21">
        <v>6526.98</v>
      </c>
      <c r="L151" s="21">
        <v>138.26390000000001</v>
      </c>
      <c r="M151" s="21">
        <v>2319.3200000000002</v>
      </c>
      <c r="N151" s="21">
        <v>328.96</v>
      </c>
      <c r="O151" s="21">
        <v>372.18</v>
      </c>
      <c r="P151" s="21">
        <v>499.29666666666662</v>
      </c>
      <c r="Q151" s="21">
        <v>581.24166666666667</v>
      </c>
      <c r="R151" s="21">
        <v>105.5993</v>
      </c>
      <c r="S151" s="21">
        <v>109.6309</v>
      </c>
      <c r="T151" s="21">
        <v>187.21289999999999</v>
      </c>
      <c r="U151" s="21">
        <v>1561.88</v>
      </c>
      <c r="V151" s="21">
        <v>1811.43</v>
      </c>
      <c r="W151" s="21"/>
      <c r="X151" s="16">
        <v>9.1E-4</v>
      </c>
      <c r="Y151" s="16">
        <f t="shared" si="2"/>
        <v>7.5801722890345147E-5</v>
      </c>
    </row>
    <row r="152" spans="1:25" x14ac:dyDescent="0.35">
      <c r="A152" s="23">
        <v>44074</v>
      </c>
      <c r="B152" s="21">
        <v>2090.0300000000002</v>
      </c>
      <c r="C152" s="21">
        <v>4954.8599999999997</v>
      </c>
      <c r="D152" s="21">
        <v>1313.6369999999999</v>
      </c>
      <c r="E152" s="21">
        <v>260.2482</v>
      </c>
      <c r="F152" s="21">
        <v>399.78</v>
      </c>
      <c r="G152" s="21">
        <v>469.35</v>
      </c>
      <c r="H152" s="21">
        <v>514.92999999999995</v>
      </c>
      <c r="I152" s="21">
        <v>609.17999999999995</v>
      </c>
      <c r="J152" s="21">
        <v>1930.2329999999999</v>
      </c>
      <c r="K152" s="21">
        <v>6588.66</v>
      </c>
      <c r="L152" s="21">
        <v>137.9221</v>
      </c>
      <c r="M152" s="21">
        <v>2320.23</v>
      </c>
      <c r="N152" s="21">
        <v>329.42</v>
      </c>
      <c r="O152" s="21">
        <v>373.1</v>
      </c>
      <c r="P152" s="21">
        <v>502.31999999999994</v>
      </c>
      <c r="Q152" s="21">
        <v>583.40499999999997</v>
      </c>
      <c r="R152" s="21">
        <v>107.07429999999999</v>
      </c>
      <c r="S152" s="21">
        <v>110.0561</v>
      </c>
      <c r="T152" s="21">
        <v>187.58590000000001</v>
      </c>
      <c r="U152" s="21">
        <v>1507.69</v>
      </c>
      <c r="V152" s="21">
        <v>1784.65</v>
      </c>
      <c r="W152" s="21"/>
      <c r="X152" s="16">
        <v>1.01E-3</v>
      </c>
      <c r="Y152" s="16">
        <f t="shared" si="2"/>
        <v>8.4127729636840343E-5</v>
      </c>
    </row>
    <row r="153" spans="1:25" x14ac:dyDescent="0.35">
      <c r="A153" s="23">
        <v>44104</v>
      </c>
      <c r="B153" s="21">
        <v>2091.5500000000002</v>
      </c>
      <c r="C153" s="21">
        <v>4973.92</v>
      </c>
      <c r="D153" s="21">
        <v>1313.9159999999999</v>
      </c>
      <c r="E153" s="21">
        <v>262.29820000000001</v>
      </c>
      <c r="F153" s="21">
        <v>399.96</v>
      </c>
      <c r="G153" s="21">
        <v>469.11</v>
      </c>
      <c r="H153" s="21">
        <v>513.47</v>
      </c>
      <c r="I153" s="21">
        <v>607.11</v>
      </c>
      <c r="J153" s="21">
        <v>1912.886</v>
      </c>
      <c r="K153" s="21">
        <v>6422.07</v>
      </c>
      <c r="L153" s="21">
        <v>138.09190000000001</v>
      </c>
      <c r="M153" s="21">
        <v>2317.75</v>
      </c>
      <c r="N153" s="21">
        <v>330.55</v>
      </c>
      <c r="O153" s="21">
        <v>373.58</v>
      </c>
      <c r="P153" s="21">
        <v>508.83666666666659</v>
      </c>
      <c r="Q153" s="21">
        <v>595.49833333333333</v>
      </c>
      <c r="R153" s="21">
        <v>108.08759999999999</v>
      </c>
      <c r="S153" s="21">
        <v>110.1339</v>
      </c>
      <c r="T153" s="21">
        <v>188.3203</v>
      </c>
      <c r="U153" s="21">
        <v>1538.48</v>
      </c>
      <c r="V153" s="21">
        <v>1734.38</v>
      </c>
      <c r="W153" s="21"/>
      <c r="X153" s="16">
        <v>9.7000000000000005E-4</v>
      </c>
      <c r="Y153" s="16">
        <f t="shared" si="2"/>
        <v>8.0797418435807344E-5</v>
      </c>
    </row>
    <row r="154" spans="1:25" x14ac:dyDescent="0.35">
      <c r="A154" s="23">
        <v>44135</v>
      </c>
      <c r="B154" s="21">
        <v>2083.59</v>
      </c>
      <c r="C154" s="21">
        <v>4824.24</v>
      </c>
      <c r="D154" s="21">
        <v>1309.9690000000001</v>
      </c>
      <c r="E154" s="21">
        <v>262.90320000000003</v>
      </c>
      <c r="F154" s="21">
        <v>397.75</v>
      </c>
      <c r="G154" s="21">
        <v>465.08</v>
      </c>
      <c r="H154" s="21">
        <v>511.98</v>
      </c>
      <c r="I154" s="21">
        <v>607.33000000000004</v>
      </c>
      <c r="J154" s="21">
        <v>1921.8309999999999</v>
      </c>
      <c r="K154" s="21">
        <v>6483.5</v>
      </c>
      <c r="L154" s="21">
        <v>138.50749999999999</v>
      </c>
      <c r="M154" s="21">
        <v>2316.8200000000002</v>
      </c>
      <c r="N154" s="21">
        <v>329.02</v>
      </c>
      <c r="O154" s="21">
        <v>373.62</v>
      </c>
      <c r="P154" s="21">
        <v>511.72499999999997</v>
      </c>
      <c r="Q154" s="21">
        <v>602.35</v>
      </c>
      <c r="R154" s="21">
        <v>108.22</v>
      </c>
      <c r="S154" s="21">
        <v>110.3193</v>
      </c>
      <c r="T154" s="21">
        <v>187.5694</v>
      </c>
      <c r="U154" s="21">
        <v>1819.82</v>
      </c>
      <c r="V154" s="21">
        <v>1908.1</v>
      </c>
      <c r="W154" s="21"/>
      <c r="X154" s="16">
        <v>8.8999999999999995E-4</v>
      </c>
      <c r="Y154" s="16">
        <f t="shared" si="2"/>
        <v>7.4136430038729273E-5</v>
      </c>
    </row>
    <row r="155" spans="1:25" x14ac:dyDescent="0.35">
      <c r="A155" s="23">
        <v>44165</v>
      </c>
      <c r="B155" s="21">
        <v>2086.11</v>
      </c>
      <c r="C155" s="21">
        <v>4882.1499999999996</v>
      </c>
      <c r="D155" s="21">
        <v>1329.7371000000001</v>
      </c>
      <c r="E155" s="21">
        <v>262.9391</v>
      </c>
      <c r="F155" s="21">
        <v>398.79</v>
      </c>
      <c r="G155" s="21">
        <v>474.02</v>
      </c>
      <c r="H155" s="21">
        <v>523.34</v>
      </c>
      <c r="I155" s="21">
        <v>626.70000000000005</v>
      </c>
      <c r="J155" s="21">
        <v>1993.319</v>
      </c>
      <c r="K155" s="21">
        <v>6916.31</v>
      </c>
      <c r="L155" s="21">
        <v>140.27420000000001</v>
      </c>
      <c r="M155" s="21">
        <v>2318.44</v>
      </c>
      <c r="N155" s="21">
        <v>331.59</v>
      </c>
      <c r="O155" s="21">
        <v>374.19</v>
      </c>
      <c r="P155" s="21">
        <v>515.71666666666658</v>
      </c>
      <c r="Q155" s="21">
        <v>610.06833333333327</v>
      </c>
      <c r="R155" s="21">
        <v>110.3571</v>
      </c>
      <c r="S155" s="21">
        <v>110.212</v>
      </c>
      <c r="T155" s="21">
        <v>189.1181</v>
      </c>
      <c r="U155" s="21">
        <v>1974.86</v>
      </c>
      <c r="V155" s="21">
        <v>1924.46</v>
      </c>
      <c r="W155" s="21"/>
      <c r="X155" s="16">
        <v>7.5999999999999993E-4</v>
      </c>
      <c r="Y155" s="16">
        <f t="shared" si="2"/>
        <v>6.3311282928246726E-5</v>
      </c>
    </row>
    <row r="156" spans="1:25" x14ac:dyDescent="0.35">
      <c r="A156" s="23">
        <v>44196</v>
      </c>
      <c r="B156" s="21">
        <v>2086.67</v>
      </c>
      <c r="C156" s="21">
        <v>4824.63</v>
      </c>
      <c r="D156" s="21">
        <v>1337.838</v>
      </c>
      <c r="E156" s="21">
        <v>264.09030000000001</v>
      </c>
      <c r="F156" s="21">
        <v>398.7</v>
      </c>
      <c r="G156" s="21">
        <v>475.63</v>
      </c>
      <c r="H156" s="21">
        <v>524.47</v>
      </c>
      <c r="I156" s="21">
        <v>631.55999999999995</v>
      </c>
      <c r="J156" s="21">
        <v>2028.44</v>
      </c>
      <c r="K156" s="21">
        <v>7133.06</v>
      </c>
      <c r="L156" s="21">
        <v>140.9915</v>
      </c>
      <c r="M156" s="21">
        <v>2323.4299999999998</v>
      </c>
      <c r="N156" s="21">
        <v>334.02</v>
      </c>
      <c r="O156" s="21">
        <v>374.92</v>
      </c>
      <c r="P156" s="21">
        <v>518.54666666666674</v>
      </c>
      <c r="Q156" s="21">
        <v>616.22833333333335</v>
      </c>
      <c r="R156" s="21">
        <v>111.8822</v>
      </c>
      <c r="S156" s="21">
        <v>110.27679999999999</v>
      </c>
      <c r="T156" s="21">
        <v>190.66810000000001</v>
      </c>
      <c r="U156" s="21">
        <v>2073.64</v>
      </c>
      <c r="V156" s="21">
        <v>1920.8</v>
      </c>
      <c r="W156" s="21"/>
      <c r="X156" s="16">
        <v>7.1999999999999994E-4</v>
      </c>
      <c r="Y156" s="16">
        <f t="shared" si="2"/>
        <v>5.9980209103249749E-5</v>
      </c>
    </row>
    <row r="157" spans="1:25" x14ac:dyDescent="0.35">
      <c r="A157" s="23">
        <v>44227</v>
      </c>
      <c r="B157" s="21">
        <v>2081.59</v>
      </c>
      <c r="C157" s="21">
        <v>4650.5600000000004</v>
      </c>
      <c r="D157" s="21">
        <v>1346.3630000000001</v>
      </c>
      <c r="E157" s="21">
        <v>262.59989999999999</v>
      </c>
      <c r="F157" s="21">
        <v>396.69</v>
      </c>
      <c r="G157" s="21">
        <v>470.73</v>
      </c>
      <c r="H157" s="21">
        <v>517.45000000000005</v>
      </c>
      <c r="I157" s="21">
        <v>624.32000000000005</v>
      </c>
      <c r="J157" s="21">
        <v>2035.498</v>
      </c>
      <c r="K157" s="21">
        <v>7144.14</v>
      </c>
      <c r="L157" s="21">
        <v>140.4513</v>
      </c>
      <c r="M157" s="21">
        <v>2325.2199999999998</v>
      </c>
      <c r="N157" s="21">
        <v>333.93</v>
      </c>
      <c r="O157" s="21">
        <v>375.45</v>
      </c>
      <c r="P157" s="21">
        <v>517.60666666666668</v>
      </c>
      <c r="Q157" s="21">
        <v>617.69999999999993</v>
      </c>
      <c r="R157" s="21">
        <v>113.4093</v>
      </c>
      <c r="S157" s="21">
        <v>110.5034</v>
      </c>
      <c r="T157" s="21">
        <v>190.79130000000001</v>
      </c>
      <c r="U157" s="21">
        <v>2201.0500000000002</v>
      </c>
      <c r="V157" s="21">
        <v>1992.66</v>
      </c>
      <c r="W157" s="21"/>
      <c r="X157" s="16">
        <v>5.1999999999999995E-4</v>
      </c>
      <c r="Y157" s="16">
        <f t="shared" si="2"/>
        <v>4.3323008985352018E-5</v>
      </c>
    </row>
    <row r="158" spans="1:25" x14ac:dyDescent="0.35">
      <c r="A158" s="23">
        <v>44255</v>
      </c>
      <c r="B158" s="21">
        <v>2064.19</v>
      </c>
      <c r="C158" s="21">
        <v>4391.6499999999996</v>
      </c>
      <c r="D158" s="21">
        <v>1324.9709</v>
      </c>
      <c r="E158" s="21">
        <v>256.65839999999997</v>
      </c>
      <c r="F158" s="21">
        <v>391.5</v>
      </c>
      <c r="G158" s="21">
        <v>461.9</v>
      </c>
      <c r="H158" s="21">
        <v>508.38</v>
      </c>
      <c r="I158" s="21">
        <v>613.47</v>
      </c>
      <c r="J158" s="21">
        <v>2043.0930000000001</v>
      </c>
      <c r="K158" s="21">
        <v>7165.99</v>
      </c>
      <c r="L158" s="21">
        <v>138.58260000000001</v>
      </c>
      <c r="M158" s="21">
        <v>2309.69</v>
      </c>
      <c r="N158" s="21">
        <v>329.95</v>
      </c>
      <c r="O158" s="21">
        <v>374.94</v>
      </c>
      <c r="P158" s="21">
        <v>516.51499999999999</v>
      </c>
      <c r="Q158" s="21">
        <v>618.41499999999996</v>
      </c>
      <c r="R158" s="21">
        <v>113.9181</v>
      </c>
      <c r="S158" s="21">
        <v>110.7774</v>
      </c>
      <c r="T158" s="21">
        <v>188.68129999999999</v>
      </c>
      <c r="U158" s="21">
        <v>2220.52</v>
      </c>
      <c r="V158" s="21">
        <v>2108.67</v>
      </c>
      <c r="W158" s="21"/>
      <c r="X158" s="16">
        <v>3.7999999999999997E-4</v>
      </c>
      <c r="Y158" s="16">
        <f t="shared" si="2"/>
        <v>3.1661152727568975E-5</v>
      </c>
    </row>
    <row r="159" spans="1:25" x14ac:dyDescent="0.35">
      <c r="A159" s="23">
        <v>44286</v>
      </c>
      <c r="B159" s="21">
        <v>2050.0300000000002</v>
      </c>
      <c r="C159" s="21">
        <v>4172.71</v>
      </c>
      <c r="D159" s="21">
        <v>1333.1429000000001</v>
      </c>
      <c r="E159" s="21">
        <v>256.47210000000001</v>
      </c>
      <c r="F159" s="21">
        <v>387.23</v>
      </c>
      <c r="G159" s="21">
        <v>455.32</v>
      </c>
      <c r="H159" s="21">
        <v>498.95</v>
      </c>
      <c r="I159" s="21">
        <v>604.36</v>
      </c>
      <c r="J159" s="21">
        <v>2049.6999999999998</v>
      </c>
      <c r="K159" s="21">
        <v>7031.44</v>
      </c>
      <c r="L159" s="21">
        <v>137.96299999999999</v>
      </c>
      <c r="M159" s="21">
        <v>2297.87</v>
      </c>
      <c r="N159" s="21">
        <v>326.26</v>
      </c>
      <c r="O159" s="21">
        <v>374.33</v>
      </c>
      <c r="P159" s="21">
        <v>514.09500000000003</v>
      </c>
      <c r="Q159" s="21">
        <v>617.95666666666671</v>
      </c>
      <c r="R159" s="21">
        <v>114.0371</v>
      </c>
      <c r="S159" s="21">
        <v>110.5787</v>
      </c>
      <c r="T159" s="21">
        <v>186.66130000000001</v>
      </c>
      <c r="U159" s="21">
        <v>2266.4499999999998</v>
      </c>
      <c r="V159" s="21">
        <v>2186.61</v>
      </c>
      <c r="W159" s="21"/>
      <c r="X159" s="16">
        <v>1.7999999999999998E-4</v>
      </c>
      <c r="Y159" s="16">
        <f t="shared" si="2"/>
        <v>1.4998762642326469E-5</v>
      </c>
    </row>
    <row r="160" spans="1:25" x14ac:dyDescent="0.35">
      <c r="A160" s="23">
        <v>44316</v>
      </c>
      <c r="B160" s="21">
        <v>2057.73</v>
      </c>
      <c r="C160" s="21">
        <v>4269.82</v>
      </c>
      <c r="D160" s="21">
        <v>1344.325</v>
      </c>
      <c r="E160" s="21">
        <v>256.1506</v>
      </c>
      <c r="F160" s="21">
        <v>389.8</v>
      </c>
      <c r="G160" s="21">
        <v>460.25</v>
      </c>
      <c r="H160" s="21">
        <v>504.36</v>
      </c>
      <c r="I160" s="21">
        <v>610.99</v>
      </c>
      <c r="J160" s="21">
        <v>2069.8690000000001</v>
      </c>
      <c r="K160" s="21">
        <v>7200.43</v>
      </c>
      <c r="L160" s="21">
        <v>138.4152</v>
      </c>
      <c r="M160" s="21">
        <v>2310.5500000000002</v>
      </c>
      <c r="N160" s="21">
        <v>329.33</v>
      </c>
      <c r="O160" s="21">
        <v>374.86</v>
      </c>
      <c r="P160" s="21">
        <v>512.82499999999993</v>
      </c>
      <c r="Q160" s="21">
        <v>618.56666666666672</v>
      </c>
      <c r="R160" s="21">
        <v>114.4846</v>
      </c>
      <c r="S160" s="21">
        <v>110.46899999999999</v>
      </c>
      <c r="T160" s="21">
        <v>188.45529999999999</v>
      </c>
      <c r="U160" s="21">
        <v>2268.9699999999998</v>
      </c>
      <c r="V160" s="21">
        <v>2187.16</v>
      </c>
      <c r="W160" s="21"/>
      <c r="X160" s="16">
        <v>8.9999999999999992E-5</v>
      </c>
      <c r="Y160" s="16">
        <f t="shared" si="2"/>
        <v>7.4996906427315935E-6</v>
      </c>
    </row>
    <row r="161" spans="1:25" x14ac:dyDescent="0.35">
      <c r="A161" s="23">
        <v>44347</v>
      </c>
      <c r="B161" s="21">
        <v>2064.3000000000002</v>
      </c>
      <c r="C161" s="21">
        <v>4289.0600000000004</v>
      </c>
      <c r="D161" s="21">
        <v>1348.335</v>
      </c>
      <c r="E161" s="21">
        <v>256.48910000000001</v>
      </c>
      <c r="F161" s="21">
        <v>390.39</v>
      </c>
      <c r="G161" s="21">
        <v>463</v>
      </c>
      <c r="H161" s="21">
        <v>507.7</v>
      </c>
      <c r="I161" s="21">
        <v>616.15</v>
      </c>
      <c r="J161" s="21">
        <v>2076.1120000000001</v>
      </c>
      <c r="K161" s="21">
        <v>7216.17</v>
      </c>
      <c r="L161" s="21">
        <v>138.8004</v>
      </c>
      <c r="M161" s="21">
        <v>2306.5</v>
      </c>
      <c r="N161" s="21">
        <v>331.68</v>
      </c>
      <c r="O161" s="21">
        <v>375.67</v>
      </c>
      <c r="P161" s="21">
        <v>510.21833333333331</v>
      </c>
      <c r="Q161" s="21">
        <v>616.80833333333328</v>
      </c>
      <c r="R161" s="21">
        <v>115.102</v>
      </c>
      <c r="S161" s="21">
        <v>109.83329999999999</v>
      </c>
      <c r="T161" s="21">
        <v>189.83580000000001</v>
      </c>
      <c r="U161" s="21">
        <v>2310.5500000000002</v>
      </c>
      <c r="V161" s="21">
        <v>2265.14</v>
      </c>
      <c r="W161" s="21"/>
      <c r="X161" s="16">
        <v>1E-4</v>
      </c>
      <c r="Y161" s="16">
        <f t="shared" si="2"/>
        <v>8.3329514133367866E-6</v>
      </c>
    </row>
    <row r="162" spans="1:25" x14ac:dyDescent="0.35">
      <c r="A162" s="23">
        <v>44377</v>
      </c>
      <c r="B162" s="21">
        <v>2062.7800000000002</v>
      </c>
      <c r="C162" s="21">
        <v>4442.38</v>
      </c>
      <c r="D162" s="21">
        <v>1352.038</v>
      </c>
      <c r="E162" s="21">
        <v>257.44920000000002</v>
      </c>
      <c r="F162" s="21">
        <v>391.75</v>
      </c>
      <c r="G162" s="21">
        <v>468.77</v>
      </c>
      <c r="H162" s="21">
        <v>514.91999999999996</v>
      </c>
      <c r="I162" s="21">
        <v>626.80999999999995</v>
      </c>
      <c r="J162" s="21">
        <v>2100.0329999999999</v>
      </c>
      <c r="K162" s="21">
        <v>7482.07</v>
      </c>
      <c r="L162" s="21">
        <v>139.6541</v>
      </c>
      <c r="M162" s="21">
        <v>2305.54</v>
      </c>
      <c r="N162" s="21">
        <v>332.35</v>
      </c>
      <c r="O162" s="21">
        <v>375.6</v>
      </c>
      <c r="P162" s="21">
        <v>508.62666666666661</v>
      </c>
      <c r="Q162" s="21">
        <v>616.01666666666677</v>
      </c>
      <c r="R162" s="21">
        <v>115.5535</v>
      </c>
      <c r="S162" s="21">
        <v>109.5412</v>
      </c>
      <c r="T162" s="21">
        <v>190.24520000000001</v>
      </c>
      <c r="U162" s="21">
        <v>2226.25</v>
      </c>
      <c r="V162" s="21">
        <v>2349.2800000000002</v>
      </c>
      <c r="W162" s="21"/>
      <c r="X162" s="16">
        <v>4.2999999999999999E-4</v>
      </c>
      <c r="Y162" s="16">
        <f t="shared" si="2"/>
        <v>3.5826273120154184E-5</v>
      </c>
    </row>
    <row r="163" spans="1:25" x14ac:dyDescent="0.35">
      <c r="A163" s="23">
        <v>44408</v>
      </c>
      <c r="B163" s="21">
        <v>2078.84</v>
      </c>
      <c r="C163" s="21">
        <v>4604.42</v>
      </c>
      <c r="D163" s="21">
        <v>1363.251</v>
      </c>
      <c r="E163" s="21">
        <v>261.6069</v>
      </c>
      <c r="F163" s="21">
        <v>395.8</v>
      </c>
      <c r="G163" s="21">
        <v>474.66</v>
      </c>
      <c r="H163" s="21">
        <v>521.62</v>
      </c>
      <c r="I163" s="21">
        <v>635.25</v>
      </c>
      <c r="J163" s="21">
        <v>2105.1799999999998</v>
      </c>
      <c r="K163" s="21">
        <v>7639.71</v>
      </c>
      <c r="L163" s="21">
        <v>141.10820000000001</v>
      </c>
      <c r="M163" s="21">
        <v>2319.9499999999998</v>
      </c>
      <c r="N163" s="21">
        <v>335.45</v>
      </c>
      <c r="O163" s="21">
        <v>376.37</v>
      </c>
      <c r="P163" s="21">
        <v>509.32166666666666</v>
      </c>
      <c r="Q163" s="21">
        <v>617.83833333333325</v>
      </c>
      <c r="R163" s="21">
        <v>115.5338</v>
      </c>
      <c r="S163" s="21">
        <v>109.8252</v>
      </c>
      <c r="T163" s="21">
        <v>192.0326</v>
      </c>
      <c r="U163" s="21">
        <v>2273.77</v>
      </c>
      <c r="V163" s="21">
        <v>2387.06</v>
      </c>
      <c r="W163" s="21"/>
      <c r="X163" s="16">
        <v>4.2999999999999999E-4</v>
      </c>
      <c r="Y163" s="16">
        <f t="shared" si="2"/>
        <v>3.5826273120154184E-5</v>
      </c>
    </row>
    <row r="164" spans="1:25" x14ac:dyDescent="0.35">
      <c r="A164" s="23">
        <v>44439</v>
      </c>
      <c r="B164" s="21">
        <v>2075.39</v>
      </c>
      <c r="C164" s="21">
        <v>4594.7299999999996</v>
      </c>
      <c r="D164" s="21">
        <v>1358.248</v>
      </c>
      <c r="E164" s="21">
        <v>260.91980000000001</v>
      </c>
      <c r="F164" s="21">
        <v>395.14</v>
      </c>
      <c r="G164" s="21">
        <v>473.6</v>
      </c>
      <c r="H164" s="21">
        <v>520.09</v>
      </c>
      <c r="I164" s="21">
        <v>633.9</v>
      </c>
      <c r="J164" s="21">
        <v>2115.395</v>
      </c>
      <c r="K164" s="21">
        <v>7706.66</v>
      </c>
      <c r="L164" s="21">
        <v>141.07480000000001</v>
      </c>
      <c r="M164" s="21">
        <v>2316.16</v>
      </c>
      <c r="N164" s="21">
        <v>334.84</v>
      </c>
      <c r="O164" s="21">
        <v>376.35</v>
      </c>
      <c r="P164" s="21">
        <v>511.27333333333331</v>
      </c>
      <c r="Q164" s="21">
        <v>621.24333333333334</v>
      </c>
      <c r="R164" s="21">
        <v>115.99590000000001</v>
      </c>
      <c r="S164" s="21">
        <v>110.14790000000001</v>
      </c>
      <c r="T164" s="21">
        <v>191.64830000000001</v>
      </c>
      <c r="U164" s="21">
        <v>2204.37</v>
      </c>
      <c r="V164" s="21">
        <v>2284.1</v>
      </c>
      <c r="W164" s="21"/>
      <c r="X164" s="16">
        <v>4.0999999999999999E-4</v>
      </c>
      <c r="Y164" s="16">
        <f t="shared" si="2"/>
        <v>3.4160247861958482E-5</v>
      </c>
    </row>
    <row r="165" spans="1:25" x14ac:dyDescent="0.35">
      <c r="A165" s="23">
        <v>44469</v>
      </c>
      <c r="B165" s="21">
        <v>2062.67</v>
      </c>
      <c r="C165" s="21">
        <v>4463.1899999999996</v>
      </c>
      <c r="D165" s="21">
        <v>1348.4459999999999</v>
      </c>
      <c r="E165" s="21">
        <v>257.2996</v>
      </c>
      <c r="F165" s="21">
        <v>392.07</v>
      </c>
      <c r="G165" s="21">
        <v>468.79</v>
      </c>
      <c r="H165" s="21">
        <v>514.39</v>
      </c>
      <c r="I165" s="21">
        <v>627.03</v>
      </c>
      <c r="J165" s="21">
        <v>2116.1860000000001</v>
      </c>
      <c r="K165" s="21">
        <v>7659.03</v>
      </c>
      <c r="L165" s="21">
        <v>139.78139999999999</v>
      </c>
      <c r="M165" s="21">
        <v>2307.8000000000002</v>
      </c>
      <c r="N165" s="21">
        <v>332.26</v>
      </c>
      <c r="O165" s="21">
        <v>375.8</v>
      </c>
      <c r="P165" s="21">
        <v>513.84666666666669</v>
      </c>
      <c r="Q165" s="21">
        <v>625.02166666666665</v>
      </c>
      <c r="R165" s="21">
        <v>116.6704</v>
      </c>
      <c r="S165" s="21">
        <v>110.29900000000001</v>
      </c>
      <c r="T165" s="21">
        <v>190.19540000000001</v>
      </c>
      <c r="U165" s="21">
        <v>2297.19</v>
      </c>
      <c r="V165" s="21">
        <v>2422.4499999999998</v>
      </c>
      <c r="W165" s="21"/>
      <c r="X165" s="16">
        <v>3.6999999999999999E-4</v>
      </c>
      <c r="Y165" s="16">
        <f t="shared" si="2"/>
        <v>3.082810574950301E-5</v>
      </c>
    </row>
    <row r="166" spans="1:25" x14ac:dyDescent="0.35">
      <c r="A166" s="23">
        <v>44500</v>
      </c>
      <c r="B166" s="21">
        <v>2050.88</v>
      </c>
      <c r="C166" s="21">
        <v>4546.17</v>
      </c>
      <c r="D166" s="21">
        <v>1344.5030999999999</v>
      </c>
      <c r="E166" s="21">
        <v>255.2389</v>
      </c>
      <c r="F166" s="21">
        <v>391.53</v>
      </c>
      <c r="G166" s="21">
        <v>470.29</v>
      </c>
      <c r="H166" s="21">
        <v>515.28</v>
      </c>
      <c r="I166" s="21">
        <v>628.74</v>
      </c>
      <c r="J166" s="21">
        <v>2111.4659999999999</v>
      </c>
      <c r="K166" s="21">
        <v>7695.44</v>
      </c>
      <c r="L166" s="21">
        <v>139.31569999999999</v>
      </c>
      <c r="M166" s="21">
        <v>2303.41</v>
      </c>
      <c r="N166" s="21">
        <v>330.96</v>
      </c>
      <c r="O166" s="21">
        <v>374.5</v>
      </c>
      <c r="P166" s="21">
        <v>515.66666666666663</v>
      </c>
      <c r="Q166" s="21">
        <v>627.98</v>
      </c>
      <c r="R166" s="21">
        <v>116.98099999999999</v>
      </c>
      <c r="S166" s="21">
        <v>110.3336</v>
      </c>
      <c r="T166" s="21">
        <v>189.4539</v>
      </c>
      <c r="U166" s="21">
        <v>2198.91</v>
      </c>
      <c r="V166" s="21">
        <v>2430.67</v>
      </c>
      <c r="W166" s="21"/>
      <c r="X166" s="16">
        <v>5.5000000000000003E-4</v>
      </c>
      <c r="Y166" s="16">
        <f t="shared" si="2"/>
        <v>4.5821783572153052E-5</v>
      </c>
    </row>
    <row r="167" spans="1:25" x14ac:dyDescent="0.35">
      <c r="A167" s="23">
        <v>44530</v>
      </c>
      <c r="B167" s="21">
        <v>2056.2399999999998</v>
      </c>
      <c r="C167" s="21">
        <v>4666.83</v>
      </c>
      <c r="D167" s="21">
        <v>1355.9490000000001</v>
      </c>
      <c r="E167" s="21">
        <v>258.83330000000001</v>
      </c>
      <c r="F167" s="21">
        <v>393.05</v>
      </c>
      <c r="G167" s="21">
        <v>471.55</v>
      </c>
      <c r="H167" s="21">
        <v>516.1</v>
      </c>
      <c r="I167" s="21">
        <v>628.4</v>
      </c>
      <c r="J167" s="21">
        <v>2091.3789999999999</v>
      </c>
      <c r="K167" s="21">
        <v>7600.11</v>
      </c>
      <c r="L167" s="21">
        <v>139.7474</v>
      </c>
      <c r="M167" s="21">
        <v>2301.27</v>
      </c>
      <c r="N167" s="21">
        <v>330.65</v>
      </c>
      <c r="O167" s="21">
        <v>374.25</v>
      </c>
      <c r="P167" s="21">
        <v>517.06666666666672</v>
      </c>
      <c r="Q167" s="21">
        <v>630.02166666666665</v>
      </c>
      <c r="R167" s="21">
        <v>116.98820000000001</v>
      </c>
      <c r="S167" s="21">
        <v>109.6443</v>
      </c>
      <c r="T167" s="21">
        <v>189.2338</v>
      </c>
      <c r="U167" s="21">
        <v>2245.31</v>
      </c>
      <c r="V167" s="21">
        <v>2551.12</v>
      </c>
      <c r="W167" s="21"/>
      <c r="X167" s="16">
        <v>5.0999999999999993E-4</v>
      </c>
      <c r="Y167" s="16">
        <f t="shared" si="2"/>
        <v>4.2490068860701058E-5</v>
      </c>
    </row>
    <row r="168" spans="1:25" x14ac:dyDescent="0.35">
      <c r="A168" s="23">
        <v>44561</v>
      </c>
      <c r="B168" s="21">
        <v>2050.81</v>
      </c>
      <c r="C168" s="21">
        <v>4600.47</v>
      </c>
      <c r="D168" s="21">
        <v>1358.1369999999999</v>
      </c>
      <c r="E168" s="21">
        <v>256.95920000000001</v>
      </c>
      <c r="F168" s="21">
        <v>391.74</v>
      </c>
      <c r="G168" s="21">
        <v>469.88</v>
      </c>
      <c r="H168" s="21">
        <v>515.13</v>
      </c>
      <c r="I168" s="21">
        <v>629.09</v>
      </c>
      <c r="J168" s="21">
        <v>2129.8960000000002</v>
      </c>
      <c r="K168" s="21">
        <v>7775.89</v>
      </c>
      <c r="L168" s="21">
        <v>139.6438</v>
      </c>
      <c r="M168" s="21">
        <v>2299.1999999999998</v>
      </c>
      <c r="N168" s="21">
        <v>330.14</v>
      </c>
      <c r="O168" s="21">
        <v>373.64</v>
      </c>
      <c r="P168" s="21">
        <v>517.10166666666669</v>
      </c>
      <c r="Q168" s="21">
        <v>630.40166666666676</v>
      </c>
      <c r="R168" s="21">
        <v>117.5566</v>
      </c>
      <c r="S168" s="21">
        <v>109.6755</v>
      </c>
      <c r="T168" s="21">
        <v>188.95830000000001</v>
      </c>
      <c r="U168" s="21">
        <v>2028.45</v>
      </c>
      <c r="V168" s="21">
        <v>2437.5500000000002</v>
      </c>
      <c r="W168" s="21"/>
      <c r="X168" s="16">
        <v>4.3999999999999996E-4</v>
      </c>
      <c r="Y168" s="16">
        <f t="shared" si="2"/>
        <v>3.6659274300188116E-5</v>
      </c>
    </row>
    <row r="169" spans="1:25" x14ac:dyDescent="0.35">
      <c r="A169" s="23">
        <v>44592</v>
      </c>
      <c r="B169" s="21">
        <v>2024.47</v>
      </c>
      <c r="C169" s="21">
        <v>4410.07</v>
      </c>
      <c r="D169" s="21">
        <v>1320.96</v>
      </c>
      <c r="E169" s="21">
        <v>253.50290000000001</v>
      </c>
      <c r="F169" s="21">
        <v>385.02</v>
      </c>
      <c r="G169" s="21">
        <v>456.46</v>
      </c>
      <c r="H169" s="21">
        <v>499.08</v>
      </c>
      <c r="I169" s="21">
        <v>607.19000000000005</v>
      </c>
      <c r="J169" s="21">
        <v>2076.9389999999999</v>
      </c>
      <c r="K169" s="21">
        <v>7306.88</v>
      </c>
      <c r="L169" s="21">
        <v>136.96090000000001</v>
      </c>
      <c r="M169" s="21">
        <v>2265.1</v>
      </c>
      <c r="N169" s="21">
        <v>324.89999999999998</v>
      </c>
      <c r="O169" s="21">
        <v>371.54</v>
      </c>
      <c r="P169" s="21">
        <v>513.34500000000003</v>
      </c>
      <c r="Q169" s="21">
        <v>625.72500000000002</v>
      </c>
      <c r="R169" s="21">
        <v>118.04259999999999</v>
      </c>
      <c r="S169" s="21">
        <v>109.05459999999999</v>
      </c>
      <c r="T169" s="21">
        <v>186.01929999999999</v>
      </c>
      <c r="U169" s="21">
        <v>2048.09</v>
      </c>
      <c r="V169" s="21">
        <v>2369.15</v>
      </c>
      <c r="W169" s="21"/>
      <c r="X169" s="16">
        <v>1.8599999999999999E-3</v>
      </c>
      <c r="Y169" s="16">
        <f t="shared" si="2"/>
        <v>1.5486801931063887E-4</v>
      </c>
    </row>
    <row r="170" spans="1:25" x14ac:dyDescent="0.35">
      <c r="A170" s="23">
        <v>44620</v>
      </c>
      <c r="B170" s="21">
        <v>2015.45</v>
      </c>
      <c r="C170" s="21">
        <v>4345.6099999999997</v>
      </c>
      <c r="D170" s="21">
        <v>1316.2280000000001</v>
      </c>
      <c r="E170" s="21">
        <v>250.315</v>
      </c>
      <c r="F170" s="21">
        <v>381.98</v>
      </c>
      <c r="G170" s="21">
        <v>449.91</v>
      </c>
      <c r="H170" s="21">
        <v>489.67</v>
      </c>
      <c r="I170" s="21">
        <v>594.21</v>
      </c>
      <c r="J170" s="21">
        <v>2058.0970000000002</v>
      </c>
      <c r="K170" s="21">
        <v>7106.09</v>
      </c>
      <c r="L170" s="21">
        <v>133.53579999999999</v>
      </c>
      <c r="M170" s="21">
        <v>2243.1999999999998</v>
      </c>
      <c r="N170" s="21">
        <v>321</v>
      </c>
      <c r="O170" s="21">
        <v>369.19</v>
      </c>
      <c r="P170" s="21">
        <v>508.27500000000003</v>
      </c>
      <c r="Q170" s="21">
        <v>619.11</v>
      </c>
      <c r="R170" s="21">
        <v>117.4081</v>
      </c>
      <c r="S170" s="21">
        <v>107.8554</v>
      </c>
      <c r="T170" s="21">
        <v>183.8022</v>
      </c>
      <c r="U170" s="21">
        <v>2070.13</v>
      </c>
      <c r="V170" s="21">
        <v>2489.5500000000002</v>
      </c>
      <c r="W170" s="21"/>
      <c r="X170" s="16">
        <v>3.0699999999999998E-3</v>
      </c>
      <c r="Y170" s="16">
        <f t="shared" si="2"/>
        <v>2.5547405899550846E-4</v>
      </c>
    </row>
    <row r="171" spans="1:25" x14ac:dyDescent="0.35">
      <c r="A171" s="23">
        <v>44651</v>
      </c>
      <c r="B171" s="21">
        <v>1964.54</v>
      </c>
      <c r="C171" s="21">
        <v>4113.6099999999997</v>
      </c>
      <c r="D171" s="21">
        <v>1273.5600999999999</v>
      </c>
      <c r="E171" s="21">
        <v>243.43549999999999</v>
      </c>
      <c r="F171" s="21">
        <v>370.98</v>
      </c>
      <c r="G171" s="21">
        <v>436.86</v>
      </c>
      <c r="H171" s="21">
        <v>477.67</v>
      </c>
      <c r="I171" s="21">
        <v>579.54999999999995</v>
      </c>
      <c r="J171" s="21">
        <v>2035.797</v>
      </c>
      <c r="K171" s="21">
        <v>6948.5</v>
      </c>
      <c r="L171" s="21">
        <v>130.54480000000001</v>
      </c>
      <c r="M171" s="21">
        <v>2184.86</v>
      </c>
      <c r="N171" s="21">
        <v>311.69</v>
      </c>
      <c r="O171" s="21">
        <v>362.88</v>
      </c>
      <c r="P171" s="21">
        <v>502.15500000000003</v>
      </c>
      <c r="Q171" s="21">
        <v>611.19666666666672</v>
      </c>
      <c r="R171" s="21">
        <v>117.50149999999999</v>
      </c>
      <c r="S171" s="21">
        <v>105.97799999999999</v>
      </c>
      <c r="T171" s="21">
        <v>178.45500000000001</v>
      </c>
      <c r="U171" s="21">
        <v>1864.1</v>
      </c>
      <c r="V171" s="21">
        <v>2478.86</v>
      </c>
      <c r="W171" s="21"/>
      <c r="X171" s="16">
        <v>4.96E-3</v>
      </c>
      <c r="Y171" s="16">
        <f t="shared" si="2"/>
        <v>4.123966557902925E-4</v>
      </c>
    </row>
    <row r="172" spans="1:25" x14ac:dyDescent="0.35">
      <c r="A172" s="23">
        <v>44681</v>
      </c>
      <c r="B172" s="21">
        <v>1933.02</v>
      </c>
      <c r="C172" s="21">
        <v>3747.82</v>
      </c>
      <c r="D172" s="21">
        <v>1238.3340000000001</v>
      </c>
      <c r="E172" s="21">
        <v>237.82490000000001</v>
      </c>
      <c r="F172" s="21">
        <v>359.13</v>
      </c>
      <c r="G172" s="21">
        <v>416.9</v>
      </c>
      <c r="H172" s="21">
        <v>453.2</v>
      </c>
      <c r="I172" s="21">
        <v>546.30999999999995</v>
      </c>
      <c r="J172" s="21">
        <v>1966.702</v>
      </c>
      <c r="K172" s="21">
        <v>6459.41</v>
      </c>
      <c r="L172" s="21">
        <v>126.61150000000001</v>
      </c>
      <c r="M172" s="21">
        <v>2108.17</v>
      </c>
      <c r="N172" s="21">
        <v>304.5</v>
      </c>
      <c r="O172" s="21">
        <v>360.11</v>
      </c>
      <c r="P172" s="21">
        <v>491.80833333333334</v>
      </c>
      <c r="Q172" s="21">
        <v>597.45833333333337</v>
      </c>
      <c r="R172" s="21">
        <v>117.6519</v>
      </c>
      <c r="S172" s="21">
        <v>103.88330000000001</v>
      </c>
      <c r="T172" s="21">
        <v>174.38220000000001</v>
      </c>
      <c r="U172" s="21">
        <v>1864.04</v>
      </c>
      <c r="V172" s="21">
        <v>2328.65</v>
      </c>
      <c r="W172" s="21"/>
      <c r="X172" s="16">
        <v>8.3400000000000002E-3</v>
      </c>
      <c r="Y172" s="16">
        <f t="shared" si="2"/>
        <v>6.9235743242579417E-4</v>
      </c>
    </row>
    <row r="173" spans="1:25" x14ac:dyDescent="0.35">
      <c r="A173" s="23">
        <v>44712</v>
      </c>
      <c r="B173" s="21">
        <v>1946.18</v>
      </c>
      <c r="C173" s="21">
        <v>3676.9</v>
      </c>
      <c r="D173" s="21">
        <v>1256.729</v>
      </c>
      <c r="E173" s="21">
        <v>235.75020000000001</v>
      </c>
      <c r="F173" s="21">
        <v>361.13</v>
      </c>
      <c r="G173" s="21">
        <v>419.3</v>
      </c>
      <c r="H173" s="21">
        <v>457.62</v>
      </c>
      <c r="I173" s="21">
        <v>551.05999999999995</v>
      </c>
      <c r="J173" s="21">
        <v>1971.6279999999999</v>
      </c>
      <c r="K173" s="21">
        <v>6467.55</v>
      </c>
      <c r="L173" s="21">
        <v>126.2741</v>
      </c>
      <c r="M173" s="21">
        <v>2131.48</v>
      </c>
      <c r="N173" s="21">
        <v>305.13</v>
      </c>
      <c r="O173" s="21">
        <v>361.23</v>
      </c>
      <c r="P173" s="21">
        <v>482.06166666666667</v>
      </c>
      <c r="Q173" s="21">
        <v>584.56833333333327</v>
      </c>
      <c r="R173" s="21">
        <v>114.848</v>
      </c>
      <c r="S173" s="21">
        <v>105.10760000000001</v>
      </c>
      <c r="T173" s="21">
        <v>174.68289999999999</v>
      </c>
      <c r="U173" s="21">
        <v>1707.99</v>
      </c>
      <c r="V173" s="21">
        <v>2169.34</v>
      </c>
      <c r="W173" s="21"/>
      <c r="X173" s="16">
        <v>1.0580000000000001E-2</v>
      </c>
      <c r="Y173" s="16">
        <f t="shared" si="2"/>
        <v>8.7741999592516606E-4</v>
      </c>
    </row>
    <row r="174" spans="1:25" x14ac:dyDescent="0.35">
      <c r="A174" s="23">
        <v>44742</v>
      </c>
      <c r="B174" s="21">
        <v>1931.78</v>
      </c>
      <c r="C174" s="21">
        <v>3622.68</v>
      </c>
      <c r="D174" s="21">
        <v>1236.146</v>
      </c>
      <c r="E174" s="21">
        <v>232.4667</v>
      </c>
      <c r="F174" s="21">
        <v>356.97</v>
      </c>
      <c r="G174" s="21">
        <v>412.29</v>
      </c>
      <c r="H174" s="21">
        <v>446.58</v>
      </c>
      <c r="I174" s="21">
        <v>533.57000000000005</v>
      </c>
      <c r="J174" s="21">
        <v>1840.6320000000001</v>
      </c>
      <c r="K174" s="21">
        <v>5893.17</v>
      </c>
      <c r="L174" s="21">
        <v>123.2032</v>
      </c>
      <c r="M174" s="21">
        <v>2097.35</v>
      </c>
      <c r="N174" s="21">
        <v>302.8</v>
      </c>
      <c r="O174" s="21">
        <v>359.56</v>
      </c>
      <c r="P174" s="21">
        <v>470.63666666666671</v>
      </c>
      <c r="Q174" s="21">
        <v>568.64833333333343</v>
      </c>
      <c r="R174" s="21">
        <v>112.8723</v>
      </c>
      <c r="S174" s="21">
        <v>104.0958</v>
      </c>
      <c r="T174" s="21">
        <v>173.31219999999999</v>
      </c>
      <c r="U174" s="21">
        <v>1885.23</v>
      </c>
      <c r="V174" s="21">
        <v>2399.2399999999998</v>
      </c>
      <c r="W174" s="21"/>
      <c r="X174" s="16">
        <v>1.6670000000000001E-2</v>
      </c>
      <c r="Y174" s="16">
        <f t="shared" si="2"/>
        <v>1.3786645382367624E-3</v>
      </c>
    </row>
    <row r="175" spans="1:25" x14ac:dyDescent="0.35">
      <c r="A175" s="23">
        <v>44773</v>
      </c>
      <c r="B175" s="21">
        <v>1957.68</v>
      </c>
      <c r="C175" s="21">
        <v>3719.33</v>
      </c>
      <c r="D175" s="21">
        <v>1268.807</v>
      </c>
      <c r="E175" s="21">
        <v>239.25309999999999</v>
      </c>
      <c r="F175" s="21">
        <v>364.83</v>
      </c>
      <c r="G175" s="21">
        <v>422.86</v>
      </c>
      <c r="H175" s="21">
        <v>460.03</v>
      </c>
      <c r="I175" s="21">
        <v>551.37</v>
      </c>
      <c r="J175" s="21">
        <v>1948.6679999999999</v>
      </c>
      <c r="K175" s="21">
        <v>6291.07</v>
      </c>
      <c r="L175" s="21">
        <v>126.8493</v>
      </c>
      <c r="M175" s="21">
        <v>2164.7800000000002</v>
      </c>
      <c r="N175" s="21">
        <v>308.33</v>
      </c>
      <c r="O175" s="21">
        <v>361.3</v>
      </c>
      <c r="P175" s="21">
        <v>464.12833333333327</v>
      </c>
      <c r="Q175" s="21">
        <v>559.34500000000003</v>
      </c>
      <c r="R175" s="21">
        <v>114.4046</v>
      </c>
      <c r="S175" s="21">
        <v>106.2392</v>
      </c>
      <c r="T175" s="21">
        <v>176.46270000000001</v>
      </c>
      <c r="U175" s="21">
        <v>1844.12</v>
      </c>
      <c r="V175" s="21">
        <v>2270.08</v>
      </c>
      <c r="W175" s="21"/>
      <c r="X175" s="16">
        <v>2.3639999999999998E-2</v>
      </c>
      <c r="Y175" s="16">
        <f t="shared" si="2"/>
        <v>1.9489719738219335E-3</v>
      </c>
    </row>
    <row r="176" spans="1:25" x14ac:dyDescent="0.35">
      <c r="A176" s="23">
        <v>44804</v>
      </c>
      <c r="B176" s="21">
        <v>1918.31</v>
      </c>
      <c r="C176" s="21">
        <v>3554.69</v>
      </c>
      <c r="D176" s="21">
        <v>1240.999</v>
      </c>
      <c r="E176" s="21">
        <v>232.15870000000001</v>
      </c>
      <c r="F176" s="21">
        <v>354.54</v>
      </c>
      <c r="G176" s="21">
        <v>411.01</v>
      </c>
      <c r="H176" s="21">
        <v>446.58</v>
      </c>
      <c r="I176" s="21">
        <v>536.01</v>
      </c>
      <c r="J176" s="21">
        <v>1903.1110000000001</v>
      </c>
      <c r="K176" s="21">
        <v>6200.78</v>
      </c>
      <c r="L176" s="21">
        <v>123.24850000000001</v>
      </c>
      <c r="M176" s="21">
        <v>2090.7600000000002</v>
      </c>
      <c r="N176" s="21">
        <v>300.48</v>
      </c>
      <c r="O176" s="21">
        <v>358.9</v>
      </c>
      <c r="P176" s="21">
        <v>456.94666666666666</v>
      </c>
      <c r="Q176" s="21">
        <v>549.64499999999998</v>
      </c>
      <c r="R176" s="21">
        <v>116.1712</v>
      </c>
      <c r="S176" s="21">
        <v>103.62430000000001</v>
      </c>
      <c r="T176" s="21">
        <v>172.01179999999999</v>
      </c>
      <c r="U176" s="21">
        <v>1664.72</v>
      </c>
      <c r="V176" s="21">
        <v>2032.84</v>
      </c>
      <c r="W176" s="21"/>
      <c r="X176" s="16">
        <v>2.9249999999999998E-2</v>
      </c>
      <c r="Y176" s="16">
        <f t="shared" si="2"/>
        <v>2.4054201978831458E-3</v>
      </c>
    </row>
    <row r="177" spans="1:25" x14ac:dyDescent="0.35">
      <c r="A177" s="23">
        <v>44834</v>
      </c>
      <c r="B177" s="21">
        <v>1872.35</v>
      </c>
      <c r="C177" s="21">
        <v>3273.88</v>
      </c>
      <c r="D177" s="21">
        <v>1193.3689999999999</v>
      </c>
      <c r="E177" s="21">
        <v>225.8914</v>
      </c>
      <c r="F177" s="21">
        <v>340.31</v>
      </c>
      <c r="G177" s="21">
        <v>392.04</v>
      </c>
      <c r="H177" s="21">
        <v>423.48</v>
      </c>
      <c r="I177" s="21">
        <v>507.71</v>
      </c>
      <c r="J177" s="21">
        <v>1829.4490000000001</v>
      </c>
      <c r="K177" s="21">
        <v>5791.62</v>
      </c>
      <c r="L177" s="21">
        <v>118.60639999999999</v>
      </c>
      <c r="M177" s="21">
        <v>1985.15</v>
      </c>
      <c r="N177" s="21">
        <v>291.14</v>
      </c>
      <c r="O177" s="21">
        <v>354.73</v>
      </c>
      <c r="P177" s="21">
        <v>447.91499999999996</v>
      </c>
      <c r="Q177" s="21">
        <v>537.67166666666662</v>
      </c>
      <c r="R177" s="21">
        <v>113.9669</v>
      </c>
      <c r="S177" s="21">
        <v>99.328500000000005</v>
      </c>
      <c r="T177" s="21">
        <v>166.69710000000001</v>
      </c>
      <c r="U177" s="21">
        <v>1846.86</v>
      </c>
      <c r="V177" s="21">
        <v>2072.98</v>
      </c>
      <c r="W177" s="21"/>
      <c r="X177" s="16">
        <v>3.27E-2</v>
      </c>
      <c r="Y177" s="16">
        <f t="shared" si="2"/>
        <v>2.6849924609559928E-3</v>
      </c>
    </row>
    <row r="178" spans="1:25" x14ac:dyDescent="0.35">
      <c r="A178" s="23">
        <v>44865</v>
      </c>
      <c r="B178" s="21">
        <v>1863.88</v>
      </c>
      <c r="C178" s="21">
        <v>3092.22</v>
      </c>
      <c r="D178" s="21">
        <v>1183.444</v>
      </c>
      <c r="E178" s="21">
        <v>226.90889999999999</v>
      </c>
      <c r="F178" s="21">
        <v>335.61</v>
      </c>
      <c r="G178" s="21">
        <v>385.89</v>
      </c>
      <c r="H178" s="21">
        <v>418.23</v>
      </c>
      <c r="I178" s="21">
        <v>503.87</v>
      </c>
      <c r="J178" s="21">
        <v>1878.566</v>
      </c>
      <c r="K178" s="21">
        <v>5808.77</v>
      </c>
      <c r="L178" s="21">
        <v>118.2362</v>
      </c>
      <c r="M178" s="21">
        <v>1956.87</v>
      </c>
      <c r="N178" s="21">
        <v>286.47000000000003</v>
      </c>
      <c r="O178" s="21">
        <v>351.77</v>
      </c>
      <c r="P178" s="21">
        <v>442.08666666666664</v>
      </c>
      <c r="Q178" s="21">
        <v>530.59833333333336</v>
      </c>
      <c r="R178" s="21">
        <v>114.67529999999999</v>
      </c>
      <c r="S178" s="21">
        <v>98.162599999999998</v>
      </c>
      <c r="T178" s="21">
        <v>164.0223</v>
      </c>
      <c r="U178" s="21">
        <v>1886.58</v>
      </c>
      <c r="V178" s="21">
        <v>2118.89</v>
      </c>
      <c r="W178" s="21"/>
      <c r="X178" s="16">
        <v>4.0739999999999998E-2</v>
      </c>
      <c r="Y178" s="16">
        <f t="shared" si="2"/>
        <v>3.3332093781337502E-3</v>
      </c>
    </row>
    <row r="179" spans="1:25" x14ac:dyDescent="0.35">
      <c r="A179" s="23">
        <v>44895</v>
      </c>
      <c r="B179" s="21">
        <v>1896.03</v>
      </c>
      <c r="C179" s="21">
        <v>3310.9</v>
      </c>
      <c r="D179" s="21">
        <v>1238.798</v>
      </c>
      <c r="E179" s="21">
        <v>231.9941</v>
      </c>
      <c r="F179" s="21">
        <v>346.26</v>
      </c>
      <c r="G179" s="21">
        <v>402.07</v>
      </c>
      <c r="H179" s="21">
        <v>438.91</v>
      </c>
      <c r="I179" s="21">
        <v>531.1</v>
      </c>
      <c r="J179" s="21">
        <v>1917.9680000000001</v>
      </c>
      <c r="K179" s="21">
        <v>6048.51</v>
      </c>
      <c r="L179" s="21">
        <v>122.3796</v>
      </c>
      <c r="M179" s="21">
        <v>2036.63</v>
      </c>
      <c r="N179" s="21">
        <v>293.99</v>
      </c>
      <c r="O179" s="21">
        <v>355.24</v>
      </c>
      <c r="P179" s="21">
        <v>438.96833333333325</v>
      </c>
      <c r="Q179" s="21">
        <v>527.27166666666665</v>
      </c>
      <c r="R179" s="21">
        <v>116.09910000000001</v>
      </c>
      <c r="S179" s="21">
        <v>102.2234</v>
      </c>
      <c r="T179" s="21">
        <v>168.22470000000001</v>
      </c>
      <c r="U179" s="21">
        <v>1761.25</v>
      </c>
      <c r="V179" s="21">
        <v>1979.21</v>
      </c>
      <c r="W179" s="21"/>
      <c r="X179" s="16">
        <v>4.3490000000000001E-2</v>
      </c>
      <c r="Y179" s="16">
        <f t="shared" si="2"/>
        <v>3.5538721110734972E-3</v>
      </c>
    </row>
    <row r="180" spans="1:25" x14ac:dyDescent="0.35">
      <c r="A180" s="23">
        <v>44926</v>
      </c>
      <c r="B180" s="21">
        <v>1891.4</v>
      </c>
      <c r="C180" s="21">
        <v>3254.58</v>
      </c>
      <c r="D180" s="21">
        <v>1242.345</v>
      </c>
      <c r="E180" s="21">
        <v>227.3023</v>
      </c>
      <c r="F180" s="21">
        <v>344.67</v>
      </c>
      <c r="G180" s="21">
        <v>399.87</v>
      </c>
      <c r="H180" s="21">
        <v>437.15</v>
      </c>
      <c r="I180" s="21">
        <v>528.88</v>
      </c>
      <c r="J180" s="21">
        <v>1905.4970000000001</v>
      </c>
      <c r="K180" s="21">
        <v>6051.37</v>
      </c>
      <c r="L180" s="21">
        <v>121.3869</v>
      </c>
      <c r="M180" s="21">
        <v>2027.65</v>
      </c>
      <c r="N180" s="21">
        <v>294.12</v>
      </c>
      <c r="O180" s="21">
        <v>357.59</v>
      </c>
      <c r="P180" s="21">
        <v>437.3966666666667</v>
      </c>
      <c r="Q180" s="21">
        <v>526.49</v>
      </c>
      <c r="R180" s="21">
        <v>116.68989999999999</v>
      </c>
      <c r="S180" s="21">
        <v>102.0462</v>
      </c>
      <c r="T180" s="21">
        <v>168.28530000000001</v>
      </c>
      <c r="U180" s="21">
        <v>1931.94</v>
      </c>
      <c r="V180" s="21">
        <v>2117.38</v>
      </c>
      <c r="W180" s="21"/>
      <c r="X180" s="16">
        <v>4.3739999999999994E-2</v>
      </c>
      <c r="Y180" s="16">
        <f t="shared" si="2"/>
        <v>3.5739059177171129E-3</v>
      </c>
    </row>
    <row r="181" spans="1:25" x14ac:dyDescent="0.35">
      <c r="A181" s="23">
        <v>44957</v>
      </c>
      <c r="B181" s="21">
        <v>1921.74</v>
      </c>
      <c r="C181" s="21">
        <v>3463.2</v>
      </c>
      <c r="D181" s="21">
        <v>1278.0309999999999</v>
      </c>
      <c r="E181" s="21">
        <v>232.36330000000001</v>
      </c>
      <c r="F181" s="21">
        <v>354.25</v>
      </c>
      <c r="G181" s="21">
        <v>413.2</v>
      </c>
      <c r="H181" s="21">
        <v>453.65</v>
      </c>
      <c r="I181" s="21">
        <v>550.76</v>
      </c>
      <c r="J181" s="21">
        <v>1977.1310000000001</v>
      </c>
      <c r="K181" s="21">
        <v>6356.58</v>
      </c>
      <c r="L181" s="21">
        <v>124.56359999999999</v>
      </c>
      <c r="M181" s="21">
        <v>2094.4499999999998</v>
      </c>
      <c r="N181" s="21">
        <v>301.87</v>
      </c>
      <c r="O181" s="21">
        <v>362.65</v>
      </c>
      <c r="P181" s="21">
        <v>436.33333333333331</v>
      </c>
      <c r="Q181" s="21">
        <v>526.38833333333332</v>
      </c>
      <c r="R181" s="21">
        <v>119.645</v>
      </c>
      <c r="S181" s="21">
        <v>105.1621</v>
      </c>
      <c r="T181" s="21">
        <v>172.732</v>
      </c>
      <c r="U181" s="21">
        <v>1896.99</v>
      </c>
      <c r="V181" s="21">
        <v>2068.84</v>
      </c>
      <c r="W181" s="21"/>
      <c r="X181" s="16">
        <v>4.6649999999999997E-2</v>
      </c>
      <c r="Y181" s="16">
        <f t="shared" si="2"/>
        <v>3.8067764001290527E-3</v>
      </c>
    </row>
    <row r="182" spans="1:25" x14ac:dyDescent="0.35">
      <c r="A182" s="23">
        <v>44985</v>
      </c>
      <c r="B182" s="21">
        <v>1888.08</v>
      </c>
      <c r="C182" s="21">
        <v>3298.92</v>
      </c>
      <c r="D182" s="21">
        <v>1249.1320000000001</v>
      </c>
      <c r="E182" s="21">
        <v>228.96209999999999</v>
      </c>
      <c r="F182" s="21">
        <v>345.68</v>
      </c>
      <c r="G182" s="21">
        <v>402.69</v>
      </c>
      <c r="H182" s="21">
        <v>439.96</v>
      </c>
      <c r="I182" s="21">
        <v>533.25</v>
      </c>
      <c r="J182" s="21">
        <v>1952.962</v>
      </c>
      <c r="K182" s="21">
        <v>6172.74</v>
      </c>
      <c r="L182" s="21">
        <v>122.46169999999999</v>
      </c>
      <c r="M182" s="21">
        <v>2039.15</v>
      </c>
      <c r="N182" s="21">
        <v>296.23</v>
      </c>
      <c r="O182" s="21">
        <v>359.57</v>
      </c>
      <c r="P182" s="21">
        <v>435.23</v>
      </c>
      <c r="Q182" s="21">
        <v>525.92833333333328</v>
      </c>
      <c r="R182" s="21">
        <v>120.419</v>
      </c>
      <c r="S182" s="21">
        <v>102.6467</v>
      </c>
      <c r="T182" s="21">
        <v>169.52289999999999</v>
      </c>
      <c r="U182" s="21">
        <v>1802.48</v>
      </c>
      <c r="V182" s="21">
        <v>1943.4</v>
      </c>
      <c r="W182" s="21"/>
      <c r="X182" s="16">
        <v>4.8120000000000003E-2</v>
      </c>
      <c r="Y182" s="16">
        <f t="shared" si="2"/>
        <v>3.924186465693591E-3</v>
      </c>
    </row>
    <row r="183" spans="1:25" x14ac:dyDescent="0.35">
      <c r="A183" s="23">
        <v>45016</v>
      </c>
      <c r="B183" s="21">
        <v>1934.36</v>
      </c>
      <c r="C183" s="21">
        <v>3455.29</v>
      </c>
      <c r="D183" s="21">
        <v>1276.848</v>
      </c>
      <c r="E183" s="21">
        <v>234.59110000000001</v>
      </c>
      <c r="F183" s="21">
        <v>354.26</v>
      </c>
      <c r="G183" s="21">
        <v>413.66</v>
      </c>
      <c r="H183" s="21">
        <v>451.63</v>
      </c>
      <c r="I183" s="21">
        <v>547.78</v>
      </c>
      <c r="J183" s="21">
        <v>1973.4290000000001</v>
      </c>
      <c r="K183" s="21">
        <v>6273.47</v>
      </c>
      <c r="L183" s="21">
        <v>124.5508</v>
      </c>
      <c r="M183" s="21">
        <v>2078.87</v>
      </c>
      <c r="N183" s="21">
        <v>299.45</v>
      </c>
      <c r="O183" s="21">
        <v>364.24</v>
      </c>
      <c r="P183" s="21">
        <v>439.92166666666668</v>
      </c>
      <c r="Q183" s="21">
        <v>532.60666666666657</v>
      </c>
      <c r="R183" s="21">
        <v>120.2774</v>
      </c>
      <c r="S183" s="21">
        <v>104.85639999999999</v>
      </c>
      <c r="T183" s="21">
        <v>171.15299999999999</v>
      </c>
      <c r="U183" s="21">
        <v>1768.99</v>
      </c>
      <c r="V183" s="21">
        <v>1945.11</v>
      </c>
      <c r="W183" s="21"/>
      <c r="X183" s="16">
        <v>4.7489999999999997E-2</v>
      </c>
      <c r="Y183" s="16">
        <f t="shared" si="2"/>
        <v>3.8738863612004515E-3</v>
      </c>
    </row>
    <row r="184" spans="1:25" x14ac:dyDescent="0.35">
      <c r="A184" s="23">
        <v>45046</v>
      </c>
      <c r="B184" s="21">
        <v>1944.79</v>
      </c>
      <c r="C184" s="21">
        <v>3473.29</v>
      </c>
      <c r="D184" s="21">
        <v>1273.931</v>
      </c>
      <c r="E184" s="21">
        <v>235.13630000000001</v>
      </c>
      <c r="F184" s="21">
        <v>356.17</v>
      </c>
      <c r="G184" s="21">
        <v>416.65</v>
      </c>
      <c r="H184" s="21">
        <v>455.23</v>
      </c>
      <c r="I184" s="21">
        <v>552.19000000000005</v>
      </c>
      <c r="J184" s="21">
        <v>1993.405</v>
      </c>
      <c r="K184" s="21">
        <v>6312.09</v>
      </c>
      <c r="L184" s="21">
        <v>125.5254</v>
      </c>
      <c r="M184" s="21">
        <v>2089.63</v>
      </c>
      <c r="N184" s="21">
        <v>302.02</v>
      </c>
      <c r="O184" s="21">
        <v>366.05</v>
      </c>
      <c r="P184" s="21">
        <v>446.08833333333337</v>
      </c>
      <c r="Q184" s="21">
        <v>540.66</v>
      </c>
      <c r="R184" s="21">
        <v>121.41800000000001</v>
      </c>
      <c r="S184" s="21">
        <v>105.08839999999999</v>
      </c>
      <c r="T184" s="21">
        <v>172.60069999999999</v>
      </c>
      <c r="U184" s="21">
        <v>1749.65</v>
      </c>
      <c r="V184" s="21">
        <v>1919.27</v>
      </c>
      <c r="W184" s="21"/>
      <c r="X184" s="16">
        <v>5.0560000000000001E-2</v>
      </c>
      <c r="Y184" s="16">
        <f t="shared" si="2"/>
        <v>4.1187383955167967E-3</v>
      </c>
    </row>
    <row r="185" spans="1:25" x14ac:dyDescent="0.35">
      <c r="A185" s="23">
        <v>45077</v>
      </c>
      <c r="B185" s="21">
        <v>1930.17</v>
      </c>
      <c r="C185" s="21">
        <v>3376.22</v>
      </c>
      <c r="D185" s="21">
        <v>1262.8910000000001</v>
      </c>
      <c r="E185" s="21">
        <v>234.768</v>
      </c>
      <c r="F185" s="21">
        <v>352.71</v>
      </c>
      <c r="G185" s="21">
        <v>411.2</v>
      </c>
      <c r="H185" s="21">
        <v>448.8</v>
      </c>
      <c r="I185" s="21">
        <v>544.32000000000005</v>
      </c>
      <c r="J185" s="21">
        <v>1975.798</v>
      </c>
      <c r="K185" s="21">
        <v>6196.33</v>
      </c>
      <c r="L185" s="21">
        <v>125.0513</v>
      </c>
      <c r="M185" s="21">
        <v>2074.3200000000002</v>
      </c>
      <c r="N185" s="21">
        <v>300.19</v>
      </c>
      <c r="O185" s="21">
        <v>364.81</v>
      </c>
      <c r="P185" s="21">
        <v>447.73666666666668</v>
      </c>
      <c r="Q185" s="21">
        <v>542.86333333333334</v>
      </c>
      <c r="R185" s="21">
        <v>121.34569999999999</v>
      </c>
      <c r="S185" s="21">
        <v>104.02500000000001</v>
      </c>
      <c r="T185" s="21">
        <v>171.54429999999999</v>
      </c>
      <c r="U185" s="21">
        <v>1888.73</v>
      </c>
      <c r="V185" s="21">
        <v>1922.58</v>
      </c>
      <c r="W185" s="21"/>
      <c r="X185" s="16">
        <v>5.4029999999999995E-2</v>
      </c>
      <c r="Y185" s="16">
        <f t="shared" si="2"/>
        <v>4.3947045741528079E-3</v>
      </c>
    </row>
    <row r="186" spans="1:25" x14ac:dyDescent="0.35">
      <c r="A186" s="23">
        <v>45107</v>
      </c>
      <c r="B186" s="21">
        <v>1912.16</v>
      </c>
      <c r="C186" s="21">
        <v>3375.66</v>
      </c>
      <c r="D186" s="21">
        <v>1275.5419999999999</v>
      </c>
      <c r="E186" s="21">
        <v>234.8554</v>
      </c>
      <c r="F186" s="21">
        <v>350.5</v>
      </c>
      <c r="G186" s="21">
        <v>410.94</v>
      </c>
      <c r="H186" s="21">
        <v>449.83</v>
      </c>
      <c r="I186" s="21">
        <v>547.61</v>
      </c>
      <c r="J186" s="21">
        <v>2008.24</v>
      </c>
      <c r="K186" s="21">
        <v>6363.41</v>
      </c>
      <c r="L186" s="21">
        <v>124.8622</v>
      </c>
      <c r="M186" s="21">
        <v>2065.4699999999998</v>
      </c>
      <c r="N186" s="21">
        <v>297.64</v>
      </c>
      <c r="O186" s="21">
        <v>363.81</v>
      </c>
      <c r="P186" s="21">
        <v>449.84999999999997</v>
      </c>
      <c r="Q186" s="21">
        <v>545.98500000000001</v>
      </c>
      <c r="R186" s="21">
        <v>123.77119999999999</v>
      </c>
      <c r="S186" s="21">
        <v>103.79649999999999</v>
      </c>
      <c r="T186" s="21">
        <v>170.0814</v>
      </c>
      <c r="U186" s="21">
        <v>2003.18</v>
      </c>
      <c r="V186" s="21">
        <v>1971.49</v>
      </c>
      <c r="W186" s="21"/>
      <c r="X186" s="16">
        <v>5.2979999999999999E-2</v>
      </c>
      <c r="Y186" s="16">
        <f t="shared" si="2"/>
        <v>4.3112869402990306E-3</v>
      </c>
    </row>
    <row r="187" spans="1:25" x14ac:dyDescent="0.35">
      <c r="A187" s="23">
        <v>45138</v>
      </c>
      <c r="B187" s="21">
        <v>1914.16</v>
      </c>
      <c r="C187" s="21">
        <v>3302.48</v>
      </c>
      <c r="D187" s="21">
        <v>1280.588</v>
      </c>
      <c r="E187" s="21">
        <v>235.083</v>
      </c>
      <c r="F187" s="21">
        <v>349.73</v>
      </c>
      <c r="G187" s="21">
        <v>410.69</v>
      </c>
      <c r="H187" s="21">
        <v>450.97</v>
      </c>
      <c r="I187" s="21">
        <v>550.32000000000005</v>
      </c>
      <c r="J187" s="21">
        <v>2036.0640000000001</v>
      </c>
      <c r="K187" s="21">
        <v>6437.73</v>
      </c>
      <c r="L187" s="21">
        <v>125.73090000000001</v>
      </c>
      <c r="M187" s="21">
        <v>2063.9299999999998</v>
      </c>
      <c r="N187" s="21">
        <v>298.29000000000002</v>
      </c>
      <c r="O187" s="21">
        <v>365.34</v>
      </c>
      <c r="P187" s="21">
        <v>449.40333333333336</v>
      </c>
      <c r="Q187" s="21">
        <v>545.91166666666675</v>
      </c>
      <c r="R187" s="21">
        <v>125.5121</v>
      </c>
      <c r="S187" s="21">
        <v>103.6739</v>
      </c>
      <c r="T187" s="21">
        <v>170.44030000000001</v>
      </c>
      <c r="U187" s="21">
        <v>1899.68</v>
      </c>
      <c r="V187" s="21">
        <v>1931.02</v>
      </c>
      <c r="W187" s="21"/>
      <c r="X187" s="16">
        <v>5.4160000000000007E-2</v>
      </c>
      <c r="Y187" s="16">
        <f t="shared" si="2"/>
        <v>4.4050271717939182E-3</v>
      </c>
    </row>
    <row r="188" spans="1:25" x14ac:dyDescent="0.35">
      <c r="A188" s="23">
        <v>45169</v>
      </c>
      <c r="B188" s="21">
        <v>1915.07</v>
      </c>
      <c r="C188" s="21">
        <v>3210.4</v>
      </c>
      <c r="D188" s="21">
        <v>1262.152</v>
      </c>
      <c r="E188" s="21">
        <v>235.4136</v>
      </c>
      <c r="F188" s="21">
        <v>347.64</v>
      </c>
      <c r="G188" s="21">
        <v>408.28</v>
      </c>
      <c r="H188" s="21">
        <v>447.44</v>
      </c>
      <c r="I188" s="21">
        <v>546.16</v>
      </c>
      <c r="J188" s="21">
        <v>2041.845</v>
      </c>
      <c r="K188" s="21">
        <v>6438.8</v>
      </c>
      <c r="L188" s="21">
        <v>125.6686</v>
      </c>
      <c r="M188" s="21">
        <v>2046.95</v>
      </c>
      <c r="N188" s="21">
        <v>298.14</v>
      </c>
      <c r="O188" s="21">
        <v>366.3</v>
      </c>
      <c r="P188" s="21">
        <v>450.65000000000003</v>
      </c>
      <c r="Q188" s="21">
        <v>548.06333333333339</v>
      </c>
      <c r="R188" s="21">
        <v>126.87609999999999</v>
      </c>
      <c r="S188" s="21">
        <v>102.8986</v>
      </c>
      <c r="T188" s="21">
        <v>170.3579</v>
      </c>
      <c r="U188" s="21">
        <v>1785.1</v>
      </c>
      <c r="V188" s="21">
        <v>1850.89</v>
      </c>
      <c r="W188" s="21"/>
      <c r="X188" s="16">
        <v>5.4509999999999996E-2</v>
      </c>
      <c r="Y188" s="16">
        <f t="shared" si="2"/>
        <v>4.4328129819044548E-3</v>
      </c>
    </row>
    <row r="189" spans="1:25" x14ac:dyDescent="0.35">
      <c r="A189" s="23">
        <v>45199</v>
      </c>
      <c r="B189" s="21">
        <v>1896.66</v>
      </c>
      <c r="C189" s="21">
        <v>2976.22</v>
      </c>
      <c r="D189" s="21">
        <v>1225.1600000000001</v>
      </c>
      <c r="E189" s="21">
        <v>231.84569999999999</v>
      </c>
      <c r="F189" s="21">
        <v>343.49</v>
      </c>
      <c r="G189" s="21">
        <v>397.79</v>
      </c>
      <c r="H189" s="21">
        <v>435.26</v>
      </c>
      <c r="I189" s="21">
        <v>531.80999999999995</v>
      </c>
      <c r="J189" s="21">
        <v>2018.537</v>
      </c>
      <c r="K189" s="21">
        <v>6260.7</v>
      </c>
      <c r="L189" s="21">
        <v>124.03789999999999</v>
      </c>
      <c r="M189" s="21">
        <v>1981.73</v>
      </c>
      <c r="N189" s="21">
        <v>294.60000000000002</v>
      </c>
      <c r="O189" s="21">
        <v>364.71</v>
      </c>
      <c r="P189" s="21">
        <v>447.92166666666662</v>
      </c>
      <c r="Q189" s="21">
        <v>545.40166666666676</v>
      </c>
      <c r="R189" s="21">
        <v>128.08410000000001</v>
      </c>
      <c r="S189" s="21">
        <v>100.07170000000001</v>
      </c>
      <c r="T189" s="21">
        <v>168.3766</v>
      </c>
      <c r="U189" s="21">
        <v>1662.28</v>
      </c>
      <c r="V189" s="21">
        <v>1763.27</v>
      </c>
      <c r="W189" s="21"/>
      <c r="X189" s="16">
        <v>5.4509999999999996E-2</v>
      </c>
      <c r="Y189" s="16">
        <f t="shared" si="2"/>
        <v>4.4328129819044548E-3</v>
      </c>
    </row>
    <row r="190" spans="1:25" x14ac:dyDescent="0.35">
      <c r="A190" s="23">
        <v>45230</v>
      </c>
      <c r="B190" s="21">
        <v>1890.14</v>
      </c>
      <c r="C190" s="21">
        <v>2829.35</v>
      </c>
      <c r="D190" s="21">
        <v>1214.7339999999999</v>
      </c>
      <c r="E190" s="21">
        <v>231.34909999999999</v>
      </c>
      <c r="F190" s="21">
        <v>341.19</v>
      </c>
      <c r="G190" s="21">
        <v>391.7</v>
      </c>
      <c r="H190" s="21">
        <v>427.19</v>
      </c>
      <c r="I190" s="21">
        <v>521.86</v>
      </c>
      <c r="J190" s="21">
        <v>1995.7539999999999</v>
      </c>
      <c r="K190" s="21">
        <v>6099.76</v>
      </c>
      <c r="L190" s="21">
        <v>123.6302</v>
      </c>
      <c r="M190" s="21">
        <v>1940.79</v>
      </c>
      <c r="N190" s="21">
        <v>291.99</v>
      </c>
      <c r="O190" s="21">
        <v>364.11</v>
      </c>
      <c r="P190" s="21">
        <v>443.24833333333339</v>
      </c>
      <c r="Q190" s="21">
        <v>540.34666666666669</v>
      </c>
      <c r="R190" s="21">
        <v>128.2022</v>
      </c>
      <c r="S190" s="21">
        <v>97.925799999999995</v>
      </c>
      <c r="T190" s="21">
        <v>166.93620000000001</v>
      </c>
      <c r="U190" s="21">
        <v>1809.02</v>
      </c>
      <c r="V190" s="21">
        <v>1885.22</v>
      </c>
      <c r="W190" s="21"/>
      <c r="X190" s="16">
        <v>5.4690000000000003E-2</v>
      </c>
      <c r="Y190" s="16">
        <f t="shared" si="2"/>
        <v>4.4470995354604081E-3</v>
      </c>
    </row>
    <row r="191" spans="1:25" x14ac:dyDescent="0.35">
      <c r="A191" s="23">
        <v>45260</v>
      </c>
      <c r="B191" s="21">
        <v>1931.81</v>
      </c>
      <c r="C191" s="21">
        <v>3088.41</v>
      </c>
      <c r="D191" s="21">
        <v>1291.847</v>
      </c>
      <c r="E191" s="21">
        <v>238.4539</v>
      </c>
      <c r="F191" s="21">
        <v>350.72</v>
      </c>
      <c r="G191" s="21">
        <v>407.97</v>
      </c>
      <c r="H191" s="21">
        <v>451.68</v>
      </c>
      <c r="I191" s="21">
        <v>553.82000000000005</v>
      </c>
      <c r="J191" s="21">
        <v>2084.355</v>
      </c>
      <c r="K191" s="21">
        <v>6616</v>
      </c>
      <c r="L191" s="21">
        <v>127.74</v>
      </c>
      <c r="M191" s="21">
        <v>2041.96</v>
      </c>
      <c r="N191" s="21">
        <v>300.93</v>
      </c>
      <c r="O191" s="21">
        <v>370.33</v>
      </c>
      <c r="P191" s="21">
        <v>443.7283333333333</v>
      </c>
      <c r="Q191" s="21">
        <v>541.93000000000006</v>
      </c>
      <c r="R191" s="21">
        <v>129.6824</v>
      </c>
      <c r="S191" s="21">
        <v>103.2651</v>
      </c>
      <c r="T191" s="21">
        <v>172.02099999999999</v>
      </c>
      <c r="U191" s="21">
        <v>2027.07</v>
      </c>
      <c r="V191" s="21">
        <v>2029.69</v>
      </c>
      <c r="W191" s="21"/>
      <c r="X191" s="16">
        <v>5.3940000000000002E-2</v>
      </c>
      <c r="Y191" s="16">
        <f t="shared" si="2"/>
        <v>4.3875574767204828E-3</v>
      </c>
    </row>
    <row r="192" spans="1:25" x14ac:dyDescent="0.35">
      <c r="A192" s="23">
        <v>45291</v>
      </c>
      <c r="B192" s="21">
        <v>1972.4</v>
      </c>
      <c r="C192" s="21">
        <v>3354.28</v>
      </c>
      <c r="D192" s="21">
        <v>1321.8719000000001</v>
      </c>
      <c r="E192" s="21">
        <v>246.10290000000001</v>
      </c>
      <c r="F192" s="21">
        <v>359.71</v>
      </c>
      <c r="G192" s="21">
        <v>423.14</v>
      </c>
      <c r="H192" s="21">
        <v>470.69</v>
      </c>
      <c r="I192" s="21">
        <v>578.61</v>
      </c>
      <c r="J192" s="21">
        <v>2160.7350000000001</v>
      </c>
      <c r="K192" s="21">
        <v>7052.92</v>
      </c>
      <c r="L192" s="21">
        <v>131.94890000000001</v>
      </c>
      <c r="M192" s="21">
        <v>2129.96</v>
      </c>
      <c r="N192" s="21">
        <v>310.06</v>
      </c>
      <c r="O192" s="21">
        <v>377.4</v>
      </c>
      <c r="P192" s="21">
        <v>447.20499999999998</v>
      </c>
      <c r="Q192" s="21">
        <v>547.09666666666669</v>
      </c>
      <c r="R192" s="21">
        <v>131.67519999999999</v>
      </c>
      <c r="S192" s="21">
        <v>107.68380000000001</v>
      </c>
      <c r="T192" s="21">
        <v>177.19229999999999</v>
      </c>
      <c r="U192" s="21">
        <v>1947.34</v>
      </c>
      <c r="V192" s="21">
        <v>1979.34</v>
      </c>
      <c r="W192" s="21"/>
      <c r="X192" s="16">
        <v>5.3440000000000001E-2</v>
      </c>
      <c r="Y192" s="16">
        <f t="shared" si="2"/>
        <v>4.3478411892747815E-3</v>
      </c>
    </row>
    <row r="193" spans="1:25" x14ac:dyDescent="0.35">
      <c r="A193" s="23">
        <v>45322</v>
      </c>
      <c r="B193" s="21">
        <v>1976.65</v>
      </c>
      <c r="C193" s="21">
        <v>3280.43</v>
      </c>
      <c r="D193" s="21">
        <v>1315.1210000000001</v>
      </c>
      <c r="E193" s="21">
        <v>245.23840000000001</v>
      </c>
      <c r="F193" s="21">
        <v>360.68</v>
      </c>
      <c r="G193" s="21">
        <v>421.7</v>
      </c>
      <c r="H193" s="21">
        <v>469.75</v>
      </c>
      <c r="I193" s="21">
        <v>577.87</v>
      </c>
      <c r="J193" s="21">
        <v>2160.5070000000001</v>
      </c>
      <c r="K193" s="21">
        <v>7072.62</v>
      </c>
      <c r="L193" s="21">
        <v>131.84809999999999</v>
      </c>
      <c r="M193" s="21">
        <v>2120.11</v>
      </c>
      <c r="N193" s="21">
        <v>312.29000000000002</v>
      </c>
      <c r="O193" s="21">
        <v>379.17</v>
      </c>
      <c r="P193" s="21">
        <v>450.33500000000004</v>
      </c>
      <c r="Q193" s="21">
        <v>551.68833333333339</v>
      </c>
      <c r="R193" s="21">
        <v>132.7028</v>
      </c>
      <c r="S193" s="21">
        <v>107.499</v>
      </c>
      <c r="T193" s="21">
        <v>178.55840000000001</v>
      </c>
      <c r="U193" s="21">
        <v>2054.84</v>
      </c>
      <c r="V193" s="21">
        <v>1970.68</v>
      </c>
      <c r="W193" s="21"/>
      <c r="X193" s="16">
        <v>5.3680000000000005E-2</v>
      </c>
      <c r="Y193" s="16">
        <f t="shared" si="2"/>
        <v>4.3669071632768119E-3</v>
      </c>
    </row>
    <row r="194" spans="1:25" x14ac:dyDescent="0.35">
      <c r="A194" s="23">
        <v>45350</v>
      </c>
      <c r="B194" s="21">
        <v>1955.58</v>
      </c>
      <c r="C194" s="21">
        <v>3205.55</v>
      </c>
      <c r="D194" s="21">
        <v>1316.8100999999999</v>
      </c>
      <c r="E194" s="21">
        <v>244.4725</v>
      </c>
      <c r="F194" s="21">
        <v>357.35</v>
      </c>
      <c r="G194" s="21">
        <v>415.71</v>
      </c>
      <c r="H194" s="21">
        <v>462.73</v>
      </c>
      <c r="I194" s="21">
        <v>569.57000000000005</v>
      </c>
      <c r="J194" s="21">
        <v>2166.902</v>
      </c>
      <c r="K194" s="21">
        <v>7080.94</v>
      </c>
      <c r="L194" s="21">
        <v>130.94210000000001</v>
      </c>
      <c r="M194" s="21">
        <v>2085.62</v>
      </c>
      <c r="N194" s="21">
        <v>309.87</v>
      </c>
      <c r="O194" s="21">
        <v>378.09</v>
      </c>
      <c r="P194" s="21">
        <v>452.88333333333338</v>
      </c>
      <c r="Q194" s="21">
        <v>555.59</v>
      </c>
      <c r="R194" s="21">
        <v>134.02699999999999</v>
      </c>
      <c r="S194" s="21">
        <v>105.45829999999999</v>
      </c>
      <c r="T194" s="21">
        <v>177.2867</v>
      </c>
      <c r="U194" s="21">
        <v>2124.5500000000002</v>
      </c>
      <c r="V194" s="21">
        <v>2032.86</v>
      </c>
      <c r="W194" s="21"/>
      <c r="X194" s="16">
        <v>5.3840000000000006E-2</v>
      </c>
      <c r="Y194" s="16">
        <f t="shared" si="2"/>
        <v>4.3796156011666199E-3</v>
      </c>
    </row>
    <row r="195" spans="1:25" x14ac:dyDescent="0.35">
      <c r="A195" s="23">
        <v>45382</v>
      </c>
      <c r="B195" s="21">
        <v>1965.25</v>
      </c>
      <c r="C195" s="21">
        <v>3245.05</v>
      </c>
      <c r="D195" s="21">
        <v>1316.769</v>
      </c>
      <c r="E195" s="21">
        <v>246.5692</v>
      </c>
      <c r="F195" s="21">
        <v>359.78</v>
      </c>
      <c r="G195" s="21">
        <v>419.07</v>
      </c>
      <c r="H195" s="21">
        <v>468.27</v>
      </c>
      <c r="I195" s="21">
        <v>577.49</v>
      </c>
      <c r="J195" s="21">
        <v>2192.3049999999998</v>
      </c>
      <c r="K195" s="21">
        <v>7198.64</v>
      </c>
      <c r="L195" s="21">
        <v>132.4315</v>
      </c>
      <c r="M195" s="21">
        <v>2107.71</v>
      </c>
      <c r="N195" s="21">
        <v>312.68</v>
      </c>
      <c r="O195" s="21">
        <v>379.96</v>
      </c>
      <c r="P195" s="21">
        <v>458.38499999999999</v>
      </c>
      <c r="Q195" s="21">
        <v>563.20333333333338</v>
      </c>
      <c r="R195" s="21">
        <v>135.06630000000001</v>
      </c>
      <c r="S195" s="21">
        <v>106.53959999999999</v>
      </c>
      <c r="T195" s="21">
        <v>178.96010000000001</v>
      </c>
      <c r="U195" s="21">
        <v>1973.91</v>
      </c>
      <c r="V195" s="21">
        <v>1927.31</v>
      </c>
      <c r="W195" s="21"/>
      <c r="X195" s="16">
        <v>5.3710000000000008E-2</v>
      </c>
      <c r="Y195" s="16">
        <f t="shared" ref="Y195:Y210" si="3">(1+X195)^(1/12)-1</f>
        <v>4.3692901301191078E-3</v>
      </c>
    </row>
    <row r="196" spans="1:25" x14ac:dyDescent="0.35">
      <c r="A196" s="23">
        <v>45412</v>
      </c>
      <c r="B196" s="21">
        <v>1938.32</v>
      </c>
      <c r="C196" s="21">
        <v>3047.36</v>
      </c>
      <c r="D196" s="21">
        <v>1300.4611</v>
      </c>
      <c r="E196" s="21">
        <v>243.30439999999999</v>
      </c>
      <c r="F196" s="21">
        <v>354.06</v>
      </c>
      <c r="G196" s="21">
        <v>408.28</v>
      </c>
      <c r="H196" s="21">
        <v>456.35</v>
      </c>
      <c r="I196" s="21">
        <v>563.09</v>
      </c>
      <c r="J196" s="21">
        <v>2172.846</v>
      </c>
      <c r="K196" s="21">
        <v>6943.13</v>
      </c>
      <c r="L196" s="21">
        <v>130.6653</v>
      </c>
      <c r="M196" s="21">
        <v>2043.94</v>
      </c>
      <c r="N196" s="21">
        <v>307.13</v>
      </c>
      <c r="O196" s="21">
        <v>377.62</v>
      </c>
      <c r="P196" s="21">
        <v>463.24499999999995</v>
      </c>
      <c r="Q196" s="21">
        <v>570.07500000000016</v>
      </c>
      <c r="R196" s="21">
        <v>135.9041</v>
      </c>
      <c r="S196" s="21">
        <v>103.464</v>
      </c>
      <c r="T196" s="21">
        <v>175.83590000000001</v>
      </c>
      <c r="U196" s="21">
        <v>2070.13</v>
      </c>
      <c r="V196" s="21">
        <v>1958.25</v>
      </c>
      <c r="W196" s="21"/>
      <c r="X196" s="16">
        <v>5.4000000000000006E-2</v>
      </c>
      <c r="Y196" s="16">
        <f t="shared" si="3"/>
        <v>4.3923222705009035E-3</v>
      </c>
    </row>
    <row r="197" spans="1:25" x14ac:dyDescent="0.35">
      <c r="A197" s="23">
        <v>45443</v>
      </c>
      <c r="B197" s="21">
        <v>1959.98</v>
      </c>
      <c r="C197" s="21">
        <v>3134.41</v>
      </c>
      <c r="D197" s="21">
        <v>1296.646</v>
      </c>
      <c r="E197" s="21">
        <v>244.28659999999999</v>
      </c>
      <c r="F197" s="21">
        <v>358.61</v>
      </c>
      <c r="G197" s="21">
        <v>415.03</v>
      </c>
      <c r="H197" s="21">
        <v>464.62</v>
      </c>
      <c r="I197" s="21">
        <v>574.1</v>
      </c>
      <c r="J197" s="21">
        <v>2196.7350000000001</v>
      </c>
      <c r="K197" s="21">
        <v>7016.39</v>
      </c>
      <c r="L197" s="21">
        <v>132.00309999999999</v>
      </c>
      <c r="M197" s="21">
        <v>2084.7800000000002</v>
      </c>
      <c r="N197" s="21">
        <v>311.86</v>
      </c>
      <c r="O197" s="21">
        <v>381.13</v>
      </c>
      <c r="P197" s="21">
        <v>465.40166666666664</v>
      </c>
      <c r="Q197" s="21">
        <v>573.45500000000004</v>
      </c>
      <c r="R197" s="21">
        <v>137.1771</v>
      </c>
      <c r="S197" s="21">
        <v>105.2861</v>
      </c>
      <c r="T197" s="21">
        <v>178.5881</v>
      </c>
      <c r="U197" s="21">
        <v>2047.69</v>
      </c>
      <c r="V197" s="21">
        <v>1981.24</v>
      </c>
      <c r="W197" s="21"/>
      <c r="X197" s="16">
        <v>5.4050000000000001E-2</v>
      </c>
      <c r="Y197" s="16">
        <f t="shared" si="3"/>
        <v>4.3962927420571063E-3</v>
      </c>
    </row>
    <row r="198" spans="1:25" x14ac:dyDescent="0.35">
      <c r="A198" s="23">
        <v>45473</v>
      </c>
      <c r="B198" s="21">
        <v>1976.63</v>
      </c>
      <c r="C198" s="21">
        <v>3186.15</v>
      </c>
      <c r="D198" s="21">
        <v>1316.521</v>
      </c>
      <c r="E198" s="21">
        <v>246.5504</v>
      </c>
      <c r="F198" s="21">
        <v>361.68</v>
      </c>
      <c r="G198" s="21">
        <v>419.4</v>
      </c>
      <c r="H198" s="21">
        <v>467.62</v>
      </c>
      <c r="I198" s="21">
        <v>577.75</v>
      </c>
      <c r="J198" s="21">
        <v>2218.0239999999999</v>
      </c>
      <c r="K198" s="21">
        <v>6984.84</v>
      </c>
      <c r="L198" s="21">
        <v>132.92769999999999</v>
      </c>
      <c r="M198" s="21">
        <v>2109.17</v>
      </c>
      <c r="N198" s="21">
        <v>314.79000000000002</v>
      </c>
      <c r="O198" s="21">
        <v>383.67</v>
      </c>
      <c r="P198" s="21">
        <v>464.88999999999993</v>
      </c>
      <c r="Q198" s="21">
        <v>573.31166666666661</v>
      </c>
      <c r="R198" s="21">
        <v>137.5633</v>
      </c>
      <c r="S198" s="21">
        <v>106.49169999999999</v>
      </c>
      <c r="T198" s="21">
        <v>180.28639999999999</v>
      </c>
      <c r="U198" s="21">
        <v>2254.48</v>
      </c>
      <c r="V198" s="21">
        <v>2077.9899999999998</v>
      </c>
      <c r="W198" s="21"/>
      <c r="X198" s="16">
        <v>5.3579999999999996E-2</v>
      </c>
      <c r="Y198" s="16">
        <f t="shared" si="3"/>
        <v>4.3589634912726272E-3</v>
      </c>
    </row>
    <row r="199" spans="1:25" x14ac:dyDescent="0.35">
      <c r="A199" s="23">
        <v>45504</v>
      </c>
      <c r="B199" s="21">
        <v>2013.01</v>
      </c>
      <c r="C199" s="21">
        <v>3300.03</v>
      </c>
      <c r="D199" s="21">
        <v>1328.52</v>
      </c>
      <c r="E199" s="21">
        <v>251.07210000000001</v>
      </c>
      <c r="F199" s="21">
        <v>368.61</v>
      </c>
      <c r="G199" s="21">
        <v>429.23</v>
      </c>
      <c r="H199" s="21">
        <v>478.68</v>
      </c>
      <c r="I199" s="21">
        <v>591.47</v>
      </c>
      <c r="J199" s="21">
        <v>2260.7269999999999</v>
      </c>
      <c r="K199" s="21">
        <v>7196.31</v>
      </c>
      <c r="L199" s="21">
        <v>135.47989999999999</v>
      </c>
      <c r="M199" s="21">
        <v>2164.77</v>
      </c>
      <c r="N199" s="21">
        <v>321.25</v>
      </c>
      <c r="O199" s="21">
        <v>388.91</v>
      </c>
      <c r="P199" s="21">
        <v>466.37833333333327</v>
      </c>
      <c r="Q199" s="21">
        <v>575.57833333333338</v>
      </c>
      <c r="R199" s="21">
        <v>138.53380000000001</v>
      </c>
      <c r="S199" s="21">
        <v>109.5235</v>
      </c>
      <c r="T199" s="21">
        <v>183.9914</v>
      </c>
      <c r="U199" s="21">
        <v>2217.63</v>
      </c>
      <c r="V199" s="21">
        <v>2153.69</v>
      </c>
      <c r="W199" s="21"/>
      <c r="X199" s="16">
        <v>5.287E-2</v>
      </c>
      <c r="Y199" s="16">
        <f t="shared" si="3"/>
        <v>4.3025435381276456E-3</v>
      </c>
    </row>
    <row r="200" spans="1:25" x14ac:dyDescent="0.35">
      <c r="A200" s="23">
        <v>45535</v>
      </c>
      <c r="B200" s="21">
        <v>2034.89</v>
      </c>
      <c r="C200" s="21">
        <v>3367.24</v>
      </c>
      <c r="D200" s="21">
        <v>1338.998</v>
      </c>
      <c r="E200" s="21">
        <v>253.09229999999999</v>
      </c>
      <c r="F200" s="21">
        <v>373.11</v>
      </c>
      <c r="G200" s="21">
        <v>435.25</v>
      </c>
      <c r="H200" s="21">
        <v>486.19</v>
      </c>
      <c r="I200" s="21">
        <v>600.84</v>
      </c>
      <c r="J200" s="21">
        <v>2297.06</v>
      </c>
      <c r="K200" s="21">
        <v>7413.27</v>
      </c>
      <c r="L200" s="21">
        <v>136.83779999999999</v>
      </c>
      <c r="M200" s="21">
        <v>2199.6999999999998</v>
      </c>
      <c r="N200" s="21">
        <v>325.2</v>
      </c>
      <c r="O200" s="21">
        <v>392.68</v>
      </c>
      <c r="P200" s="21">
        <v>470.28833333333336</v>
      </c>
      <c r="Q200" s="21">
        <v>580.79</v>
      </c>
      <c r="R200" s="21">
        <v>139.3486</v>
      </c>
      <c r="S200" s="21">
        <v>111.1275</v>
      </c>
      <c r="T200" s="21">
        <v>186.23009999999999</v>
      </c>
      <c r="U200" s="21">
        <v>2229.9699999999998</v>
      </c>
      <c r="V200" s="21">
        <v>2192.81</v>
      </c>
      <c r="W200" s="21"/>
      <c r="X200" s="16">
        <v>5.117E-2</v>
      </c>
      <c r="Y200" s="16">
        <f t="shared" si="3"/>
        <v>4.1673116551921296E-3</v>
      </c>
    </row>
    <row r="201" spans="1:25" x14ac:dyDescent="0.35">
      <c r="A201" s="23">
        <v>45565</v>
      </c>
      <c r="B201" s="21">
        <v>2055.0500000000002</v>
      </c>
      <c r="C201" s="21">
        <v>3435.34</v>
      </c>
      <c r="D201" s="21">
        <v>1352.2320999999999</v>
      </c>
      <c r="E201" s="21">
        <v>255.7739</v>
      </c>
      <c r="F201" s="21">
        <v>377.53</v>
      </c>
      <c r="G201" s="21">
        <v>440.51</v>
      </c>
      <c r="H201" s="21">
        <v>494.86</v>
      </c>
      <c r="I201" s="21">
        <v>611.29999999999995</v>
      </c>
      <c r="J201" s="21">
        <v>2334.107</v>
      </c>
      <c r="K201" s="21">
        <v>7554.32</v>
      </c>
      <c r="L201" s="21">
        <v>138.5667</v>
      </c>
      <c r="M201" s="21">
        <v>2225.79</v>
      </c>
      <c r="N201" s="21">
        <v>329.44</v>
      </c>
      <c r="O201" s="21">
        <v>396.53</v>
      </c>
      <c r="P201" s="21">
        <v>474.72</v>
      </c>
      <c r="Q201" s="21">
        <v>586.42500000000007</v>
      </c>
      <c r="R201" s="21">
        <v>140.21279999999999</v>
      </c>
      <c r="S201" s="21">
        <v>112.7415</v>
      </c>
      <c r="T201" s="21">
        <v>188.66040000000001</v>
      </c>
      <c r="U201" s="21">
        <v>2196.65</v>
      </c>
      <c r="V201" s="21">
        <v>2138.4</v>
      </c>
      <c r="W201" s="21"/>
      <c r="X201" s="16">
        <v>4.6269999999999999E-2</v>
      </c>
      <c r="Y201" s="16">
        <f t="shared" si="3"/>
        <v>3.7764009113501196E-3</v>
      </c>
    </row>
    <row r="202" spans="1:25" x14ac:dyDescent="0.35">
      <c r="A202" s="23">
        <v>45596</v>
      </c>
      <c r="B202" s="21">
        <v>2021.28</v>
      </c>
      <c r="C202" s="21">
        <v>3256.51</v>
      </c>
      <c r="D202" s="21">
        <v>1332.5150000000001</v>
      </c>
      <c r="E202" s="21">
        <v>253.5018</v>
      </c>
      <c r="F202" s="21">
        <v>370.88</v>
      </c>
      <c r="G202" s="21">
        <v>429.34</v>
      </c>
      <c r="H202" s="21">
        <v>482.39</v>
      </c>
      <c r="I202" s="21">
        <v>597.15</v>
      </c>
      <c r="J202" s="21">
        <v>2321.7840000000001</v>
      </c>
      <c r="K202" s="21">
        <v>7461.25</v>
      </c>
      <c r="L202" s="21">
        <v>137.13570000000001</v>
      </c>
      <c r="M202" s="21">
        <v>2162.7800000000002</v>
      </c>
      <c r="N202" s="21">
        <v>323.37</v>
      </c>
      <c r="O202" s="21">
        <v>393.76</v>
      </c>
      <c r="P202" s="21">
        <v>479.06</v>
      </c>
      <c r="Q202" s="21">
        <v>592.10166666666669</v>
      </c>
      <c r="R202" s="21">
        <v>141.41650000000001</v>
      </c>
      <c r="S202" s="21">
        <v>109.1938</v>
      </c>
      <c r="T202" s="21">
        <v>185.23259999999999</v>
      </c>
      <c r="U202" s="21">
        <v>2434.73</v>
      </c>
      <c r="V202" s="21">
        <v>2246.58</v>
      </c>
      <c r="W202" s="21"/>
      <c r="X202" s="16">
        <v>4.548E-2</v>
      </c>
      <c r="Y202" s="16">
        <f t="shared" si="3"/>
        <v>3.7132194892952608E-3</v>
      </c>
    </row>
    <row r="203" spans="1:25" x14ac:dyDescent="0.35">
      <c r="A203" s="23">
        <v>45626</v>
      </c>
      <c r="B203" s="21">
        <v>2031.69</v>
      </c>
      <c r="C203" s="21">
        <v>3315.62</v>
      </c>
      <c r="D203" s="21">
        <v>1355.5329999999999</v>
      </c>
      <c r="E203" s="21">
        <v>257.50310000000002</v>
      </c>
      <c r="F203" s="21">
        <v>373.53</v>
      </c>
      <c r="G203" s="21">
        <v>433.56</v>
      </c>
      <c r="H203" s="21">
        <v>488.24</v>
      </c>
      <c r="I203" s="21">
        <v>605.72</v>
      </c>
      <c r="J203" s="21">
        <v>2348.1869999999999</v>
      </c>
      <c r="K203" s="21">
        <v>7601.01</v>
      </c>
      <c r="L203" s="21">
        <v>138.78530000000001</v>
      </c>
      <c r="M203" s="21">
        <v>2191.61</v>
      </c>
      <c r="N203" s="21">
        <v>326.35000000000002</v>
      </c>
      <c r="O203" s="21">
        <v>396.53</v>
      </c>
      <c r="P203" s="21">
        <v>482.99666666666661</v>
      </c>
      <c r="Q203" s="21">
        <v>597.37166666666656</v>
      </c>
      <c r="R203" s="21">
        <v>142.5967</v>
      </c>
      <c r="S203" s="21">
        <v>110.84480000000001</v>
      </c>
      <c r="T203" s="21">
        <v>186.95769999999999</v>
      </c>
      <c r="U203" s="21">
        <v>2230.16</v>
      </c>
      <c r="V203" s="21">
        <v>2120.66</v>
      </c>
      <c r="W203" s="21"/>
      <c r="X203" s="16">
        <v>4.4920000000000002E-2</v>
      </c>
      <c r="Y203" s="16">
        <f t="shared" si="3"/>
        <v>3.6684061466709661E-3</v>
      </c>
    </row>
    <row r="204" spans="1:25" x14ac:dyDescent="0.35">
      <c r="A204" s="23">
        <v>45657</v>
      </c>
      <c r="B204" s="21">
        <v>2020.13</v>
      </c>
      <c r="C204" s="21">
        <v>3139.22</v>
      </c>
      <c r="D204" s="21">
        <v>1335.798</v>
      </c>
      <c r="E204" s="21">
        <v>256.22140000000002</v>
      </c>
      <c r="F204" s="21">
        <v>370.75</v>
      </c>
      <c r="G204" s="21">
        <v>426.71</v>
      </c>
      <c r="H204" s="21">
        <v>478.61</v>
      </c>
      <c r="I204" s="21">
        <v>594.26</v>
      </c>
      <c r="J204" s="21">
        <v>2338.587</v>
      </c>
      <c r="K204" s="21">
        <v>7490.78</v>
      </c>
      <c r="L204" s="21">
        <v>137.80529999999999</v>
      </c>
      <c r="M204" s="21">
        <v>2155.5100000000002</v>
      </c>
      <c r="N204" s="21">
        <v>324.57</v>
      </c>
      <c r="O204" s="21">
        <v>396.33</v>
      </c>
      <c r="P204" s="21">
        <v>484.82833333333332</v>
      </c>
      <c r="Q204" s="21">
        <v>600.12333333333333</v>
      </c>
      <c r="R204" s="21">
        <v>143.21860000000001</v>
      </c>
      <c r="S204" s="21">
        <v>108.82210000000001</v>
      </c>
      <c r="T204" s="21">
        <v>185.97290000000001</v>
      </c>
      <c r="U204" s="21">
        <v>2287.69</v>
      </c>
      <c r="V204" s="21">
        <v>2146.84</v>
      </c>
      <c r="W204" s="21"/>
      <c r="X204" s="16">
        <v>4.3209999999999998E-2</v>
      </c>
      <c r="Y204" s="16">
        <f t="shared" si="3"/>
        <v>3.5314290235961554E-3</v>
      </c>
    </row>
    <row r="205" spans="1:25" x14ac:dyDescent="0.35">
      <c r="A205" s="23">
        <v>45688</v>
      </c>
      <c r="B205" s="21">
        <v>2031.09</v>
      </c>
      <c r="C205" s="21">
        <v>3152.29</v>
      </c>
      <c r="D205" s="21">
        <v>1342.4929999999999</v>
      </c>
      <c r="E205" s="21">
        <v>257.17329999999998</v>
      </c>
      <c r="F205" s="21">
        <v>372.73</v>
      </c>
      <c r="G205" s="21">
        <v>428.91</v>
      </c>
      <c r="H205" s="21">
        <v>481.26</v>
      </c>
      <c r="I205" s="21">
        <v>597.79999999999995</v>
      </c>
      <c r="J205" s="21">
        <v>2370.462</v>
      </c>
      <c r="K205" s="21">
        <v>7609.01</v>
      </c>
      <c r="L205" s="21">
        <v>138.59129999999999</v>
      </c>
      <c r="M205" s="21">
        <v>2166.52</v>
      </c>
      <c r="N205" s="21">
        <v>326.89</v>
      </c>
      <c r="O205" s="21">
        <v>397.61</v>
      </c>
      <c r="P205" s="21">
        <v>485.25833333333338</v>
      </c>
      <c r="Q205" s="21">
        <v>601.1783333333334</v>
      </c>
      <c r="R205" s="21">
        <v>144.17789999999999</v>
      </c>
      <c r="S205" s="21">
        <v>109.35680000000001</v>
      </c>
      <c r="T205" s="21">
        <v>187.31319999999999</v>
      </c>
      <c r="U205" s="21">
        <v>2163.0700000000002</v>
      </c>
      <c r="V205" s="21">
        <v>2189.69</v>
      </c>
      <c r="W205" s="21"/>
      <c r="X205" s="16">
        <v>4.2889999999999998E-2</v>
      </c>
      <c r="Y205" s="16">
        <f t="shared" si="3"/>
        <v>3.50577301838495E-3</v>
      </c>
    </row>
    <row r="206" spans="1:25" x14ac:dyDescent="0.35">
      <c r="A206" s="23">
        <v>45716</v>
      </c>
      <c r="B206" s="21">
        <v>2059.6999999999998</v>
      </c>
      <c r="C206" s="21">
        <v>3315.47</v>
      </c>
      <c r="D206" s="21">
        <v>1355.8040000000001</v>
      </c>
      <c r="E206" s="21">
        <v>259.02730000000003</v>
      </c>
      <c r="F206" s="21">
        <v>378.41</v>
      </c>
      <c r="G206" s="21">
        <v>438.69</v>
      </c>
      <c r="H206" s="21">
        <v>491.06</v>
      </c>
      <c r="I206" s="21">
        <v>610.07000000000005</v>
      </c>
      <c r="J206" s="21">
        <v>2386.4119999999998</v>
      </c>
      <c r="K206" s="21">
        <v>7651.98</v>
      </c>
      <c r="L206" s="21">
        <v>140.2509</v>
      </c>
      <c r="M206" s="21">
        <v>2221.7600000000002</v>
      </c>
      <c r="N206" s="21">
        <v>332.03</v>
      </c>
      <c r="O206" s="21">
        <v>401.48</v>
      </c>
      <c r="P206" s="21">
        <v>486.06999999999994</v>
      </c>
      <c r="Q206" s="21">
        <v>602.71666666666658</v>
      </c>
      <c r="R206" s="21">
        <v>144.48670000000001</v>
      </c>
      <c r="S206" s="21">
        <v>112.459</v>
      </c>
      <c r="T206" s="21">
        <v>190.2697</v>
      </c>
      <c r="U206" s="21">
        <v>2011.91</v>
      </c>
      <c r="V206" s="21">
        <v>2049.54</v>
      </c>
      <c r="W206" s="21"/>
      <c r="X206" s="16">
        <v>4.299E-2</v>
      </c>
      <c r="Y206" s="16">
        <f t="shared" si="3"/>
        <v>3.5137912951068717E-3</v>
      </c>
    </row>
    <row r="207" spans="1:25" x14ac:dyDescent="0.35">
      <c r="A207" s="23">
        <v>45747</v>
      </c>
      <c r="B207" s="21">
        <v>2070.37</v>
      </c>
      <c r="C207" s="21">
        <v>3285.97</v>
      </c>
      <c r="D207" s="21">
        <v>1332.8268</v>
      </c>
      <c r="E207" s="21">
        <v>257.16300000000001</v>
      </c>
      <c r="F207" s="21">
        <v>379.52</v>
      </c>
      <c r="G207" s="21">
        <v>439.26</v>
      </c>
      <c r="H207" s="21">
        <v>490.09</v>
      </c>
      <c r="I207" s="21">
        <v>607.80999999999995</v>
      </c>
      <c r="J207" s="21">
        <v>2361.8795</v>
      </c>
      <c r="K207" s="21">
        <v>7601.11</v>
      </c>
      <c r="L207" s="21">
        <v>139.49010000000001</v>
      </c>
      <c r="M207" s="21">
        <v>2221.38</v>
      </c>
      <c r="N207" s="21">
        <v>332.89</v>
      </c>
      <c r="O207" s="21">
        <v>402.39</v>
      </c>
      <c r="P207" s="21">
        <v>485.27500000000003</v>
      </c>
      <c r="Q207" s="21">
        <v>602.13499999999999</v>
      </c>
      <c r="R207" s="21">
        <v>144.06370000000001</v>
      </c>
      <c r="S207" s="21">
        <v>112.1666</v>
      </c>
      <c r="T207" s="21">
        <v>190.75739999999999</v>
      </c>
      <c r="U207" s="21">
        <v>1964.12</v>
      </c>
      <c r="V207" s="21">
        <v>1963.12</v>
      </c>
      <c r="W207" s="21"/>
      <c r="X207" s="16">
        <v>4.299E-2</v>
      </c>
      <c r="Y207" s="16">
        <f t="shared" si="3"/>
        <v>3.5137912951068717E-3</v>
      </c>
    </row>
    <row r="208" spans="1:25" x14ac:dyDescent="0.35">
      <c r="A208" s="23">
        <v>45777</v>
      </c>
      <c r="B208" s="21">
        <v>2092.6</v>
      </c>
      <c r="C208" s="21">
        <v>3250.21</v>
      </c>
      <c r="D208" s="21">
        <v>1322.0889999999999</v>
      </c>
      <c r="E208" s="21">
        <v>261.423</v>
      </c>
      <c r="F208" s="21">
        <v>383.06</v>
      </c>
      <c r="G208" s="21">
        <v>441.47</v>
      </c>
      <c r="H208" s="21">
        <v>490.88</v>
      </c>
      <c r="I208" s="21">
        <v>606.54</v>
      </c>
      <c r="J208" s="21">
        <v>2362.1959999999999</v>
      </c>
      <c r="K208" s="21">
        <v>7434.72</v>
      </c>
      <c r="L208" s="21">
        <v>140.79060000000001</v>
      </c>
      <c r="M208" s="21">
        <v>2227.75</v>
      </c>
      <c r="N208" s="21">
        <v>335.91</v>
      </c>
      <c r="O208" s="21">
        <v>404.35</v>
      </c>
      <c r="P208" s="21">
        <v>486.69000000000005</v>
      </c>
      <c r="Q208" s="21">
        <v>603.69999999999993</v>
      </c>
      <c r="R208" s="21">
        <v>143.8168</v>
      </c>
      <c r="S208" s="21">
        <v>112.6854</v>
      </c>
      <c r="T208" s="21">
        <v>192.44810000000001</v>
      </c>
      <c r="U208" s="21">
        <v>2066.29</v>
      </c>
      <c r="V208" s="21">
        <v>2010.06</v>
      </c>
      <c r="W208" s="21"/>
      <c r="X208" s="16">
        <v>4.2880000000000001E-2</v>
      </c>
      <c r="Y208" s="16">
        <f t="shared" si="3"/>
        <v>3.5049711519501425E-3</v>
      </c>
    </row>
    <row r="209" spans="1:25" x14ac:dyDescent="0.35">
      <c r="A209" s="23">
        <v>45808</v>
      </c>
      <c r="B209" s="21">
        <v>2080.81</v>
      </c>
      <c r="C209" s="21">
        <v>3156.89</v>
      </c>
      <c r="D209" s="21">
        <v>1322.9376999999999</v>
      </c>
      <c r="E209" s="21">
        <v>260.95740000000001</v>
      </c>
      <c r="F209" s="21">
        <v>381.4</v>
      </c>
      <c r="G209" s="21">
        <v>437.22</v>
      </c>
      <c r="H209" s="21">
        <v>489.83</v>
      </c>
      <c r="I209" s="21">
        <v>608.13</v>
      </c>
      <c r="J209" s="21">
        <v>2401.7004999999999</v>
      </c>
      <c r="K209" s="21">
        <v>7595.92</v>
      </c>
      <c r="L209" s="21">
        <v>141.11510000000001</v>
      </c>
      <c r="M209" s="21">
        <v>2207.41</v>
      </c>
      <c r="N209" s="21">
        <v>335.05</v>
      </c>
      <c r="O209" s="21">
        <v>404.44</v>
      </c>
      <c r="P209" s="21">
        <v>486.95499999999998</v>
      </c>
      <c r="Q209" s="21">
        <v>604.10166666666669</v>
      </c>
      <c r="R209" s="21">
        <v>146.01329999999999</v>
      </c>
      <c r="S209" s="21">
        <v>111.5536</v>
      </c>
      <c r="T209" s="21">
        <v>191.9581</v>
      </c>
      <c r="U209" s="21">
        <v>2175.04</v>
      </c>
      <c r="V209" s="21">
        <v>1951.82</v>
      </c>
      <c r="W209" s="21"/>
      <c r="X209" s="16">
        <v>4.3419999999999993E-2</v>
      </c>
      <c r="Y209" s="16">
        <f t="shared" si="3"/>
        <v>3.548261856781032E-3</v>
      </c>
    </row>
    <row r="210" spans="1:25" x14ac:dyDescent="0.35">
      <c r="A210" s="23">
        <v>45838</v>
      </c>
      <c r="B210" s="21">
        <v>2100.5100000000002</v>
      </c>
      <c r="C210" s="21">
        <v>3235.79</v>
      </c>
      <c r="D210" s="21">
        <v>1331.174</v>
      </c>
      <c r="E210" s="21">
        <v>262.32589999999999</v>
      </c>
      <c r="F210" s="21">
        <v>385.65</v>
      </c>
      <c r="G210" s="21">
        <v>443.52</v>
      </c>
      <c r="H210" s="21">
        <v>498.89</v>
      </c>
      <c r="I210" s="21">
        <v>619.95000000000005</v>
      </c>
      <c r="J210" s="21">
        <v>2445.3715999999999</v>
      </c>
      <c r="K210" s="21">
        <v>7842.93</v>
      </c>
      <c r="L210" s="21">
        <v>142.41730000000001</v>
      </c>
      <c r="M210" s="21">
        <v>2246.65</v>
      </c>
      <c r="N210" s="21">
        <v>339.14</v>
      </c>
      <c r="O210" s="21">
        <v>407.94</v>
      </c>
      <c r="P210" s="21">
        <v>490.33499999999998</v>
      </c>
      <c r="Q210" s="21">
        <v>608.38333333333333</v>
      </c>
      <c r="R210" s="21">
        <v>147.125</v>
      </c>
      <c r="S210" s="21">
        <v>113.55029999999999</v>
      </c>
      <c r="T210" s="21">
        <v>194.3117</v>
      </c>
      <c r="U210" s="21">
        <v>2211.65</v>
      </c>
      <c r="V210" s="21">
        <v>1976.16</v>
      </c>
      <c r="W210" s="21"/>
      <c r="X210" s="16">
        <v>4.301E-2</v>
      </c>
      <c r="Y210" s="16">
        <f t="shared" si="3"/>
        <v>3.5153948658852574E-3</v>
      </c>
    </row>
    <row r="211" spans="1:25" x14ac:dyDescent="0.35">
      <c r="A211" s="22"/>
      <c r="U211" s="18"/>
    </row>
    <row r="212" spans="1:25" x14ac:dyDescent="0.35">
      <c r="A212" s="20"/>
      <c r="U212" s="18"/>
    </row>
    <row r="213" spans="1:25" x14ac:dyDescent="0.35">
      <c r="A213" s="20"/>
    </row>
    <row r="214" spans="1:25" x14ac:dyDescent="0.35">
      <c r="A214" s="20"/>
    </row>
    <row r="215" spans="1:25" x14ac:dyDescent="0.35">
      <c r="A215" s="20"/>
    </row>
    <row r="216" spans="1:25" x14ac:dyDescent="0.35">
      <c r="A216" s="20"/>
    </row>
    <row r="217" spans="1:25" x14ac:dyDescent="0.35">
      <c r="A217" s="20"/>
    </row>
    <row r="218" spans="1:25" x14ac:dyDescent="0.35">
      <c r="A218" s="20"/>
    </row>
    <row r="219" spans="1:25" x14ac:dyDescent="0.35">
      <c r="A219" s="20"/>
    </row>
    <row r="220" spans="1:25" x14ac:dyDescent="0.35">
      <c r="A220" s="20"/>
    </row>
    <row r="221" spans="1:25" x14ac:dyDescent="0.35">
      <c r="A221" s="20"/>
    </row>
    <row r="222" spans="1:25" x14ac:dyDescent="0.35">
      <c r="A222" s="20"/>
    </row>
    <row r="223" spans="1:25" x14ac:dyDescent="0.35">
      <c r="A223" s="20"/>
    </row>
    <row r="224" spans="1:25" x14ac:dyDescent="0.35">
      <c r="A224" s="20"/>
    </row>
    <row r="225" spans="1:1" x14ac:dyDescent="0.35">
      <c r="A225" s="20"/>
    </row>
    <row r="226" spans="1:1" x14ac:dyDescent="0.35">
      <c r="A226" s="20"/>
    </row>
    <row r="227" spans="1:1" x14ac:dyDescent="0.35">
      <c r="A227" s="20"/>
    </row>
    <row r="228" spans="1:1" x14ac:dyDescent="0.35">
      <c r="A228" s="20"/>
    </row>
    <row r="229" spans="1:1" x14ac:dyDescent="0.35">
      <c r="A229" s="20"/>
    </row>
    <row r="230" spans="1:1" x14ac:dyDescent="0.35">
      <c r="A230" s="20"/>
    </row>
    <row r="231" spans="1:1" x14ac:dyDescent="0.35">
      <c r="A231" s="20"/>
    </row>
    <row r="232" spans="1:1" x14ac:dyDescent="0.35">
      <c r="A232" s="20"/>
    </row>
    <row r="233" spans="1:1" x14ac:dyDescent="0.35">
      <c r="A233" s="20"/>
    </row>
    <row r="234" spans="1:1" x14ac:dyDescent="0.35">
      <c r="A234" s="20"/>
    </row>
    <row r="235" spans="1:1" x14ac:dyDescent="0.35">
      <c r="A235" s="20"/>
    </row>
    <row r="236" spans="1:1" x14ac:dyDescent="0.35">
      <c r="A236" s="20"/>
    </row>
    <row r="237" spans="1:1" x14ac:dyDescent="0.35">
      <c r="A237" s="20"/>
    </row>
    <row r="238" spans="1:1" x14ac:dyDescent="0.35">
      <c r="A238" s="20"/>
    </row>
    <row r="239" spans="1:1" x14ac:dyDescent="0.35">
      <c r="A239" s="20"/>
    </row>
    <row r="240" spans="1:1" x14ac:dyDescent="0.35">
      <c r="A240" s="20"/>
    </row>
    <row r="241" spans="1:1" x14ac:dyDescent="0.35">
      <c r="A241" s="20"/>
    </row>
    <row r="242" spans="1:1" x14ac:dyDescent="0.35">
      <c r="A242" s="20"/>
    </row>
    <row r="243" spans="1:1" x14ac:dyDescent="0.35">
      <c r="A243" s="20"/>
    </row>
    <row r="244" spans="1:1" x14ac:dyDescent="0.35">
      <c r="A244" s="20"/>
    </row>
    <row r="245" spans="1:1" x14ac:dyDescent="0.35">
      <c r="A245" s="20"/>
    </row>
    <row r="246" spans="1:1" x14ac:dyDescent="0.35">
      <c r="A246" s="20"/>
    </row>
    <row r="247" spans="1:1" x14ac:dyDescent="0.35">
      <c r="A247" s="20"/>
    </row>
    <row r="248" spans="1:1" x14ac:dyDescent="0.35">
      <c r="A248" s="20"/>
    </row>
    <row r="249" spans="1:1" x14ac:dyDescent="0.35">
      <c r="A249" s="20"/>
    </row>
    <row r="250" spans="1:1" x14ac:dyDescent="0.35">
      <c r="A250" s="20"/>
    </row>
    <row r="251" spans="1:1" x14ac:dyDescent="0.35">
      <c r="A251" s="20"/>
    </row>
    <row r="252" spans="1:1" x14ac:dyDescent="0.35">
      <c r="A252" s="20"/>
    </row>
    <row r="253" spans="1:1" x14ac:dyDescent="0.35">
      <c r="A253" s="20"/>
    </row>
    <row r="254" spans="1:1" x14ac:dyDescent="0.35">
      <c r="A254" s="20"/>
    </row>
    <row r="255" spans="1:1" x14ac:dyDescent="0.35">
      <c r="A255" s="20"/>
    </row>
    <row r="256" spans="1:1" x14ac:dyDescent="0.35">
      <c r="A256" s="20"/>
    </row>
    <row r="257" spans="1:1" x14ac:dyDescent="0.35">
      <c r="A257" s="20"/>
    </row>
    <row r="258" spans="1:1" x14ac:dyDescent="0.35">
      <c r="A258" s="20"/>
    </row>
    <row r="259" spans="1:1" x14ac:dyDescent="0.35">
      <c r="A259" s="20"/>
    </row>
    <row r="260" spans="1:1" x14ac:dyDescent="0.35">
      <c r="A260" s="20"/>
    </row>
    <row r="261" spans="1:1" x14ac:dyDescent="0.35">
      <c r="A261" s="20"/>
    </row>
    <row r="262" spans="1:1" x14ac:dyDescent="0.35">
      <c r="A262" s="20"/>
    </row>
    <row r="263" spans="1:1" x14ac:dyDescent="0.35">
      <c r="A263" s="20"/>
    </row>
    <row r="264" spans="1:1" x14ac:dyDescent="0.35">
      <c r="A264" s="20"/>
    </row>
    <row r="265" spans="1:1" x14ac:dyDescent="0.35">
      <c r="A265" s="20"/>
    </row>
    <row r="266" spans="1:1" x14ac:dyDescent="0.35">
      <c r="A266" s="20"/>
    </row>
    <row r="267" spans="1:1" x14ac:dyDescent="0.35">
      <c r="A267" s="20"/>
    </row>
    <row r="268" spans="1:1" x14ac:dyDescent="0.35">
      <c r="A268" s="20"/>
    </row>
    <row r="269" spans="1:1" x14ac:dyDescent="0.35">
      <c r="A269" s="20"/>
    </row>
    <row r="270" spans="1:1" x14ac:dyDescent="0.35">
      <c r="A270" s="20"/>
    </row>
    <row r="271" spans="1:1" x14ac:dyDescent="0.35">
      <c r="A271" s="20"/>
    </row>
    <row r="272" spans="1:1" x14ac:dyDescent="0.35">
      <c r="A272" s="20"/>
    </row>
    <row r="273" spans="1:1" x14ac:dyDescent="0.35">
      <c r="A273" s="20"/>
    </row>
    <row r="274" spans="1:1" x14ac:dyDescent="0.35">
      <c r="A274" s="20"/>
    </row>
    <row r="275" spans="1:1" x14ac:dyDescent="0.35">
      <c r="A275" s="20"/>
    </row>
    <row r="276" spans="1:1" x14ac:dyDescent="0.35">
      <c r="A276" s="20"/>
    </row>
    <row r="277" spans="1:1" x14ac:dyDescent="0.35">
      <c r="A277" s="20"/>
    </row>
    <row r="278" spans="1:1" x14ac:dyDescent="0.35">
      <c r="A278" s="20"/>
    </row>
    <row r="279" spans="1:1" x14ac:dyDescent="0.35">
      <c r="A279" s="20"/>
    </row>
    <row r="280" spans="1:1" x14ac:dyDescent="0.35">
      <c r="A280" s="20"/>
    </row>
    <row r="281" spans="1:1" x14ac:dyDescent="0.35">
      <c r="A281" s="20"/>
    </row>
    <row r="282" spans="1:1" x14ac:dyDescent="0.35">
      <c r="A282" s="20"/>
    </row>
    <row r="283" spans="1:1" x14ac:dyDescent="0.35">
      <c r="A283" s="20"/>
    </row>
    <row r="284" spans="1:1" x14ac:dyDescent="0.35">
      <c r="A284" s="20"/>
    </row>
    <row r="285" spans="1:1" x14ac:dyDescent="0.35">
      <c r="A285" s="20"/>
    </row>
    <row r="286" spans="1:1" x14ac:dyDescent="0.35">
      <c r="A286" s="20"/>
    </row>
    <row r="287" spans="1:1" x14ac:dyDescent="0.35">
      <c r="A287" s="20"/>
    </row>
    <row r="288" spans="1:1" x14ac:dyDescent="0.35">
      <c r="A288" s="20"/>
    </row>
    <row r="289" spans="1:1" x14ac:dyDescent="0.35">
      <c r="A289" s="20"/>
    </row>
    <row r="290" spans="1:1" x14ac:dyDescent="0.35">
      <c r="A290" s="20"/>
    </row>
    <row r="291" spans="1:1" x14ac:dyDescent="0.35">
      <c r="A291" s="20"/>
    </row>
    <row r="292" spans="1:1" x14ac:dyDescent="0.35">
      <c r="A292" s="20"/>
    </row>
    <row r="293" spans="1:1" x14ac:dyDescent="0.35">
      <c r="A293" s="20"/>
    </row>
    <row r="294" spans="1:1" x14ac:dyDescent="0.35">
      <c r="A294" s="20"/>
    </row>
    <row r="295" spans="1:1" x14ac:dyDescent="0.35">
      <c r="A295" s="20"/>
    </row>
    <row r="296" spans="1:1" x14ac:dyDescent="0.35">
      <c r="A296" s="20"/>
    </row>
    <row r="297" spans="1:1" x14ac:dyDescent="0.35">
      <c r="A297" s="20"/>
    </row>
    <row r="298" spans="1:1" x14ac:dyDescent="0.35">
      <c r="A298" s="20"/>
    </row>
    <row r="299" spans="1:1" x14ac:dyDescent="0.35">
      <c r="A299" s="20"/>
    </row>
    <row r="300" spans="1:1" x14ac:dyDescent="0.35">
      <c r="A300" s="20"/>
    </row>
    <row r="301" spans="1:1" x14ac:dyDescent="0.35">
      <c r="A301" s="20"/>
    </row>
    <row r="302" spans="1:1" x14ac:dyDescent="0.35">
      <c r="A302" s="20"/>
    </row>
    <row r="303" spans="1:1" x14ac:dyDescent="0.35">
      <c r="A303" s="20"/>
    </row>
    <row r="304" spans="1:1" x14ac:dyDescent="0.35">
      <c r="A304" s="20"/>
    </row>
    <row r="305" spans="1:1" x14ac:dyDescent="0.35">
      <c r="A305" s="20"/>
    </row>
    <row r="306" spans="1:1" x14ac:dyDescent="0.35">
      <c r="A306" s="20"/>
    </row>
    <row r="307" spans="1:1" x14ac:dyDescent="0.35">
      <c r="A307" s="20"/>
    </row>
    <row r="308" spans="1:1" x14ac:dyDescent="0.35">
      <c r="A308" s="20"/>
    </row>
    <row r="309" spans="1:1" x14ac:dyDescent="0.35">
      <c r="A309" s="20"/>
    </row>
    <row r="310" spans="1:1" x14ac:dyDescent="0.35">
      <c r="A310" s="20"/>
    </row>
    <row r="311" spans="1:1" x14ac:dyDescent="0.35">
      <c r="A311" s="20"/>
    </row>
    <row r="312" spans="1:1" x14ac:dyDescent="0.35">
      <c r="A312" s="20"/>
    </row>
    <row r="313" spans="1:1" x14ac:dyDescent="0.35">
      <c r="A313" s="20"/>
    </row>
    <row r="314" spans="1:1" x14ac:dyDescent="0.35">
      <c r="A314" s="20"/>
    </row>
    <row r="315" spans="1:1" x14ac:dyDescent="0.35">
      <c r="A315" s="20"/>
    </row>
    <row r="316" spans="1:1" x14ac:dyDescent="0.35">
      <c r="A316" s="20"/>
    </row>
    <row r="317" spans="1:1" x14ac:dyDescent="0.35">
      <c r="A317" s="20"/>
    </row>
    <row r="318" spans="1:1" x14ac:dyDescent="0.35">
      <c r="A318" s="20"/>
    </row>
    <row r="319" spans="1:1" x14ac:dyDescent="0.35">
      <c r="A319" s="20"/>
    </row>
    <row r="320" spans="1:1" x14ac:dyDescent="0.35">
      <c r="A320" s="20"/>
    </row>
    <row r="321" spans="1:1" x14ac:dyDescent="0.35">
      <c r="A321" s="20"/>
    </row>
    <row r="322" spans="1:1" x14ac:dyDescent="0.35">
      <c r="A322" s="20"/>
    </row>
    <row r="323" spans="1:1" x14ac:dyDescent="0.35">
      <c r="A323" s="20"/>
    </row>
    <row r="324" spans="1:1" x14ac:dyDescent="0.35">
      <c r="A324" s="20"/>
    </row>
    <row r="325" spans="1:1" x14ac:dyDescent="0.35">
      <c r="A325" s="20"/>
    </row>
    <row r="326" spans="1:1" x14ac:dyDescent="0.35">
      <c r="A326" s="20"/>
    </row>
    <row r="327" spans="1:1" x14ac:dyDescent="0.35">
      <c r="A327" s="2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C0568-3D29-4F83-AEC4-A71A15A879E1}">
  <dimension ref="A1:Y326"/>
  <sheetViews>
    <sheetView topLeftCell="N1" zoomScale="70" zoomScaleNormal="70" workbookViewId="0">
      <pane ySplit="1" topLeftCell="A2" activePane="bottomLeft" state="frozen"/>
      <selection activeCell="H19" sqref="H19"/>
      <selection pane="bottomLeft" activeCell="P2" sqref="P2"/>
    </sheetView>
  </sheetViews>
  <sheetFormatPr defaultRowHeight="14.5" x14ac:dyDescent="0.35"/>
  <cols>
    <col min="1" max="1" width="10.81640625" bestFit="1" customWidth="1"/>
    <col min="2" max="2" width="29.6328125" bestFit="1" customWidth="1"/>
    <col min="3" max="3" width="17.26953125" bestFit="1" customWidth="1"/>
    <col min="4" max="4" width="15.81640625" bestFit="1" customWidth="1"/>
    <col min="5" max="5" width="29.90625" bestFit="1" customWidth="1"/>
    <col min="6" max="6" width="24.90625" bestFit="1" customWidth="1"/>
    <col min="7" max="7" width="23.7265625" bestFit="1" customWidth="1"/>
    <col min="8" max="8" width="22.6328125" bestFit="1" customWidth="1"/>
    <col min="9" max="9" width="24.90625" bestFit="1" customWidth="1"/>
    <col min="10" max="10" width="33.36328125" bestFit="1" customWidth="1"/>
    <col min="11" max="11" width="26.453125" bestFit="1" customWidth="1"/>
    <col min="12" max="12" width="28.81640625" bestFit="1" customWidth="1"/>
    <col min="13" max="13" width="34.453125" bestFit="1" customWidth="1"/>
    <col min="14" max="14" width="35.36328125" bestFit="1" customWidth="1"/>
    <col min="15" max="15" width="20.81640625" bestFit="1" customWidth="1"/>
    <col min="16" max="16" width="29.26953125" bestFit="1" customWidth="1"/>
    <col min="17" max="17" width="31.7265625" bestFit="1" customWidth="1"/>
    <col min="18" max="18" width="34.6328125" bestFit="1" customWidth="1"/>
    <col min="19" max="19" width="30.453125" bestFit="1" customWidth="1"/>
    <col min="20" max="20" width="31.36328125" bestFit="1" customWidth="1"/>
    <col min="21" max="21" width="14.54296875" customWidth="1"/>
    <col min="22" max="22" width="32" bestFit="1" customWidth="1"/>
    <col min="24" max="24" width="13.6328125" bestFit="1" customWidth="1"/>
  </cols>
  <sheetData>
    <row r="1" spans="1:25" x14ac:dyDescent="0.35">
      <c r="A1" s="4" t="s">
        <v>23</v>
      </c>
      <c r="B1" s="17" t="s">
        <v>89</v>
      </c>
      <c r="C1" s="17" t="s">
        <v>90</v>
      </c>
      <c r="D1" s="17" t="s">
        <v>96</v>
      </c>
      <c r="E1" s="17" t="s">
        <v>95</v>
      </c>
      <c r="F1" s="17" t="s">
        <v>92</v>
      </c>
      <c r="G1" s="17" t="s">
        <v>100</v>
      </c>
      <c r="H1" s="17" t="s">
        <v>101</v>
      </c>
      <c r="I1" s="17" t="s">
        <v>102</v>
      </c>
      <c r="J1" s="17" t="s">
        <v>93</v>
      </c>
      <c r="K1" s="17" t="s">
        <v>103</v>
      </c>
      <c r="L1" s="24" t="s">
        <v>104</v>
      </c>
      <c r="M1" s="17" t="s">
        <v>91</v>
      </c>
      <c r="N1" s="17" t="s">
        <v>105</v>
      </c>
      <c r="O1" s="17" t="s">
        <v>106</v>
      </c>
      <c r="P1" s="17" t="s">
        <v>99</v>
      </c>
      <c r="Q1" s="17" t="s">
        <v>107</v>
      </c>
      <c r="R1" s="24" t="s">
        <v>94</v>
      </c>
      <c r="S1" s="24" t="s">
        <v>98</v>
      </c>
      <c r="T1" s="17" t="s">
        <v>108</v>
      </c>
      <c r="U1" s="17" t="s">
        <v>81</v>
      </c>
      <c r="V1" s="17" t="s">
        <v>97</v>
      </c>
    </row>
    <row r="2" spans="1:25" x14ac:dyDescent="0.35">
      <c r="A2" s="23">
        <v>39538</v>
      </c>
      <c r="B2" s="16">
        <f>Levels!B3/Levels!B2-1-Levels!$Y2</f>
        <v>4.9503650971598478E-3</v>
      </c>
      <c r="C2" s="16">
        <f>Levels!C3/Levels!C2-1-Levels!$Y2</f>
        <v>7.161834040189774E-3</v>
      </c>
      <c r="D2" s="16">
        <f>Levels!D3/Levels!D2-1-Levels!$Y2</f>
        <v>2.7067484322123248E-2</v>
      </c>
      <c r="E2" s="16">
        <f>Levels!E3/Levels!E2-1-Levels!$Y2</f>
        <v>-9.5080094704003137E-4</v>
      </c>
      <c r="F2" s="16">
        <f>Levels!F3/Levels!F2-1-Levels!$Y2</f>
        <v>5.7883752469698457E-3</v>
      </c>
      <c r="G2" s="16">
        <f>Levels!G3/Levels!G2-1-Levels!$Y2</f>
        <v>-9.4624631550759286E-3</v>
      </c>
      <c r="H2" s="16">
        <f>Levels!H3/Levels!H2-1-Levels!$Y2</f>
        <v>-1.5685478306987966E-2</v>
      </c>
      <c r="I2" s="16">
        <f>Levels!I3/Levels!I2-1-Levels!$Y2</f>
        <v>-1.2668863246873219E-2</v>
      </c>
      <c r="J2" s="16">
        <f>Levels!J3/Levels!J2-1-Levels!$Y2</f>
        <v>-3.6358008762646943E-3</v>
      </c>
      <c r="K2" s="16">
        <f>Levels!K3/Levels!K2-1-Levels!$Y2</f>
        <v>-1.7105109949251962E-2</v>
      </c>
      <c r="L2" s="16" t="e">
        <f>Levels!L3/Levels!L2-1-Levels!$Y2</f>
        <v>#N/A</v>
      </c>
      <c r="M2" s="16">
        <f>Levels!M3/Levels!M2-1-Levels!$Y2</f>
        <v>4.0955070006503114E-3</v>
      </c>
      <c r="N2" s="16">
        <f>Levels!N3/Levels!N2-1-Levels!$Y2</f>
        <v>2.4982869491265491E-2</v>
      </c>
      <c r="O2" s="16">
        <f>Levels!O3/Levels!O2-1-Levels!$Y2</f>
        <v>-1.0149580589781992E-2</v>
      </c>
      <c r="P2" s="16">
        <f>Levels!P3/Levels!P2-1-Levels!$Y2</f>
        <v>1.4758670845700372E-3</v>
      </c>
      <c r="Q2" s="16">
        <f>Levels!Q3/Levels!Q2-1-Levels!$Y2</f>
        <v>-2.2458916766199266E-4</v>
      </c>
      <c r="R2" s="16" t="e">
        <f>Levels!R3/Levels!R2-1-Levels!$Y2</f>
        <v>#N/A</v>
      </c>
      <c r="S2" s="16" t="e">
        <f>Levels!S3/Levels!S2-1-Levels!$Y2</f>
        <v>#N/A</v>
      </c>
      <c r="T2" s="16">
        <f>Levels!T3/Levels!T2-1-Levels!$Y2</f>
        <v>1.583184034039542E-2</v>
      </c>
      <c r="U2" s="16">
        <f>(Levels!U3/Levels!U2-1-Levels!$Y2)*$Y$2</f>
        <v>4.7378021060969201E-2</v>
      </c>
      <c r="V2" s="16">
        <f>(Levels!V3/Levels!V2-1-Levels!$Y2)</f>
        <v>7.5717048073736359E-2</v>
      </c>
      <c r="X2" t="s">
        <v>111</v>
      </c>
      <c r="Y2">
        <v>1.2</v>
      </c>
    </row>
    <row r="3" spans="1:25" x14ac:dyDescent="0.35">
      <c r="A3" s="23">
        <v>39568</v>
      </c>
      <c r="B3" s="16">
        <f>Levels!B4/Levels!B3-1-Levels!$Y3</f>
        <v>-1.7750261520575794E-2</v>
      </c>
      <c r="C3" s="16">
        <f>Levels!C4/Levels!C3-1-Levels!$Y3</f>
        <v>-2.0284797782983754E-2</v>
      </c>
      <c r="D3" s="16">
        <f>Levels!D4/Levels!D3-1-Levels!$Y3</f>
        <v>1.0599253919367779E-2</v>
      </c>
      <c r="E3" s="16">
        <f>Levels!E4/Levels!E3-1-Levels!$Y3</f>
        <v>-7.5213745434148382E-3</v>
      </c>
      <c r="F3" s="16">
        <f>Levels!F4/Levels!F3-1-Levels!$Y3</f>
        <v>-5.9200243380285178E-3</v>
      </c>
      <c r="G3" s="16">
        <f>Levels!G4/Levels!G3-1-Levels!$Y3</f>
        <v>1.0248508873167417E-4</v>
      </c>
      <c r="H3" s="16">
        <f>Levels!H4/Levels!H3-1-Levels!$Y3</f>
        <v>8.0442077907973975E-3</v>
      </c>
      <c r="I3" s="16">
        <f>Levels!I4/Levels!I3-1-Levels!$Y3</f>
        <v>1.200003985827558E-2</v>
      </c>
      <c r="J3" s="16">
        <f>Levels!J4/Levels!J3-1-Levels!$Y3</f>
        <v>4.1662613111094648E-2</v>
      </c>
      <c r="K3" s="16">
        <f>Levels!K4/Levels!K3-1-Levels!$Y3</f>
        <v>4.5293483973677828E-2</v>
      </c>
      <c r="L3" s="16" t="e">
        <f>Levels!L4/Levels!L3-1-Levels!$Y3</f>
        <v>#N/A</v>
      </c>
      <c r="M3" s="16">
        <f>Levels!M4/Levels!M3-1-Levels!$Y3</f>
        <v>-1.3799206148457088E-4</v>
      </c>
      <c r="N3" s="16">
        <f>Levels!N4/Levels!N3-1-Levels!$Y3</f>
        <v>1.5480361673978482E-2</v>
      </c>
      <c r="O3" s="16">
        <f>Levels!O4/Levels!O3-1-Levels!$Y3</f>
        <v>-1.0079168109025205E-2</v>
      </c>
      <c r="P3" s="16">
        <f>Levels!P4/Levels!P3-1-Levels!$Y3</f>
        <v>1.419873631901325E-3</v>
      </c>
      <c r="Q3" s="16">
        <f>Levels!Q4/Levels!Q3-1-Levels!$Y3</f>
        <v>-1.8730463507310446E-5</v>
      </c>
      <c r="R3" s="16" t="e">
        <f>Levels!R4/Levels!R3-1-Levels!$Y3</f>
        <v>#N/A</v>
      </c>
      <c r="S3" s="16" t="e">
        <f>Levels!S4/Levels!S3-1-Levels!$Y3</f>
        <v>#N/A</v>
      </c>
      <c r="T3" s="16">
        <f>Levels!T4/Levels!T3-1-Levels!$Y3</f>
        <v>2.2227534467002874E-2</v>
      </c>
      <c r="U3" s="16">
        <f>(Levels!U4/Levels!U3-1-Levels!$Y3)*$Y$2</f>
        <v>5.2472292468382344E-2</v>
      </c>
      <c r="V3" s="16">
        <f>(Levels!V4/Levels!V3-1-Levels!$Y3)</f>
        <v>-2.7517119081227115E-2</v>
      </c>
    </row>
    <row r="4" spans="1:25" x14ac:dyDescent="0.35">
      <c r="A4" s="23">
        <v>39599</v>
      </c>
      <c r="B4" s="16">
        <f>Levels!B5/Levels!B4-1-Levels!$Y4</f>
        <v>-1.06863808175367E-2</v>
      </c>
      <c r="C4" s="16">
        <f>Levels!C5/Levels!C4-1-Levels!$Y4</f>
        <v>-2.1056345094294882E-2</v>
      </c>
      <c r="D4" s="16">
        <f>Levels!D5/Levels!D4-1-Levels!$Y4</f>
        <v>4.9125513892873673E-3</v>
      </c>
      <c r="E4" s="16">
        <f>Levels!E5/Levels!E4-1-Levels!$Y4</f>
        <v>-1.2168537749881692E-2</v>
      </c>
      <c r="F4" s="16">
        <f>Levels!F5/Levels!F4-1-Levels!$Y4</f>
        <v>-8.0042818302300534E-3</v>
      </c>
      <c r="G4" s="16">
        <f>Levels!G5/Levels!G4-1-Levels!$Y4</f>
        <v>-1.1117541815794496E-2</v>
      </c>
      <c r="H4" s="16">
        <f>Levels!H5/Levels!H4-1-Levels!$Y4</f>
        <v>-1.2310545865132916E-2</v>
      </c>
      <c r="I4" s="16">
        <f>Levels!I5/Levels!I4-1-Levels!$Y4</f>
        <v>-7.3499140314644551E-3</v>
      </c>
      <c r="J4" s="16">
        <f>Levels!J5/Levels!J4-1-Levels!$Y4</f>
        <v>3.9840327450655355E-3</v>
      </c>
      <c r="K4" s="16">
        <f>Levels!K5/Levels!K4-1-Levels!$Y4</f>
        <v>-1.2303947757248745E-2</v>
      </c>
      <c r="L4" s="16" t="e">
        <f>Levels!L5/Levels!L4-1-Levels!$Y4</f>
        <v>#N/A</v>
      </c>
      <c r="M4" s="16">
        <f>Levels!M5/Levels!M4-1-Levels!$Y4</f>
        <v>-6.4464526719563153E-3</v>
      </c>
      <c r="N4" s="16">
        <f>Levels!N5/Levels!N4-1-Levels!$Y4</f>
        <v>5.7777612109342069E-3</v>
      </c>
      <c r="O4" s="16">
        <f>Levels!O5/Levels!O4-1-Levels!$Y4</f>
        <v>4.6547966289220977E-3</v>
      </c>
      <c r="P4" s="16">
        <f>Levels!P5/Levels!P4-1-Levels!$Y4</f>
        <v>-1.6511251706884389E-3</v>
      </c>
      <c r="Q4" s="16">
        <f>Levels!Q5/Levels!Q4-1-Levels!$Y4</f>
        <v>-1.611005254692266E-3</v>
      </c>
      <c r="R4" s="16" t="e">
        <f>Levels!R5/Levels!R4-1-Levels!$Y4</f>
        <v>#N/A</v>
      </c>
      <c r="S4" s="16" t="e">
        <f>Levels!S5/Levels!S4-1-Levels!$Y4</f>
        <v>#N/A</v>
      </c>
      <c r="T4" s="16">
        <f>Levels!T5/Levels!T4-1-Levels!$Y4</f>
        <v>9.7661421731318754E-3</v>
      </c>
      <c r="U4" s="16">
        <f>(Levels!U5/Levels!U4-1-Levels!$Y4)*$Y$2</f>
        <v>-9.5380913443919052E-2</v>
      </c>
      <c r="V4" s="16">
        <f>(Levels!V5/Levels!V4-1-Levels!$Y4)</f>
        <v>-0.1357133902682639</v>
      </c>
    </row>
    <row r="5" spans="1:25" x14ac:dyDescent="0.35">
      <c r="A5" s="23">
        <v>39629</v>
      </c>
      <c r="B5" s="16">
        <f>Levels!B6/Levels!B5-1-Levels!$Y5</f>
        <v>3.9325430710475118E-3</v>
      </c>
      <c r="C5" s="16">
        <f>Levels!C6/Levels!C5-1-Levels!$Y5</f>
        <v>1.5589129524375744E-2</v>
      </c>
      <c r="D5" s="16">
        <f>Levels!D6/Levels!D5-1-Levels!$Y5</f>
        <v>-1.2851938461507451E-2</v>
      </c>
      <c r="E5" s="16">
        <f>Levels!E6/Levels!E5-1-Levels!$Y5</f>
        <v>-8.0642178298750977E-3</v>
      </c>
      <c r="F5" s="16">
        <f>Levels!F6/Levels!F5-1-Levels!$Y5</f>
        <v>-7.6266967974625288E-4</v>
      </c>
      <c r="G5" s="16">
        <f>Levels!G6/Levels!G5-1-Levels!$Y5</f>
        <v>-9.5550948721592199E-3</v>
      </c>
      <c r="H5" s="16">
        <f>Levels!H6/Levels!H5-1-Levels!$Y5</f>
        <v>-8.3474460857922983E-3</v>
      </c>
      <c r="I5" s="16">
        <f>Levels!I6/Levels!I5-1-Levels!$Y5</f>
        <v>-7.0249210359707437E-3</v>
      </c>
      <c r="J5" s="16">
        <f>Levels!J6/Levels!J5-1-Levels!$Y5</f>
        <v>-2.8856379417992239E-2</v>
      </c>
      <c r="K5" s="16">
        <f>Levels!K6/Levels!K5-1-Levels!$Y5</f>
        <v>-3.5116519639008414E-2</v>
      </c>
      <c r="L5" s="16" t="e">
        <f>Levels!L6/Levels!L5-1-Levels!$Y5</f>
        <v>#N/A</v>
      </c>
      <c r="M5" s="16">
        <f>Levels!M6/Levels!M5-1-Levels!$Y5</f>
        <v>-2.1259902504616734E-3</v>
      </c>
      <c r="N5" s="16">
        <f>Levels!N6/Levels!N5-1-Levels!$Y5</f>
        <v>-2.2862211657306175E-2</v>
      </c>
      <c r="O5" s="16">
        <f>Levels!O6/Levels!O5-1-Levels!$Y5</f>
        <v>-6.3478984829647978E-3</v>
      </c>
      <c r="P5" s="16">
        <f>Levels!P6/Levels!P5-1-Levels!$Y5</f>
        <v>-3.1929501567118379E-3</v>
      </c>
      <c r="Q5" s="16">
        <f>Levels!Q6/Levels!Q5-1-Levels!$Y5</f>
        <v>-3.1350826627791761E-3</v>
      </c>
      <c r="R5" s="16" t="e">
        <f>Levels!R6/Levels!R5-1-Levels!$Y5</f>
        <v>#N/A</v>
      </c>
      <c r="S5" s="16" t="e">
        <f>Levels!S6/Levels!S5-1-Levels!$Y5</f>
        <v>#N/A</v>
      </c>
      <c r="T5" s="16">
        <f>Levels!T6/Levels!T5-1-Levels!$Y5</f>
        <v>-2.4076098908987098E-2</v>
      </c>
      <c r="U5" s="16">
        <f>(Levels!U6/Levels!U5-1-Levels!$Y5)*$Y$2</f>
        <v>4.1388172381668031E-2</v>
      </c>
      <c r="V5" s="16">
        <f>(Levels!V6/Levels!V5-1-Levels!$Y5)</f>
        <v>1.4142559046610215E-2</v>
      </c>
    </row>
    <row r="6" spans="1:25" x14ac:dyDescent="0.35">
      <c r="A6" s="23">
        <v>39660</v>
      </c>
      <c r="B6" s="16">
        <f>Levels!B7/Levels!B6-1-Levels!$Y6</f>
        <v>4.0446824354902766E-3</v>
      </c>
      <c r="C6" s="16">
        <f>Levels!C7/Levels!C6-1-Levels!$Y6</f>
        <v>-2.1648553188626796E-3</v>
      </c>
      <c r="D6" s="16">
        <f>Levels!D7/Levels!D6-1-Levels!$Y6</f>
        <v>2.3692235046692822E-3</v>
      </c>
      <c r="E6" s="16">
        <f>Levels!E7/Levels!E6-1-Levels!$Y6</f>
        <v>1.3986370813794391E-2</v>
      </c>
      <c r="F6" s="16">
        <f>Levels!F7/Levels!F6-1-Levels!$Y6</f>
        <v>-5.2298190726318694E-4</v>
      </c>
      <c r="G6" s="16">
        <f>Levels!G7/Levels!G6-1-Levels!$Y6</f>
        <v>-7.0261237625751649E-3</v>
      </c>
      <c r="H6" s="16">
        <f>Levels!H7/Levels!H6-1-Levels!$Y6</f>
        <v>-1.0304201804570812E-2</v>
      </c>
      <c r="I6" s="16">
        <f>Levels!I7/Levels!I6-1-Levels!$Y6</f>
        <v>-7.9367495677767907E-3</v>
      </c>
      <c r="J6" s="16">
        <f>Levels!J7/Levels!J6-1-Levels!$Y6</f>
        <v>-1.2834856607500833E-2</v>
      </c>
      <c r="K6" s="16">
        <f>Levels!K7/Levels!K6-1-Levels!$Y6</f>
        <v>-3.2387017645028715E-2</v>
      </c>
      <c r="L6" s="16" t="e">
        <f>Levels!L7/Levels!L6-1-Levels!$Y6</f>
        <v>#N/A</v>
      </c>
      <c r="M6" s="16">
        <f>Levels!M7/Levels!M6-1-Levels!$Y6</f>
        <v>-2.8286707049688387E-3</v>
      </c>
      <c r="N6" s="16">
        <f>Levels!N7/Levels!N6-1-Levels!$Y6</f>
        <v>-6.8921496195228915E-3</v>
      </c>
      <c r="O6" s="16">
        <f>Levels!O7/Levels!O6-1-Levels!$Y6</f>
        <v>-1.1904840520742255E-3</v>
      </c>
      <c r="P6" s="16">
        <f>Levels!P7/Levels!P6-1-Levels!$Y6</f>
        <v>-6.3523665518463446E-3</v>
      </c>
      <c r="Q6" s="16">
        <f>Levels!Q7/Levels!Q6-1-Levels!$Y6</f>
        <v>-4.7141118037009599E-3</v>
      </c>
      <c r="R6" s="16" t="e">
        <f>Levels!R7/Levels!R6-1-Levels!$Y6</f>
        <v>#N/A</v>
      </c>
      <c r="S6" s="16" t="e">
        <f>Levels!S7/Levels!S6-1-Levels!$Y6</f>
        <v>#N/A</v>
      </c>
      <c r="T6" s="16">
        <f>Levels!T7/Levels!T6-1-Levels!$Y6</f>
        <v>-1.0402736784818623E-2</v>
      </c>
      <c r="U6" s="16">
        <f>(Levels!U7/Levels!U6-1-Levels!$Y6)*$Y$2</f>
        <v>4.0230301021805116E-2</v>
      </c>
      <c r="V6" s="16">
        <f>(Levels!V7/Levels!V6-1-Levels!$Y6)</f>
        <v>3.2284589377989503E-2</v>
      </c>
    </row>
    <row r="7" spans="1:25" x14ac:dyDescent="0.35">
      <c r="A7" s="23">
        <v>39691</v>
      </c>
      <c r="B7" s="16">
        <f>Levels!B8/Levels!B7-1-Levels!$Y7</f>
        <v>8.0555743126056178E-3</v>
      </c>
      <c r="C7" s="16">
        <f>Levels!C8/Levels!C7-1-Levels!$Y7</f>
        <v>2.345168300115108E-2</v>
      </c>
      <c r="D7" s="16">
        <f>Levels!D8/Levels!D7-1-Levels!$Y7</f>
        <v>1.0327426082880731E-2</v>
      </c>
      <c r="E7" s="16">
        <f>Levels!E8/Levels!E7-1-Levels!$Y7</f>
        <v>8.80786590121585E-3</v>
      </c>
      <c r="F7" s="16">
        <f>Levels!F8/Levels!F7-1-Levels!$Y7</f>
        <v>8.8076485505443891E-3</v>
      </c>
      <c r="G7" s="16">
        <f>Levels!G8/Levels!G7-1-Levels!$Y7</f>
        <v>4.283498761467941E-3</v>
      </c>
      <c r="H7" s="16">
        <f>Levels!H8/Levels!H7-1-Levels!$Y7</f>
        <v>5.3637528560610548E-3</v>
      </c>
      <c r="I7" s="16">
        <f>Levels!I8/Levels!I7-1-Levels!$Y7</f>
        <v>6.401004149067635E-3</v>
      </c>
      <c r="J7" s="16">
        <f>Levels!J8/Levels!J7-1-Levels!$Y7</f>
        <v>1.5734491573158316E-3</v>
      </c>
      <c r="K7" s="16">
        <f>Levels!K8/Levels!K7-1-Levels!$Y7</f>
        <v>7.4858890279674295E-3</v>
      </c>
      <c r="L7" s="16" t="e">
        <f>Levels!L8/Levels!L7-1-Levels!$Y7</f>
        <v>#N/A</v>
      </c>
      <c r="M7" s="16">
        <f>Levels!M8/Levels!M7-1-Levels!$Y7</f>
        <v>1.1132857819269759E-2</v>
      </c>
      <c r="N7" s="16">
        <f>Levels!N8/Levels!N7-1-Levels!$Y7</f>
        <v>-9.5488650911552675E-3</v>
      </c>
      <c r="O7" s="16">
        <f>Levels!O8/Levels!O7-1-Levels!$Y7</f>
        <v>-1.3124453174082507E-2</v>
      </c>
      <c r="P7" s="16">
        <f>Levels!P8/Levels!P7-1-Levels!$Y7</f>
        <v>-5.6207977524702635E-3</v>
      </c>
      <c r="Q7" s="16">
        <f>Levels!Q8/Levels!Q7-1-Levels!$Y7</f>
        <v>-2.8274163822492593E-3</v>
      </c>
      <c r="R7" s="16" t="e">
        <f>Levels!R8/Levels!R7-1-Levels!$Y7</f>
        <v>#N/A</v>
      </c>
      <c r="S7" s="16" t="e">
        <f>Levels!S8/Levels!S7-1-Levels!$Y7</f>
        <v>#N/A</v>
      </c>
      <c r="T7" s="16">
        <f>Levels!T8/Levels!T7-1-Levels!$Y7</f>
        <v>-1.3605217052787943E-2</v>
      </c>
      <c r="U7" s="16">
        <f>(Levels!U8/Levels!U7-1-Levels!$Y7)*$Y$2</f>
        <v>-9.8885693229420604E-2</v>
      </c>
      <c r="V7" s="16">
        <f>(Levels!V8/Levels!V7-1-Levels!$Y7)</f>
        <v>-5.4037720311069792E-2</v>
      </c>
    </row>
    <row r="8" spans="1:25" x14ac:dyDescent="0.35">
      <c r="A8" s="23">
        <v>39721</v>
      </c>
      <c r="B8" s="16">
        <f>Levels!B9/Levels!B8-1-Levels!$Y8</f>
        <v>5.2575312585938505E-3</v>
      </c>
      <c r="C8" s="16">
        <f>Levels!C9/Levels!C8-1-Levels!$Y8</f>
        <v>2.5625160412385828E-3</v>
      </c>
      <c r="D8" s="16">
        <f>Levels!D9/Levels!D8-1-Levels!$Y8</f>
        <v>-4.8316782584235884E-2</v>
      </c>
      <c r="E8" s="16">
        <f>Levels!E9/Levels!E8-1-Levels!$Y8</f>
        <v>1.6877725550374922E-3</v>
      </c>
      <c r="F8" s="16">
        <f>Levels!F9/Levels!F8-1-Levels!$Y8</f>
        <v>3.0804501668924011E-4</v>
      </c>
      <c r="G8" s="16">
        <f>Levels!G9/Levels!G8-1-Levels!$Y8</f>
        <v>-5.1125211917376623E-2</v>
      </c>
      <c r="H8" s="16">
        <f>Levels!H9/Levels!H8-1-Levels!$Y8</f>
        <v>-9.9659958929102066E-2</v>
      </c>
      <c r="I8" s="16">
        <f>Levels!I9/Levels!I8-1-Levels!$Y8</f>
        <v>-5.1065549752725814E-2</v>
      </c>
      <c r="J8" s="16">
        <f>Levels!J9/Levels!J8-1-Levels!$Y8</f>
        <v>-7.8725922846715091E-2</v>
      </c>
      <c r="K8" s="16">
        <f>Levels!K9/Levels!K8-1-Levels!$Y8</f>
        <v>-0.10536476036171483</v>
      </c>
      <c r="L8" s="16" t="e">
        <f>Levels!L9/Levels!L8-1-Levels!$Y8</f>
        <v>#N/A</v>
      </c>
      <c r="M8" s="16">
        <f>Levels!M9/Levels!M8-1-Levels!$Y8</f>
        <v>6.1037541016386587E-3</v>
      </c>
      <c r="N8" s="16">
        <f>Levels!N9/Levels!N8-1-Levels!$Y8</f>
        <v>-4.6792348176255438E-2</v>
      </c>
      <c r="O8" s="16">
        <f>Levels!O9/Levels!O8-1-Levels!$Y8</f>
        <v>-2.7462300717509103E-2</v>
      </c>
      <c r="P8" s="16">
        <f>Levels!P9/Levels!P8-1-Levels!$Y8</f>
        <v>-1.9548803362778977E-2</v>
      </c>
      <c r="Q8" s="16">
        <f>Levels!Q9/Levels!Q8-1-Levels!$Y8</f>
        <v>-9.2677360770812012E-3</v>
      </c>
      <c r="R8" s="16" t="e">
        <f>Levels!R9/Levels!R8-1-Levels!$Y8</f>
        <v>#N/A</v>
      </c>
      <c r="S8" s="16" t="e">
        <f>Levels!S9/Levels!S8-1-Levels!$Y8</f>
        <v>#N/A</v>
      </c>
      <c r="T8" s="16">
        <f>Levels!T9/Levels!T8-1-Levels!$Y8</f>
        <v>-4.3764920749771119E-2</v>
      </c>
      <c r="U8" s="16">
        <f>(Levels!U9/Levels!U8-1-Levels!$Y8)*$Y$2</f>
        <v>-0.25255071909649779</v>
      </c>
      <c r="V8" s="16">
        <f>(Levels!V9/Levels!V8-1-Levels!$Y8)</f>
        <v>-0.20527402045721388</v>
      </c>
    </row>
    <row r="9" spans="1:25" x14ac:dyDescent="0.35">
      <c r="A9" s="23">
        <v>39752</v>
      </c>
      <c r="B9" s="16">
        <f>Levels!B10/Levels!B9-1-Levels!$Y9</f>
        <v>5.9235924205132129E-3</v>
      </c>
      <c r="C9" s="16">
        <f>Levels!C10/Levels!C9-1-Levels!$Y9</f>
        <v>-3.3406386591093851E-2</v>
      </c>
      <c r="D9" s="16">
        <f>Levels!D10/Levels!D9-1-Levels!$Y9</f>
        <v>-1.0965222247896422E-2</v>
      </c>
      <c r="E9" s="16">
        <f>Levels!E10/Levels!E9-1-Levels!$Y9</f>
        <v>6.4303077049445712E-3</v>
      </c>
      <c r="F9" s="16">
        <f>Levels!F10/Levels!F9-1-Levels!$Y9</f>
        <v>-1.3600303267538805E-2</v>
      </c>
      <c r="G9" s="16">
        <f>Levels!G10/Levels!G9-1-Levels!$Y9</f>
        <v>-2.4367467103640239E-2</v>
      </c>
      <c r="H9" s="16">
        <f>Levels!H10/Levels!H9-1-Levels!$Y9</f>
        <v>-5.5249326799644449E-2</v>
      </c>
      <c r="I9" s="16">
        <f>Levels!I10/Levels!I9-1-Levels!$Y9</f>
        <v>-0.110547473585349</v>
      </c>
      <c r="J9" s="16">
        <f>Levels!J10/Levels!J9-1-Levels!$Y9</f>
        <v>-0.15866767007854088</v>
      </c>
      <c r="K9" s="16">
        <f>Levels!K10/Levels!K9-1-Levels!$Y9</f>
        <v>-0.17131013355011659</v>
      </c>
      <c r="L9" s="16" t="e">
        <f>Levels!L10/Levels!L9-1-Levels!$Y9</f>
        <v>#N/A</v>
      </c>
      <c r="M9" s="16">
        <f>Levels!M10/Levels!M9-1-Levels!$Y9</f>
        <v>-1.33214733435425E-2</v>
      </c>
      <c r="N9" s="16">
        <f>Levels!N10/Levels!N9-1-Levels!$Y9</f>
        <v>-9.7913193774055607E-2</v>
      </c>
      <c r="O9" s="16">
        <f>Levels!O10/Levels!O9-1-Levels!$Y9</f>
        <v>-5.9830494901869535E-2</v>
      </c>
      <c r="P9" s="16">
        <f>Levels!P10/Levels!P9-1-Levels!$Y9</f>
        <v>-2.9071223681189196E-2</v>
      </c>
      <c r="Q9" s="16">
        <f>Levels!Q10/Levels!Q9-1-Levels!$Y9</f>
        <v>-2.8377914858924935E-2</v>
      </c>
      <c r="R9" s="16" t="e">
        <f>Levels!R10/Levels!R9-1-Levels!$Y9</f>
        <v>#N/A</v>
      </c>
      <c r="S9" s="16" t="e">
        <f>Levels!S10/Levels!S9-1-Levels!$Y9</f>
        <v>#N/A</v>
      </c>
      <c r="T9" s="16">
        <f>Levels!T10/Levels!T9-1-Levels!$Y9</f>
        <v>-0.10106838346759417</v>
      </c>
      <c r="U9" s="16">
        <f>(Levels!U10/Levels!U9-1-Levels!$Y9)*$Y$2</f>
        <v>-0.14463297151400312</v>
      </c>
      <c r="V9" s="16">
        <f>(Levels!V10/Levels!V9-1-Levels!$Y9)</f>
        <v>-0.15150755101100322</v>
      </c>
    </row>
    <row r="10" spans="1:25" x14ac:dyDescent="0.35">
      <c r="A10" s="23">
        <v>39782</v>
      </c>
      <c r="B10" s="16">
        <f>Levels!B11/Levels!B10-1-Levels!$Y10</f>
        <v>3.6606909474051985E-2</v>
      </c>
      <c r="C10" s="16">
        <f>Levels!C11/Levels!C10-1-Levels!$Y10</f>
        <v>0.12266080456094941</v>
      </c>
      <c r="D10" s="16">
        <f>Levels!D11/Levels!D10-1-Levels!$Y10</f>
        <v>2.8175226104458773E-3</v>
      </c>
      <c r="E10" s="16">
        <f>Levels!E11/Levels!E10-1-Levels!$Y10</f>
        <v>2.6922753886938988E-2</v>
      </c>
      <c r="F10" s="16">
        <f>Levels!F11/Levels!F10-1-Levels!$Y10</f>
        <v>3.1333275026505847E-2</v>
      </c>
      <c r="G10" s="16">
        <f>Levels!G11/Levels!G10-1-Levels!$Y10</f>
        <v>3.2590602194176643E-2</v>
      </c>
      <c r="H10" s="16">
        <f>Levels!H11/Levels!H10-1-Levels!$Y10</f>
        <v>4.4641471221710916E-2</v>
      </c>
      <c r="I10" s="16">
        <f>Levels!I11/Levels!I10-1-Levels!$Y10</f>
        <v>2.7135730693582438E-2</v>
      </c>
      <c r="J10" s="16">
        <f>Levels!J11/Levels!J10-1-Levels!$Y10</f>
        <v>-9.3473841679253322E-2</v>
      </c>
      <c r="K10" s="16">
        <f>Levels!K11/Levels!K10-1-Levels!$Y10</f>
        <v>-9.3708074529272545E-2</v>
      </c>
      <c r="L10" s="16" t="e">
        <f>Levels!L11/Levels!L10-1-Levels!$Y10</f>
        <v>#N/A</v>
      </c>
      <c r="M10" s="16">
        <f>Levels!M11/Levels!M10-1-Levels!$Y10</f>
        <v>3.8919787794327476E-2</v>
      </c>
      <c r="N10" s="16">
        <f>Levels!N11/Levels!N10-1-Levels!$Y10</f>
        <v>-0.18158652946346776</v>
      </c>
      <c r="O10" s="16">
        <f>Levels!O11/Levels!O10-1-Levels!$Y10</f>
        <v>-4.1475418371567097E-3</v>
      </c>
      <c r="P10" s="16">
        <f>Levels!P11/Levels!P10-1-Levels!$Y10</f>
        <v>-2.0863735572387188E-2</v>
      </c>
      <c r="Q10" s="16">
        <f>Levels!Q11/Levels!Q10-1-Levels!$Y10</f>
        <v>-2.3671933030262271E-2</v>
      </c>
      <c r="R10" s="16" t="e">
        <f>Levels!R11/Levels!R10-1-Levels!$Y10</f>
        <v>#N/A</v>
      </c>
      <c r="S10" s="16" t="e">
        <f>Levels!S11/Levels!S10-1-Levels!$Y10</f>
        <v>#N/A</v>
      </c>
      <c r="T10" s="16">
        <f>Levels!T11/Levels!T10-1-Levels!$Y10</f>
        <v>-0.18532472605294037</v>
      </c>
      <c r="U10" s="16">
        <f>(Levels!U11/Levels!U10-1-Levels!$Y10)*$Y$2</f>
        <v>6.6291540652732545E-2</v>
      </c>
      <c r="V10" s="16">
        <f>(Levels!V11/Levels!V10-1-Levels!$Y10)</f>
        <v>-5.6831764301162879E-3</v>
      </c>
    </row>
    <row r="11" spans="1:25" x14ac:dyDescent="0.35">
      <c r="A11" s="23">
        <v>39813</v>
      </c>
      <c r="B11" s="16">
        <f>Levels!B12/Levels!B11-1-Levels!$Y11</f>
        <v>1.9655613274127903E-2</v>
      </c>
      <c r="C11" s="16">
        <f>Levels!C12/Levels!C11-1-Levels!$Y11</f>
        <v>9.2229873734940737E-2</v>
      </c>
      <c r="D11" s="16">
        <f>Levels!D12/Levels!D11-1-Levels!$Y11</f>
        <v>1.4535345844905567E-2</v>
      </c>
      <c r="E11" s="16">
        <f>Levels!E12/Levels!E11-1-Levels!$Y11</f>
        <v>2.7196633584124497E-2</v>
      </c>
      <c r="F11" s="16">
        <f>Levels!F12/Levels!F11-1-Levels!$Y11</f>
        <v>3.076225922674114E-2</v>
      </c>
      <c r="G11" s="16">
        <f>Levels!G12/Levels!G11-1-Levels!$Y11</f>
        <v>5.924503651759494E-2</v>
      </c>
      <c r="H11" s="16">
        <f>Levels!H12/Levels!H11-1-Levels!$Y11</f>
        <v>7.660417090092797E-2</v>
      </c>
      <c r="I11" s="16">
        <f>Levels!I12/Levels!I11-1-Levels!$Y11</f>
        <v>5.6605717944256062E-2</v>
      </c>
      <c r="J11" s="16">
        <f>Levels!J12/Levels!J11-1-Levels!$Y11</f>
        <v>7.6375235760305582E-2</v>
      </c>
      <c r="K11" s="16">
        <f>Levels!K12/Levels!K11-1-Levels!$Y11</f>
        <v>8.1064412098974081E-2</v>
      </c>
      <c r="L11" s="16" t="e">
        <f>Levels!L12/Levels!L11-1-Levels!$Y11</f>
        <v>#N/A</v>
      </c>
      <c r="M11" s="16">
        <f>Levels!M12/Levels!M11-1-Levels!$Y11</f>
        <v>1.6658434537445199E-2</v>
      </c>
      <c r="N11" s="16">
        <f>Levels!N12/Levels!N11-1-Levels!$Y11</f>
        <v>0.16975568692203535</v>
      </c>
      <c r="O11" s="16">
        <f>Levels!O12/Levels!O11-1-Levels!$Y11</f>
        <v>-5.9156253125363101E-3</v>
      </c>
      <c r="P11" s="16">
        <f>Levels!P12/Levels!P11-1-Levels!$Y11</f>
        <v>-7.6461607690274658E-3</v>
      </c>
      <c r="Q11" s="16">
        <f>Levels!Q12/Levels!Q11-1-Levels!$Y11</f>
        <v>-1.4226769838146081E-2</v>
      </c>
      <c r="R11" s="16" t="e">
        <f>Levels!R12/Levels!R11-1-Levels!$Y11</f>
        <v>#N/A</v>
      </c>
      <c r="S11" s="16" t="e">
        <f>Levels!S12/Levels!S11-1-Levels!$Y11</f>
        <v>#N/A</v>
      </c>
      <c r="T11" s="16">
        <f>Levels!T12/Levels!T11-1-Levels!$Y11</f>
        <v>0.157398042781834</v>
      </c>
      <c r="U11" s="16">
        <f>(Levels!U12/Levels!U11-1-Levels!$Y11)*$Y$2</f>
        <v>-0.13440178167502351</v>
      </c>
      <c r="V11" s="16">
        <f>(Levels!V12/Levels!V11-1-Levels!$Y11)</f>
        <v>-5.7259531835116118E-2</v>
      </c>
    </row>
    <row r="12" spans="1:25" x14ac:dyDescent="0.35">
      <c r="A12" s="23">
        <v>39844</v>
      </c>
      <c r="B12" s="16">
        <f>Levels!B13/Levels!B12-1-Levels!$Y12</f>
        <v>-1.4762865684087356E-2</v>
      </c>
      <c r="C12" s="16">
        <f>Levels!C13/Levels!C12-1-Levels!$Y12</f>
        <v>-8.6565444651695911E-2</v>
      </c>
      <c r="D12" s="16">
        <f>Levels!D13/Levels!D12-1-Levels!$Y12</f>
        <v>3.654383559985952E-2</v>
      </c>
      <c r="E12" s="16">
        <f>Levels!E13/Levels!E12-1-Levels!$Y12</f>
        <v>-1.283533711937701E-2</v>
      </c>
      <c r="F12" s="16">
        <f>Levels!F13/Levels!F12-1-Levels!$Y12</f>
        <v>-1.1892744472741135E-2</v>
      </c>
      <c r="G12" s="16">
        <f>Levels!G13/Levels!G12-1-Levels!$Y12</f>
        <v>-2.0146141370517623E-2</v>
      </c>
      <c r="H12" s="16">
        <f>Levels!H13/Levels!H12-1-Levels!$Y12</f>
        <v>-1.0879247678637904E-3</v>
      </c>
      <c r="I12" s="16">
        <f>Levels!I13/Levels!I12-1-Levels!$Y12</f>
        <v>2.1625988729051526E-2</v>
      </c>
      <c r="J12" s="16">
        <f>Levels!J13/Levels!J12-1-Levels!$Y12</f>
        <v>6.0863345814079262E-2</v>
      </c>
      <c r="K12" s="16">
        <f>Levels!K13/Levels!K12-1-Levels!$Y12</f>
        <v>4.9671112013822905E-2</v>
      </c>
      <c r="L12" s="16" t="e">
        <f>Levels!L13/Levels!L12-1-Levels!$Y12</f>
        <v>#N/A</v>
      </c>
      <c r="M12" s="16">
        <f>Levels!M13/Levels!M12-1-Levels!$Y12</f>
        <v>1.8247031823930282E-3</v>
      </c>
      <c r="N12" s="16">
        <f>Levels!N13/Levels!N12-1-Levels!$Y12</f>
        <v>-3.6853673000209919E-2</v>
      </c>
      <c r="O12" s="16">
        <f>Levels!O13/Levels!O12-1-Levels!$Y12</f>
        <v>6.4874086736350201E-2</v>
      </c>
      <c r="P12" s="16">
        <f>Levels!P13/Levels!P12-1-Levels!$Y12</f>
        <v>-6.3207099884891038E-3</v>
      </c>
      <c r="Q12" s="16">
        <f>Levels!Q13/Levels!Q12-1-Levels!$Y12</f>
        <v>-9.7224638080953829E-3</v>
      </c>
      <c r="R12" s="16" t="e">
        <f>Levels!R13/Levels!R12-1-Levels!$Y12</f>
        <v>#N/A</v>
      </c>
      <c r="S12" s="16" t="e">
        <f>Levels!S13/Levels!S12-1-Levels!$Y12</f>
        <v>#N/A</v>
      </c>
      <c r="T12" s="16">
        <f>Levels!T13/Levels!T12-1-Levels!$Y12</f>
        <v>-3.1421878629742217E-2</v>
      </c>
      <c r="U12" s="16">
        <f>(Levels!U13/Levels!U12-1-Levels!$Y12)*$Y$2</f>
        <v>-0.14756141095167535</v>
      </c>
      <c r="V12" s="16">
        <f>(Levels!V13/Levels!V12-1-Levels!$Y12)</f>
        <v>-0.16185000355548596</v>
      </c>
    </row>
    <row r="13" spans="1:25" x14ac:dyDescent="0.35">
      <c r="A13" s="23">
        <v>39872</v>
      </c>
      <c r="B13" s="16">
        <f>Levels!B14/Levels!B13-1-Levels!$Y13</f>
        <v>-4.3557037613549676E-3</v>
      </c>
      <c r="C13" s="16">
        <f>Levels!C14/Levels!C13-1-Levels!$Y13</f>
        <v>-1.0309352198804356E-2</v>
      </c>
      <c r="D13" s="16">
        <f>Levels!D14/Levels!D13-1-Levels!$Y13</f>
        <v>5.0572268514292862E-3</v>
      </c>
      <c r="E13" s="16">
        <f>Levels!E14/Levels!E13-1-Levels!$Y13</f>
        <v>5.9557523961029091E-4</v>
      </c>
      <c r="F13" s="16">
        <f>Levels!F14/Levels!F13-1-Levels!$Y13</f>
        <v>-7.2079781216127792E-4</v>
      </c>
      <c r="G13" s="16">
        <f>Levels!G14/Levels!G13-1-Levels!$Y13</f>
        <v>-1.0513791960918284E-2</v>
      </c>
      <c r="H13" s="16">
        <f>Levels!H14/Levels!H13-1-Levels!$Y13</f>
        <v>-2.5893040137226597E-2</v>
      </c>
      <c r="I13" s="16">
        <f>Levels!I14/Levels!I13-1-Levels!$Y13</f>
        <v>-1.0077235797380624E-2</v>
      </c>
      <c r="J13" s="16">
        <f>Levels!J14/Levels!J13-1-Levels!$Y13</f>
        <v>-3.1447060206741484E-2</v>
      </c>
      <c r="K13" s="16">
        <f>Levels!K14/Levels!K13-1-Levels!$Y13</f>
        <v>-2.8758818130477426E-2</v>
      </c>
      <c r="L13" s="16" t="e">
        <f>Levels!L14/Levels!L13-1-Levels!$Y13</f>
        <v>#N/A</v>
      </c>
      <c r="M13" s="16">
        <f>Levels!M14/Levels!M13-1-Levels!$Y13</f>
        <v>5.5702034285201041E-3</v>
      </c>
      <c r="N13" s="16">
        <f>Levels!N14/Levels!N13-1-Levels!$Y13</f>
        <v>-4.0011702900500379E-2</v>
      </c>
      <c r="O13" s="16">
        <f>Levels!O14/Levels!O13-1-Levels!$Y13</f>
        <v>-9.9288126970830115E-3</v>
      </c>
      <c r="P13" s="16">
        <f>Levels!P14/Levels!P13-1-Levels!$Y13</f>
        <v>-1.2115828221298197E-2</v>
      </c>
      <c r="Q13" s="16">
        <f>Levels!Q14/Levels!Q13-1-Levels!$Y13</f>
        <v>-1.3018666809518131E-2</v>
      </c>
      <c r="R13" s="16" t="e">
        <f>Levels!R14/Levels!R13-1-Levels!$Y13</f>
        <v>#N/A</v>
      </c>
      <c r="S13" s="16" t="e">
        <f>Levels!S14/Levels!S13-1-Levels!$Y13</f>
        <v>#N/A</v>
      </c>
      <c r="T13" s="16">
        <f>Levels!T14/Levels!T13-1-Levels!$Y13</f>
        <v>-3.5751443081917134E-2</v>
      </c>
      <c r="U13" s="16">
        <f>(Levels!U14/Levels!U13-1-Levels!$Y13)*$Y$2</f>
        <v>0.10381530868060347</v>
      </c>
      <c r="V13" s="16">
        <f>(Levels!V14/Levels!V13-1-Levels!$Y13)</f>
        <v>1.6753180136768631E-2</v>
      </c>
    </row>
    <row r="14" spans="1:25" x14ac:dyDescent="0.35">
      <c r="A14" s="23">
        <v>39903</v>
      </c>
      <c r="B14" s="16">
        <f>Levels!B15/Levels!B14-1-Levels!$Y14</f>
        <v>1.5955189542982362E-2</v>
      </c>
      <c r="C14" s="16">
        <f>Levels!C15/Levels!C14-1-Levels!$Y14</f>
        <v>4.782638835436237E-2</v>
      </c>
      <c r="D14" s="16">
        <f>Levels!D15/Levels!D14-1-Levels!$Y14</f>
        <v>-2.2853597062999498E-5</v>
      </c>
      <c r="E14" s="16">
        <f>Levels!E15/Levels!E14-1-Levels!$Y14</f>
        <v>8.9537998437108079E-3</v>
      </c>
      <c r="F14" s="16">
        <f>Levels!F15/Levels!F14-1-Levels!$Y14</f>
        <v>1.7428858265362557E-2</v>
      </c>
      <c r="G14" s="16">
        <f>Levels!G15/Levels!G14-1-Levels!$Y14</f>
        <v>-4.2655344244392213E-3</v>
      </c>
      <c r="H14" s="16">
        <f>Levels!H15/Levels!H14-1-Levels!$Y14</f>
        <v>-3.4808838620161708E-3</v>
      </c>
      <c r="I14" s="16">
        <f>Levels!I15/Levels!I14-1-Levels!$Y14</f>
        <v>6.6880132318347663E-4</v>
      </c>
      <c r="J14" s="16">
        <f>Levels!J15/Levels!J14-1-Levels!$Y14</f>
        <v>3.0639082285592645E-2</v>
      </c>
      <c r="K14" s="16">
        <f>Levels!K15/Levels!K14-1-Levels!$Y14</f>
        <v>4.2289309086173787E-2</v>
      </c>
      <c r="L14" s="16" t="e">
        <f>Levels!L15/Levels!L14-1-Levels!$Y14</f>
        <v>#N/A</v>
      </c>
      <c r="M14" s="16">
        <f>Levels!M15/Levels!M14-1-Levels!$Y14</f>
        <v>1.3966548758089559E-2</v>
      </c>
      <c r="N14" s="16">
        <f>Levels!N15/Levels!N14-1-Levels!$Y14</f>
        <v>6.0840114972975812E-2</v>
      </c>
      <c r="O14" s="16">
        <f>Levels!O15/Levels!O14-1-Levels!$Y14</f>
        <v>1.9713481627199325E-2</v>
      </c>
      <c r="P14" s="16">
        <f>Levels!P15/Levels!P14-1-Levels!$Y14</f>
        <v>5.0403525763729196E-3</v>
      </c>
      <c r="Q14" s="16">
        <f>Levels!Q15/Levels!Q14-1-Levels!$Y14</f>
        <v>-3.9463581460681407E-3</v>
      </c>
      <c r="R14" s="16" t="e">
        <f>Levels!R15/Levels!R14-1-Levels!$Y14</f>
        <v>#N/A</v>
      </c>
      <c r="S14" s="16" t="e">
        <f>Levels!S15/Levels!S14-1-Levels!$Y14</f>
        <v>#N/A</v>
      </c>
      <c r="T14" s="16">
        <f>Levels!T15/Levels!T14-1-Levels!$Y14</f>
        <v>5.6121640245884619E-2</v>
      </c>
      <c r="U14" s="16">
        <f>(Levels!U15/Levels!U14-1-Levels!$Y14)*$Y$2</f>
        <v>0.18371517409314</v>
      </c>
      <c r="V14" s="16">
        <f>(Levels!V15/Levels!V14-1-Levels!$Y14)</f>
        <v>0.20141105683284866</v>
      </c>
    </row>
    <row r="15" spans="1:25" x14ac:dyDescent="0.35">
      <c r="A15" s="23">
        <v>39933</v>
      </c>
      <c r="B15" s="16">
        <f>Levels!B16/Levels!B15-1-Levels!$Y15</f>
        <v>-1.1191967721049689E-2</v>
      </c>
      <c r="C15" s="16">
        <f>Levels!C16/Levels!C15-1-Levels!$Y15</f>
        <v>-5.1843907939543521E-2</v>
      </c>
      <c r="D15" s="16">
        <f>Levels!D16/Levels!D15-1-Levels!$Y15</f>
        <v>1.9806440974211581E-2</v>
      </c>
      <c r="E15" s="16">
        <f>Levels!E16/Levels!E15-1-Levels!$Y15</f>
        <v>1.3102001933442686E-3</v>
      </c>
      <c r="F15" s="16">
        <f>Levels!F16/Levels!F15-1-Levels!$Y15</f>
        <v>-1.8045820348504549E-3</v>
      </c>
      <c r="G15" s="16">
        <f>Levels!G16/Levels!G15-1-Levels!$Y15</f>
        <v>1.0455240470663263E-2</v>
      </c>
      <c r="H15" s="16">
        <f>Levels!H16/Levels!H15-1-Levels!$Y15</f>
        <v>2.9028646672806246E-2</v>
      </c>
      <c r="I15" s="16">
        <f>Levels!I16/Levels!I15-1-Levels!$Y15</f>
        <v>4.5353771505994622E-2</v>
      </c>
      <c r="J15" s="16">
        <f>Levels!J16/Levels!J15-1-Levels!$Y15</f>
        <v>0.11637659542229706</v>
      </c>
      <c r="K15" s="16">
        <f>Levels!K16/Levels!K15-1-Levels!$Y15</f>
        <v>0.16227279099749548</v>
      </c>
      <c r="L15" s="16" t="e">
        <f>Levels!L16/Levels!L15-1-Levels!$Y15</f>
        <v>#N/A</v>
      </c>
      <c r="M15" s="16">
        <f>Levels!M16/Levels!M15-1-Levels!$Y15</f>
        <v>2.6721510061813447E-3</v>
      </c>
      <c r="N15" s="16">
        <f>Levels!N16/Levels!N15-1-Levels!$Y15</f>
        <v>7.7852469048992345E-2</v>
      </c>
      <c r="O15" s="16">
        <f>Levels!O16/Levels!O15-1-Levels!$Y15</f>
        <v>1.3020326414490802E-2</v>
      </c>
      <c r="P15" s="16">
        <f>Levels!P16/Levels!P15-1-Levels!$Y15</f>
        <v>1.8862616309178515E-2</v>
      </c>
      <c r="Q15" s="16">
        <f>Levels!Q16/Levels!Q15-1-Levels!$Y15</f>
        <v>2.3083673646833613E-2</v>
      </c>
      <c r="R15" s="16" t="e">
        <f>Levels!R16/Levels!R15-1-Levels!$Y15</f>
        <v>#N/A</v>
      </c>
      <c r="S15" s="16" t="e">
        <f>Levels!S16/Levels!S15-1-Levels!$Y15</f>
        <v>#N/A</v>
      </c>
      <c r="T15" s="16">
        <f>Levels!T16/Levels!T15-1-Levels!$Y15</f>
        <v>7.0514898881010701E-2</v>
      </c>
      <c r="U15" s="16">
        <f>(Levels!U16/Levels!U15-1-Levels!$Y15)*$Y$2</f>
        <v>3.4300716516917351E-2</v>
      </c>
      <c r="V15" s="16">
        <f>(Levels!V16/Levels!V15-1-Levels!$Y15)</f>
        <v>5.0481625970418387E-2</v>
      </c>
    </row>
    <row r="16" spans="1:25" x14ac:dyDescent="0.35">
      <c r="A16" s="23">
        <v>39964</v>
      </c>
      <c r="B16" s="16">
        <f>Levels!B17/Levels!B16-1-Levels!$Y16</f>
        <v>-6.7554697788390072E-3</v>
      </c>
      <c r="C16" s="16">
        <f>Levels!C17/Levels!C16-1-Levels!$Y16</f>
        <v>-2.7505784077220041E-2</v>
      </c>
      <c r="D16" s="16">
        <f>Levels!D17/Levels!D16-1-Levels!$Y16</f>
        <v>1.0470591659430539E-2</v>
      </c>
      <c r="E16" s="16">
        <f>Levels!E17/Levels!E16-1-Levels!$Y16</f>
        <v>-9.9486210799037966E-3</v>
      </c>
      <c r="F16" s="16">
        <f>Levels!F17/Levels!F16-1-Levels!$Y16</f>
        <v>-2.1979714788544769E-4</v>
      </c>
      <c r="G16" s="16">
        <f>Levels!G17/Levels!G16-1-Levels!$Y16</f>
        <v>2.4145319311229763E-2</v>
      </c>
      <c r="H16" s="16">
        <f>Levels!H17/Levels!H16-1-Levels!$Y16</f>
        <v>3.6439705488196195E-2</v>
      </c>
      <c r="I16" s="16">
        <f>Levels!I17/Levels!I16-1-Levels!$Y16</f>
        <v>4.4236106066311898E-2</v>
      </c>
      <c r="J16" s="16">
        <f>Levels!J17/Levels!J16-1-Levels!$Y16</f>
        <v>6.3874421224668021E-2</v>
      </c>
      <c r="K16" s="16">
        <f>Levels!K17/Levels!K16-1-Levels!$Y16</f>
        <v>9.6955346084356409E-2</v>
      </c>
      <c r="L16" s="16" t="e">
        <f>Levels!L17/Levels!L16-1-Levels!$Y16</f>
        <v>#N/A</v>
      </c>
      <c r="M16" s="16">
        <f>Levels!M17/Levels!M16-1-Levels!$Y16</f>
        <v>2.8155419457900344E-3</v>
      </c>
      <c r="N16" s="16">
        <f>Levels!N17/Levels!N16-1-Levels!$Y16</f>
        <v>3.7360563293262539E-2</v>
      </c>
      <c r="O16" s="16">
        <f>Levels!O17/Levels!O16-1-Levels!$Y16</f>
        <v>5.4183764713442883E-2</v>
      </c>
      <c r="P16" s="16">
        <f>Levels!P17/Levels!P16-1-Levels!$Y16</f>
        <v>1.7972273021648499E-2</v>
      </c>
      <c r="Q16" s="16">
        <f>Levels!Q17/Levels!Q16-1-Levels!$Y16</f>
        <v>2.6190302399532683E-2</v>
      </c>
      <c r="R16" s="16" t="e">
        <f>Levels!R17/Levels!R16-1-Levels!$Y16</f>
        <v>#N/A</v>
      </c>
      <c r="S16" s="16" t="e">
        <f>Levels!S17/Levels!S16-1-Levels!$Y16</f>
        <v>#N/A</v>
      </c>
      <c r="T16" s="16">
        <f>Levels!T17/Levels!T16-1-Levels!$Y16</f>
        <v>3.4592975214104538E-2</v>
      </c>
      <c r="U16" s="16">
        <f>(Levels!U17/Levels!U16-1-Levels!$Y16)*$Y$2</f>
        <v>1.5899424656710702E-2</v>
      </c>
      <c r="V16" s="16">
        <f>(Levels!V17/Levels!V16-1-Levels!$Y16)</f>
        <v>3.5179797962432424E-3</v>
      </c>
    </row>
    <row r="17" spans="1:22" x14ac:dyDescent="0.35">
      <c r="A17" s="23">
        <v>39994</v>
      </c>
      <c r="B17" s="16">
        <f>Levels!B18/Levels!B17-1-Levels!$Y17</f>
        <v>-3.949254860610929E-3</v>
      </c>
      <c r="C17" s="16">
        <f>Levels!C18/Levels!C17-1-Levels!$Y17</f>
        <v>6.6237025880238054E-3</v>
      </c>
      <c r="D17" s="16">
        <f>Levels!D18/Levels!D17-1-Levels!$Y17</f>
        <v>-9.4816769955442526E-3</v>
      </c>
      <c r="E17" s="16">
        <f>Levels!E18/Levels!E17-1-Levels!$Y17</f>
        <v>6.9813866723986706E-3</v>
      </c>
      <c r="F17" s="16">
        <f>Levels!F18/Levels!F17-1-Levels!$Y17</f>
        <v>3.3373254761137616E-4</v>
      </c>
      <c r="G17" s="16">
        <f>Levels!G18/Levels!G17-1-Levels!$Y17</f>
        <v>1.7085021778695531E-2</v>
      </c>
      <c r="H17" s="16">
        <f>Levels!H18/Levels!H17-1-Levels!$Y17</f>
        <v>2.2565542335828637E-2</v>
      </c>
      <c r="I17" s="16">
        <f>Levels!I18/Levels!I17-1-Levels!$Y17</f>
        <v>3.3944428425373596E-2</v>
      </c>
      <c r="J17" s="16">
        <f>Levels!J18/Levels!J17-1-Levels!$Y17</f>
        <v>2.8038718903754978E-2</v>
      </c>
      <c r="K17" s="16">
        <f>Levels!K18/Levels!K17-1-Levels!$Y17</f>
        <v>3.2925638684067504E-2</v>
      </c>
      <c r="L17" s="16" t="e">
        <f>Levels!L18/Levels!L17-1-Levels!$Y17</f>
        <v>#N/A</v>
      </c>
      <c r="M17" s="16">
        <f>Levels!M18/Levels!M17-1-Levels!$Y17</f>
        <v>1.1378758430233837E-3</v>
      </c>
      <c r="N17" s="16">
        <f>Levels!N18/Levels!N17-1-Levels!$Y17</f>
        <v>5.4737988446218466E-3</v>
      </c>
      <c r="O17" s="16">
        <f>Levels!O18/Levels!O17-1-Levels!$Y17</f>
        <v>7.6060622663056687E-3</v>
      </c>
      <c r="P17" s="16">
        <f>Levels!P18/Levels!P17-1-Levels!$Y17</f>
        <v>9.6620929474602324E-3</v>
      </c>
      <c r="Q17" s="16">
        <f>Levels!Q18/Levels!Q17-1-Levels!$Y17</f>
        <v>2.2942624552356072E-2</v>
      </c>
      <c r="R17" s="16" t="e">
        <f>Levels!R18/Levels!R17-1-Levels!$Y17</f>
        <v>#N/A</v>
      </c>
      <c r="S17" s="16" t="e">
        <f>Levels!S18/Levels!S17-1-Levels!$Y17</f>
        <v>#N/A</v>
      </c>
      <c r="T17" s="16">
        <f>Levels!T18/Levels!T17-1-Levels!$Y17</f>
        <v>7.1759375426054817E-3</v>
      </c>
      <c r="U17" s="16">
        <f>(Levels!U18/Levels!U17-1-Levels!$Y17)*$Y$2</f>
        <v>0.11420363701243516</v>
      </c>
      <c r="V17" s="16">
        <f>(Levels!V18/Levels!V17-1-Levels!$Y17)</f>
        <v>8.5761513377311527E-2</v>
      </c>
    </row>
    <row r="18" spans="1:22" x14ac:dyDescent="0.35">
      <c r="A18" s="23">
        <v>40025</v>
      </c>
      <c r="B18" s="16">
        <f>Levels!B19/Levels!B18-1-Levels!$Y18</f>
        <v>3.6754860790713106E-3</v>
      </c>
      <c r="C18" s="16">
        <f>Levels!C19/Levels!C18-1-Levels!$Y18</f>
        <v>5.888233646063501E-3</v>
      </c>
      <c r="D18" s="16">
        <f>Levels!D19/Levels!D18-1-Levels!$Y18</f>
        <v>1.6571921672455803E-2</v>
      </c>
      <c r="E18" s="16">
        <f>Levels!E19/Levels!E18-1-Levels!$Y18</f>
        <v>6.819765336464334E-3</v>
      </c>
      <c r="F18" s="16">
        <f>Levels!F19/Levels!F18-1-Levels!$Y18</f>
        <v>9.4316947155814734E-3</v>
      </c>
      <c r="G18" s="16">
        <f>Levels!G19/Levels!G18-1-Levels!$Y18</f>
        <v>2.9347317294737607E-2</v>
      </c>
      <c r="H18" s="16">
        <f>Levels!H19/Levels!H18-1-Levels!$Y18</f>
        <v>4.0221408775189094E-2</v>
      </c>
      <c r="I18" s="16">
        <f>Levels!I19/Levels!I18-1-Levels!$Y18</f>
        <v>4.6772579763848965E-2</v>
      </c>
      <c r="J18" s="16">
        <f>Levels!J19/Levels!J18-1-Levels!$Y18</f>
        <v>5.881749760139976E-2</v>
      </c>
      <c r="K18" s="16">
        <f>Levels!K19/Levels!K18-1-Levels!$Y18</f>
        <v>7.9425249029899447E-2</v>
      </c>
      <c r="L18" s="16" t="e">
        <f>Levels!L19/Levels!L18-1-Levels!$Y18</f>
        <v>#N/A</v>
      </c>
      <c r="M18" s="16">
        <f>Levels!M19/Levels!M18-1-Levels!$Y18</f>
        <v>8.0261990895511559E-3</v>
      </c>
      <c r="N18" s="16">
        <f>Levels!N19/Levels!N18-1-Levels!$Y18</f>
        <v>7.6195125035567468E-2</v>
      </c>
      <c r="O18" s="16">
        <f>Levels!O19/Levels!O18-1-Levels!$Y18</f>
        <v>1.9129378845773148E-2</v>
      </c>
      <c r="P18" s="16">
        <f>Levels!P19/Levels!P18-1-Levels!$Y18</f>
        <v>1.677484973412291E-2</v>
      </c>
      <c r="Q18" s="16">
        <f>Levels!Q19/Levels!Q18-1-Levels!$Y18</f>
        <v>2.7408756886025509E-2</v>
      </c>
      <c r="R18" s="16" t="e">
        <f>Levels!R19/Levels!R18-1-Levels!$Y18</f>
        <v>#N/A</v>
      </c>
      <c r="S18" s="16" t="e">
        <f>Levels!S19/Levels!S18-1-Levels!$Y18</f>
        <v>#N/A</v>
      </c>
      <c r="T18" s="16">
        <f>Levels!T19/Levels!T18-1-Levels!$Y18</f>
        <v>7.0688072810504599E-2</v>
      </c>
      <c r="U18" s="16">
        <f>(Levels!U19/Levels!U18-1-Levels!$Y18)*$Y$2</f>
        <v>3.2920961712806826E-2</v>
      </c>
      <c r="V18" s="16">
        <f>(Levels!V19/Levels!V18-1-Levels!$Y18)</f>
        <v>5.9034143154489405E-2</v>
      </c>
    </row>
    <row r="19" spans="1:22" x14ac:dyDescent="0.35">
      <c r="A19" s="23">
        <v>40056</v>
      </c>
      <c r="B19" s="16">
        <f>Levels!B20/Levels!B19-1-Levels!$Y19</f>
        <v>6.8727682719065264E-3</v>
      </c>
      <c r="C19" s="16">
        <f>Levels!C20/Levels!C19-1-Levels!$Y19</f>
        <v>1.869653919705816E-2</v>
      </c>
      <c r="D19" s="16">
        <f>Levels!D20/Levels!D19-1-Levels!$Y19</f>
        <v>1.6946423129603261E-2</v>
      </c>
      <c r="E19" s="16">
        <f>Levels!E20/Levels!E19-1-Levels!$Y19</f>
        <v>7.8749983065220519E-3</v>
      </c>
      <c r="F19" s="16">
        <f>Levels!F20/Levels!F19-1-Levels!$Y19</f>
        <v>7.9844606121806105E-3</v>
      </c>
      <c r="G19" s="16">
        <f>Levels!G20/Levels!G19-1-Levels!$Y19</f>
        <v>1.4267896302141869E-2</v>
      </c>
      <c r="H19" s="16">
        <f>Levels!H20/Levels!H19-1-Levels!$Y19</f>
        <v>1.8420667267244895E-2</v>
      </c>
      <c r="I19" s="16">
        <f>Levels!I20/Levels!I19-1-Levels!$Y19</f>
        <v>2.0473068063589617E-2</v>
      </c>
      <c r="J19" s="16">
        <f>Levels!J20/Levels!J19-1-Levels!$Y19</f>
        <v>1.5625509500577284E-2</v>
      </c>
      <c r="K19" s="16">
        <f>Levels!K20/Levels!K19-1-Levels!$Y19</f>
        <v>4.7286012879922179E-2</v>
      </c>
      <c r="L19" s="16" t="e">
        <f>Levels!L20/Levels!L19-1-Levels!$Y19</f>
        <v>#N/A</v>
      </c>
      <c r="M19" s="16">
        <f>Levels!M20/Levels!M19-1-Levels!$Y19</f>
        <v>6.5278257345322555E-3</v>
      </c>
      <c r="N19" s="16">
        <f>Levels!N20/Levels!N19-1-Levels!$Y19</f>
        <v>2.4934810465118362E-2</v>
      </c>
      <c r="O19" s="16">
        <f>Levels!O20/Levels!O19-1-Levels!$Y19</f>
        <v>2.3510177970824886E-2</v>
      </c>
      <c r="P19" s="16">
        <f>Levels!P20/Levels!P19-1-Levels!$Y19</f>
        <v>2.4015320852429189E-2</v>
      </c>
      <c r="Q19" s="16">
        <f>Levels!Q20/Levels!Q19-1-Levels!$Y19</f>
        <v>3.2003154941366407E-2</v>
      </c>
      <c r="R19" s="16" t="e">
        <f>Levels!R20/Levels!R19-1-Levels!$Y19</f>
        <v>#N/A</v>
      </c>
      <c r="S19" s="16" t="e">
        <f>Levels!S20/Levels!S19-1-Levels!$Y19</f>
        <v>#N/A</v>
      </c>
      <c r="T19" s="16">
        <f>Levels!T20/Levels!T19-1-Levels!$Y19</f>
        <v>2.4241723792435055E-2</v>
      </c>
      <c r="U19" s="16">
        <f>(Levels!U20/Levels!U19-1-Levels!$Y19)*$Y$2</f>
        <v>6.7384308091196221E-2</v>
      </c>
      <c r="V19" s="16">
        <f>(Levels!V20/Levels!V19-1-Levels!$Y19)</f>
        <v>3.3605389211954551E-2</v>
      </c>
    </row>
    <row r="20" spans="1:22" x14ac:dyDescent="0.35">
      <c r="A20" s="23">
        <v>40086</v>
      </c>
      <c r="B20" s="16">
        <f>Levels!B21/Levels!B20-1-Levels!$Y20</f>
        <v>5.5148646857285932E-3</v>
      </c>
      <c r="C20" s="16">
        <f>Levels!C21/Levels!C20-1-Levels!$Y20</f>
        <v>1.9700722429245365E-2</v>
      </c>
      <c r="D20" s="16">
        <f>Levels!D21/Levels!D20-1-Levels!$Y20</f>
        <v>3.5772369853519725E-2</v>
      </c>
      <c r="E20" s="16">
        <f>Levels!E21/Levels!E20-1-Levels!$Y20</f>
        <v>4.4197057744392865E-3</v>
      </c>
      <c r="F20" s="16">
        <f>Levels!F21/Levels!F20-1-Levels!$Y20</f>
        <v>8.2151842505298056E-3</v>
      </c>
      <c r="G20" s="16">
        <f>Levels!G21/Levels!G20-1-Levels!$Y20</f>
        <v>1.2657674859887891E-2</v>
      </c>
      <c r="H20" s="16">
        <f>Levels!H21/Levels!H20-1-Levels!$Y20</f>
        <v>1.7576943268076795E-2</v>
      </c>
      <c r="I20" s="16">
        <f>Levels!I21/Levels!I20-1-Levels!$Y20</f>
        <v>2.201527732833819E-2</v>
      </c>
      <c r="J20" s="16">
        <f>Levels!J21/Levels!J20-1-Levels!$Y20</f>
        <v>5.4867236196200375E-2</v>
      </c>
      <c r="K20" s="16">
        <f>Levels!K21/Levels!K20-1-Levels!$Y20</f>
        <v>7.5427632899191854E-2</v>
      </c>
      <c r="L20" s="16" t="e">
        <f>Levels!L21/Levels!L20-1-Levels!$Y20</f>
        <v>#N/A</v>
      </c>
      <c r="M20" s="16">
        <f>Levels!M21/Levels!M20-1-Levels!$Y20</f>
        <v>7.9278067759929183E-3</v>
      </c>
      <c r="N20" s="16">
        <f>Levels!N21/Levels!N20-1-Levels!$Y20</f>
        <v>2.1317383395750733E-2</v>
      </c>
      <c r="O20" s="16">
        <f>Levels!O21/Levels!O20-1-Levels!$Y20</f>
        <v>1.8637243123955649E-2</v>
      </c>
      <c r="P20" s="16">
        <f>Levels!P21/Levels!P20-1-Levels!$Y20</f>
        <v>2.7148977436463939E-2</v>
      </c>
      <c r="Q20" s="16">
        <f>Levels!Q21/Levels!Q20-1-Levels!$Y20</f>
        <v>3.4921302629522311E-2</v>
      </c>
      <c r="R20" s="16" t="e">
        <f>Levels!R21/Levels!R20-1-Levels!$Y20</f>
        <v>#N/A</v>
      </c>
      <c r="S20" s="16" t="e">
        <f>Levels!S21/Levels!S20-1-Levels!$Y20</f>
        <v>#N/A</v>
      </c>
      <c r="T20" s="16">
        <f>Levels!T21/Levels!T20-1-Levels!$Y20</f>
        <v>2.0883240414910409E-2</v>
      </c>
      <c r="U20" s="16">
        <f>(Levels!U21/Levels!U20-1-Levels!$Y20)*$Y$2</f>
        <v>-8.2563905379720512E-2</v>
      </c>
      <c r="V20" s="16">
        <f>(Levels!V21/Levels!V20-1-Levels!$Y20)</f>
        <v>-3.280151523502417E-2</v>
      </c>
    </row>
    <row r="21" spans="1:22" x14ac:dyDescent="0.35">
      <c r="A21" s="23">
        <v>40117</v>
      </c>
      <c r="B21" s="16">
        <f>Levels!B22/Levels!B21-1-Levels!$Y21</f>
        <v>1.8259827615447755E-3</v>
      </c>
      <c r="C21" s="16">
        <f>Levels!C22/Levels!C21-1-Levels!$Y21</f>
        <v>-1.4132714980891858E-2</v>
      </c>
      <c r="D21" s="16">
        <f>Levels!D22/Levels!D21-1-Levels!$Y21</f>
        <v>-2.107731029063431E-2</v>
      </c>
      <c r="E21" s="16">
        <f>Levels!E22/Levels!E21-1-Levels!$Y21</f>
        <v>-2.5974286736973884E-4</v>
      </c>
      <c r="F21" s="16">
        <f>Levels!F22/Levels!F21-1-Levels!$Y21</f>
        <v>4.2513464901490217E-3</v>
      </c>
      <c r="G21" s="16">
        <f>Levels!G22/Levels!G21-1-Levels!$Y21</f>
        <v>7.1494829740890165E-3</v>
      </c>
      <c r="H21" s="16">
        <f>Levels!H22/Levels!H21-1-Levels!$Y21</f>
        <v>7.2724962869195053E-3</v>
      </c>
      <c r="I21" s="16">
        <f>Levels!I22/Levels!I21-1-Levels!$Y21</f>
        <v>6.6359668418218831E-3</v>
      </c>
      <c r="J21" s="16">
        <f>Levels!J22/Levels!J21-1-Levels!$Y21</f>
        <v>1.7328012033178242E-2</v>
      </c>
      <c r="K21" s="16">
        <f>Levels!K22/Levels!K21-1-Levels!$Y21</f>
        <v>2.2744342883390889E-2</v>
      </c>
      <c r="L21" s="16" t="e">
        <f>Levels!L22/Levels!L21-1-Levels!$Y21</f>
        <v>#N/A</v>
      </c>
      <c r="M21" s="16">
        <f>Levels!M22/Levels!M21-1-Levels!$Y21</f>
        <v>7.051499321164334E-3</v>
      </c>
      <c r="N21" s="16">
        <f>Levels!N22/Levels!N21-1-Levels!$Y21</f>
        <v>2.3864155697342904E-2</v>
      </c>
      <c r="O21" s="16">
        <f>Levels!O22/Levels!O21-1-Levels!$Y21</f>
        <v>1.147191562122174E-2</v>
      </c>
      <c r="P21" s="16">
        <f>Levels!P22/Levels!P21-1-Levels!$Y21</f>
        <v>2.3356076485861355E-2</v>
      </c>
      <c r="Q21" s="16">
        <f>Levels!Q22/Levels!Q21-1-Levels!$Y21</f>
        <v>2.8347062116948374E-2</v>
      </c>
      <c r="R21" s="16" t="e">
        <f>Levels!R22/Levels!R21-1-Levels!$Y21</f>
        <v>#N/A</v>
      </c>
      <c r="S21" s="16" t="e">
        <f>Levels!S22/Levels!S21-1-Levels!$Y21</f>
        <v>#N/A</v>
      </c>
      <c r="T21" s="16">
        <f>Levels!T22/Levels!T21-1-Levels!$Y21</f>
        <v>2.2659462119569707E-2</v>
      </c>
      <c r="U21" s="16">
        <f>(Levels!U22/Levels!U21-1-Levels!$Y21)*$Y$2</f>
        <v>3.6051033107879868E-2</v>
      </c>
      <c r="V21" s="16">
        <f>(Levels!V22/Levels!V21-1-Levels!$Y21)</f>
        <v>8.959893932516394E-3</v>
      </c>
    </row>
    <row r="22" spans="1:22" x14ac:dyDescent="0.35">
      <c r="A22" s="23">
        <v>40147</v>
      </c>
      <c r="B22" s="16">
        <f>Levels!B23/Levels!B22-1-Levels!$Y22</f>
        <v>1.3283557594957474E-2</v>
      </c>
      <c r="C22" s="16">
        <f>Levels!C23/Levels!C22-1-Levels!$Y22</f>
        <v>1.7350689692988031E-2</v>
      </c>
      <c r="D22" s="16">
        <f>Levels!D23/Levels!D22-1-Levels!$Y22</f>
        <v>8.2158533766227837E-3</v>
      </c>
      <c r="E22" s="16">
        <f>Levels!E23/Levels!E22-1-Levels!$Y22</f>
        <v>8.3620383122509079E-3</v>
      </c>
      <c r="F22" s="16">
        <f>Levels!F23/Levels!F22-1-Levels!$Y22</f>
        <v>1.2433554705107763E-2</v>
      </c>
      <c r="G22" s="16">
        <f>Levels!G23/Levels!G22-1-Levels!$Y22</f>
        <v>1.2543482732990663E-2</v>
      </c>
      <c r="H22" s="16">
        <f>Levels!H23/Levels!H22-1-Levels!$Y22</f>
        <v>1.1637434110702394E-2</v>
      </c>
      <c r="I22" s="16">
        <f>Levels!I23/Levels!I22-1-Levels!$Y22</f>
        <v>1.8824448169118435E-2</v>
      </c>
      <c r="J22" s="16">
        <f>Levels!J23/Levels!J22-1-Levels!$Y22</f>
        <v>1.0173203250360974E-2</v>
      </c>
      <c r="K22" s="16">
        <f>Levels!K23/Levels!K22-1-Levels!$Y22</f>
        <v>8.7540749367518433E-3</v>
      </c>
      <c r="L22" s="16" t="e">
        <f>Levels!L23/Levels!L22-1-Levels!$Y22</f>
        <v>#N/A</v>
      </c>
      <c r="M22" s="16">
        <f>Levels!M23/Levels!M22-1-Levels!$Y22</f>
        <v>1.2784008826934867E-2</v>
      </c>
      <c r="N22" s="16">
        <f>Levels!N23/Levels!N22-1-Levels!$Y22</f>
        <v>5.0521016250471007E-3</v>
      </c>
      <c r="O22" s="16">
        <f>Levels!O23/Levels!O22-1-Levels!$Y22</f>
        <v>2.5884798651969465E-3</v>
      </c>
      <c r="P22" s="16">
        <f>Levels!P23/Levels!P22-1-Levels!$Y22</f>
        <v>1.938085668593037E-2</v>
      </c>
      <c r="Q22" s="16">
        <f>Levels!Q23/Levels!Q22-1-Levels!$Y22</f>
        <v>2.4374412989908389E-2</v>
      </c>
      <c r="R22" s="16" t="e">
        <f>Levels!R23/Levels!R22-1-Levels!$Y22</f>
        <v>#N/A</v>
      </c>
      <c r="S22" s="16" t="e">
        <f>Levels!S23/Levels!S22-1-Levels!$Y22</f>
        <v>#N/A</v>
      </c>
      <c r="T22" s="16">
        <f>Levels!T23/Levels!T22-1-Levels!$Y22</f>
        <v>7.3886177374242745E-3</v>
      </c>
      <c r="U22" s="16">
        <f>(Levels!U23/Levels!U22-1-Levels!$Y22)*$Y$2</f>
        <v>9.4462974385694135E-2</v>
      </c>
      <c r="V22" s="16">
        <f>(Levels!V23/Levels!V22-1-Levels!$Y22)</f>
        <v>8.0113819364044048E-2</v>
      </c>
    </row>
    <row r="23" spans="1:22" x14ac:dyDescent="0.35">
      <c r="A23" s="23">
        <v>40178</v>
      </c>
      <c r="B23" s="16">
        <f>Levels!B24/Levels!B23-1-Levels!$Y23</f>
        <v>-2.1074449075563884E-2</v>
      </c>
      <c r="C23" s="16">
        <f>Levels!C24/Levels!C23-1-Levels!$Y23</f>
        <v>-5.6318221150377212E-2</v>
      </c>
      <c r="D23" s="16">
        <f>Levels!D24/Levels!D23-1-Levels!$Y23</f>
        <v>3.3345901363566188E-3</v>
      </c>
      <c r="E23" s="16">
        <f>Levels!E24/Levels!E23-1-Levels!$Y23</f>
        <v>-8.4002816256127932E-3</v>
      </c>
      <c r="F23" s="16">
        <f>Levels!F24/Levels!F23-1-Levels!$Y23</f>
        <v>-1.7599677839653771E-2</v>
      </c>
      <c r="G23" s="16">
        <f>Levels!G24/Levels!G23-1-Levels!$Y23</f>
        <v>-1.4862184619939156E-2</v>
      </c>
      <c r="H23" s="16">
        <f>Levels!H24/Levels!H23-1-Levels!$Y23</f>
        <v>-9.6927843935953328E-3</v>
      </c>
      <c r="I23" s="16">
        <f>Levels!I24/Levels!I23-1-Levels!$Y23</f>
        <v>-4.4911322263601061E-3</v>
      </c>
      <c r="J23" s="16">
        <f>Levels!J24/Levels!J23-1-Levels!$Y23</f>
        <v>3.1667046411216759E-2</v>
      </c>
      <c r="K23" s="16">
        <f>Levels!K24/Levels!K23-1-Levels!$Y23</f>
        <v>4.2896532699422618E-2</v>
      </c>
      <c r="L23" s="16" t="e">
        <f>Levels!L24/Levels!L23-1-Levels!$Y23</f>
        <v>#N/A</v>
      </c>
      <c r="M23" s="16">
        <f>Levels!M24/Levels!M23-1-Levels!$Y23</f>
        <v>-1.4119615189758239E-2</v>
      </c>
      <c r="N23" s="16">
        <f>Levels!N24/Levels!N23-1-Levels!$Y23</f>
        <v>3.4095618205980394E-3</v>
      </c>
      <c r="O23" s="16">
        <f>Levels!O24/Levels!O23-1-Levels!$Y23</f>
        <v>-9.1773551308416135E-4</v>
      </c>
      <c r="P23" s="16">
        <f>Levels!P24/Levels!P23-1-Levels!$Y23</f>
        <v>1.3858190765269507E-2</v>
      </c>
      <c r="Q23" s="16">
        <f>Levels!Q24/Levels!Q23-1-Levels!$Y23</f>
        <v>1.7891381909588278E-2</v>
      </c>
      <c r="R23" s="16" t="e">
        <f>Levels!R24/Levels!R23-1-Levels!$Y23</f>
        <v>#N/A</v>
      </c>
      <c r="S23" s="16" t="e">
        <f>Levels!S24/Levels!S23-1-Levels!$Y23</f>
        <v>#N/A</v>
      </c>
      <c r="T23" s="16">
        <f>Levels!T24/Levels!T23-1-Levels!$Y23</f>
        <v>3.367068453801858E-3</v>
      </c>
      <c r="U23" s="16">
        <f>(Levels!U24/Levels!U23-1-Levels!$Y23)*$Y$2</f>
        <v>-4.4856029888401185E-2</v>
      </c>
      <c r="V23" s="16">
        <f>(Levels!V24/Levels!V23-1-Levels!$Y23)</f>
        <v>-2.8428306090783506E-2</v>
      </c>
    </row>
    <row r="24" spans="1:22" x14ac:dyDescent="0.35">
      <c r="A24" s="23">
        <v>40209</v>
      </c>
      <c r="B24" s="16">
        <f>Levels!B25/Levels!B24-1-Levels!$Y24</f>
        <v>1.4131351572703288E-2</v>
      </c>
      <c r="C24" s="16">
        <f>Levels!C25/Levels!C24-1-Levels!$Y24</f>
        <v>2.5979702063054555E-2</v>
      </c>
      <c r="D24" s="16">
        <f>Levels!D25/Levels!D24-1-Levels!$Y24</f>
        <v>5.1684017818693917E-3</v>
      </c>
      <c r="E24" s="16">
        <f>Levels!E25/Levels!E24-1-Levels!$Y24</f>
        <v>7.3344752438249117E-3</v>
      </c>
      <c r="F24" s="16">
        <f>Levels!F25/Levels!F24-1-Levels!$Y24</f>
        <v>1.4563644551489396E-2</v>
      </c>
      <c r="G24" s="16">
        <f>Levels!G25/Levels!G24-1-Levels!$Y24</f>
        <v>1.503226592106599E-2</v>
      </c>
      <c r="H24" s="16">
        <f>Levels!H25/Levels!H24-1-Levels!$Y24</f>
        <v>1.6537476711582455E-2</v>
      </c>
      <c r="I24" s="16">
        <f>Levels!I25/Levels!I24-1-Levels!$Y24</f>
        <v>2.0076249635200494E-2</v>
      </c>
      <c r="J24" s="16">
        <f>Levels!J25/Levels!J24-1-Levels!$Y24</f>
        <v>1.1035390947910395E-2</v>
      </c>
      <c r="K24" s="16">
        <f>Levels!K25/Levels!K24-1-Levels!$Y24</f>
        <v>2.7855501459908005E-2</v>
      </c>
      <c r="L24" s="16" t="e">
        <f>Levels!L25/Levels!L24-1-Levels!$Y24</f>
        <v>#N/A</v>
      </c>
      <c r="M24" s="16">
        <f>Levels!M25/Levels!M24-1-Levels!$Y24</f>
        <v>1.3220708329990449E-2</v>
      </c>
      <c r="N24" s="16">
        <f>Levels!N25/Levels!N24-1-Levels!$Y24</f>
        <v>4.51883892910665E-2</v>
      </c>
      <c r="O24" s="16">
        <f>Levels!O25/Levels!O24-1-Levels!$Y24</f>
        <v>1.6730084659476452E-2</v>
      </c>
      <c r="P24" s="16">
        <f>Levels!P25/Levels!P24-1-Levels!$Y24</f>
        <v>1.0206154855116889E-2</v>
      </c>
      <c r="Q24" s="16">
        <f>Levels!Q25/Levels!Q24-1-Levels!$Y24</f>
        <v>1.3831530011076953E-2</v>
      </c>
      <c r="R24" s="16" t="e">
        <f>Levels!R25/Levels!R24-1-Levels!$Y24</f>
        <v>#N/A</v>
      </c>
      <c r="S24" s="16" t="e">
        <f>Levels!S25/Levels!S24-1-Levels!$Y24</f>
        <v>#N/A</v>
      </c>
      <c r="T24" s="16">
        <f>Levels!T25/Levels!T24-1-Levels!$Y24</f>
        <v>4.3659416697379605E-2</v>
      </c>
      <c r="U24" s="16">
        <f>(Levels!U25/Levels!U24-1-Levels!$Y24)*$Y$2</f>
        <v>5.280728793500513E-2</v>
      </c>
      <c r="V24" s="16">
        <f>(Levels!V25/Levels!V24-1-Levels!$Y24)</f>
        <v>4.5504612749270423E-2</v>
      </c>
    </row>
    <row r="25" spans="1:22" x14ac:dyDescent="0.35">
      <c r="A25" s="23">
        <v>40237</v>
      </c>
      <c r="B25" s="16">
        <f>Levels!B26/Levels!B25-1-Levels!$Y25</f>
        <v>4.092067097399843E-3</v>
      </c>
      <c r="C25" s="16">
        <f>Levels!C26/Levels!C25-1-Levels!$Y25</f>
        <v>2.6390202782036187E-3</v>
      </c>
      <c r="D25" s="16">
        <f>Levels!D26/Levels!D25-1-Levels!$Y25</f>
        <v>9.632844260879958E-3</v>
      </c>
      <c r="E25" s="16">
        <f>Levels!E26/Levels!E25-1-Levels!$Y25</f>
        <v>6.0347010350514374E-3</v>
      </c>
      <c r="F25" s="16">
        <f>Levels!F26/Levels!F25-1-Levels!$Y25</f>
        <v>3.3680280624570624E-3</v>
      </c>
      <c r="G25" s="16">
        <f>Levels!G26/Levels!G25-1-Levels!$Y25</f>
        <v>6.2207907314897337E-3</v>
      </c>
      <c r="H25" s="16">
        <f>Levels!H26/Levels!H25-1-Levels!$Y25</f>
        <v>3.0751170994558485E-3</v>
      </c>
      <c r="I25" s="16">
        <f>Levels!I26/Levels!I25-1-Levels!$Y25</f>
        <v>6.0573168105562125E-3</v>
      </c>
      <c r="J25" s="16">
        <f>Levels!J26/Levels!J25-1-Levels!$Y25</f>
        <v>2.2613786870981922E-3</v>
      </c>
      <c r="K25" s="16">
        <f>Levels!K26/Levels!K25-1-Levels!$Y25</f>
        <v>-4.0856943688023506E-3</v>
      </c>
      <c r="L25" s="16" t="e">
        <f>Levels!L26/Levels!L25-1-Levels!$Y25</f>
        <v>#N/A</v>
      </c>
      <c r="M25" s="16">
        <f>Levels!M26/Levels!M25-1-Levels!$Y25</f>
        <v>1.7139437946500635E-3</v>
      </c>
      <c r="N25" s="16">
        <f>Levels!N26/Levels!N25-1-Levels!$Y25</f>
        <v>1.8841343672169275E-2</v>
      </c>
      <c r="O25" s="16">
        <f>Levels!O26/Levels!O25-1-Levels!$Y25</f>
        <v>4.7441498848208585E-3</v>
      </c>
      <c r="P25" s="16">
        <f>Levels!P26/Levels!P25-1-Levels!$Y25</f>
        <v>7.6530980370561608E-3</v>
      </c>
      <c r="Q25" s="16">
        <f>Levels!Q26/Levels!Q25-1-Levels!$Y25</f>
        <v>1.141864596066533E-2</v>
      </c>
      <c r="R25" s="16" t="e">
        <f>Levels!R26/Levels!R25-1-Levels!$Y25</f>
        <v>#N/A</v>
      </c>
      <c r="S25" s="16" t="e">
        <f>Levels!S26/Levels!S25-1-Levels!$Y25</f>
        <v>#N/A</v>
      </c>
      <c r="T25" s="16">
        <f>Levels!T26/Levels!T25-1-Levels!$Y25</f>
        <v>1.9298130192876739E-2</v>
      </c>
      <c r="U25" s="16">
        <f>(Levels!U26/Levels!U25-1-Levels!$Y25)*$Y$2</f>
        <v>9.5535036159402509E-2</v>
      </c>
      <c r="V25" s="16">
        <f>(Levels!V26/Levels!V25-1-Levels!$Y25)</f>
        <v>7.5074713469301058E-2</v>
      </c>
    </row>
    <row r="26" spans="1:22" x14ac:dyDescent="0.35">
      <c r="A26" s="23">
        <v>40268</v>
      </c>
      <c r="B26" s="16">
        <f>Levels!B27/Levels!B26-1-Levels!$Y26</f>
        <v>-6.9391786419267243E-3</v>
      </c>
      <c r="C26" s="16">
        <f>Levels!C27/Levels!C26-1-Levels!$Y26</f>
        <v>-1.9089059443608614E-2</v>
      </c>
      <c r="D26" s="16">
        <f>Levels!D27/Levels!D26-1-Levels!$Y26</f>
        <v>-2.4947272682876998E-3</v>
      </c>
      <c r="E26" s="16">
        <f>Levels!E27/Levels!E26-1-Levels!$Y26</f>
        <v>3.9047907451592589E-3</v>
      </c>
      <c r="F26" s="16">
        <f>Levels!F27/Levels!F26-1-Levels!$Y26</f>
        <v>-3.0906524868551388E-3</v>
      </c>
      <c r="G26" s="16">
        <f>Levels!G27/Levels!G26-1-Levels!$Y26</f>
        <v>3.6663416028213103E-3</v>
      </c>
      <c r="H26" s="16">
        <f>Levels!H27/Levels!H26-1-Levels!$Y26</f>
        <v>5.0421576609487317E-3</v>
      </c>
      <c r="I26" s="16">
        <f>Levels!I27/Levels!I26-1-Levels!$Y26</f>
        <v>5.8583162569565417E-3</v>
      </c>
      <c r="J26" s="16">
        <f>Levels!J27/Levels!J26-1-Levels!$Y26</f>
        <v>3.007932271761371E-2</v>
      </c>
      <c r="K26" s="16">
        <f>Levels!K27/Levels!K26-1-Levels!$Y26</f>
        <v>4.3590878070347783E-2</v>
      </c>
      <c r="L26" s="16" t="e">
        <f>Levels!L27/Levels!L26-1-Levels!$Y26</f>
        <v>#N/A</v>
      </c>
      <c r="M26" s="16">
        <f>Levels!M27/Levels!M26-1-Levels!$Y26</f>
        <v>2.3051032536680616E-4</v>
      </c>
      <c r="N26" s="16">
        <f>Levels!N27/Levels!N26-1-Levels!$Y26</f>
        <v>2.4393254186595215E-2</v>
      </c>
      <c r="O26" s="16">
        <f>Levels!O27/Levels!O26-1-Levels!$Y26</f>
        <v>4.7113680103683109E-4</v>
      </c>
      <c r="P26" s="16">
        <f>Levels!P27/Levels!P26-1-Levels!$Y26</f>
        <v>5.5713655237685789E-3</v>
      </c>
      <c r="Q26" s="16">
        <f>Levels!Q27/Levels!Q26-1-Levels!$Y26</f>
        <v>8.7430406110611258E-3</v>
      </c>
      <c r="R26" s="16" t="e">
        <f>Levels!R27/Levels!R26-1-Levels!$Y26</f>
        <v>#N/A</v>
      </c>
      <c r="S26" s="16" t="e">
        <f>Levels!S27/Levels!S26-1-Levels!$Y26</f>
        <v>#N/A</v>
      </c>
      <c r="T26" s="16">
        <f>Levels!T27/Levels!T26-1-Levels!$Y26</f>
        <v>2.3794030725639237E-2</v>
      </c>
      <c r="U26" s="16">
        <f>(Levels!U27/Levels!U26-1-Levels!$Y26)*$Y$2</f>
        <v>6.7002546204071395E-2</v>
      </c>
      <c r="V26" s="16">
        <f>(Levels!V27/Levels!V26-1-Levels!$Y26)</f>
        <v>3.9485676280013537E-2</v>
      </c>
    </row>
    <row r="27" spans="1:22" x14ac:dyDescent="0.35">
      <c r="A27" s="23">
        <v>40298</v>
      </c>
      <c r="B27" s="16">
        <f>Levels!B28/Levels!B27-1-Levels!$Y27</f>
        <v>7.6963009421666673E-3</v>
      </c>
      <c r="C27" s="16">
        <f>Levels!C28/Levels!C27-1-Levels!$Y27</f>
        <v>2.7806783398323542E-2</v>
      </c>
      <c r="D27" s="16">
        <f>Levels!D28/Levels!D27-1-Levels!$Y27</f>
        <v>1.2016373873836583E-2</v>
      </c>
      <c r="E27" s="16">
        <f>Levels!E28/Levels!E27-1-Levels!$Y27</f>
        <v>2.7562359659405455E-3</v>
      </c>
      <c r="F27" s="16">
        <f>Levels!F28/Levels!F27-1-Levels!$Y27</f>
        <v>7.7986470345012826E-3</v>
      </c>
      <c r="G27" s="16">
        <f>Levels!G28/Levels!G27-1-Levels!$Y27</f>
        <v>1.7516194247189087E-2</v>
      </c>
      <c r="H27" s="16">
        <f>Levels!H28/Levels!H27-1-Levels!$Y27</f>
        <v>1.7465117884082559E-2</v>
      </c>
      <c r="I27" s="16">
        <f>Levels!I28/Levels!I27-1-Levels!$Y27</f>
        <v>2.2120426308999797E-2</v>
      </c>
      <c r="J27" s="16">
        <f>Levels!J28/Levels!J27-1-Levels!$Y27</f>
        <v>2.1826749699180858E-2</v>
      </c>
      <c r="K27" s="16">
        <f>Levels!K28/Levels!K27-1-Levels!$Y27</f>
        <v>3.7293961803867681E-2</v>
      </c>
      <c r="L27" s="16" t="e">
        <f>Levels!L28/Levels!L27-1-Levels!$Y27</f>
        <v>#N/A</v>
      </c>
      <c r="M27" s="16">
        <f>Levels!M28/Levels!M27-1-Levels!$Y27</f>
        <v>5.8952384852462014E-3</v>
      </c>
      <c r="N27" s="16">
        <f>Levels!N28/Levels!N27-1-Levels!$Y27</f>
        <v>2.5202834054008916E-2</v>
      </c>
      <c r="O27" s="16">
        <f>Levels!O28/Levels!O27-1-Levels!$Y27</f>
        <v>5.4001227359639081E-3</v>
      </c>
      <c r="P27" s="16">
        <f>Levels!P28/Levels!P27-1-Levels!$Y27</f>
        <v>7.2791107873066974E-3</v>
      </c>
      <c r="Q27" s="16">
        <f>Levels!Q28/Levels!Q27-1-Levels!$Y27</f>
        <v>1.1335474175417914E-2</v>
      </c>
      <c r="R27" s="16" t="e">
        <f>Levels!R28/Levels!R27-1-Levels!$Y27</f>
        <v>#N/A</v>
      </c>
      <c r="S27" s="16" t="e">
        <f>Levels!S28/Levels!S27-1-Levels!$Y27</f>
        <v>#N/A</v>
      </c>
      <c r="T27" s="16">
        <f>Levels!T28/Levels!T27-1-Levels!$Y27</f>
        <v>2.9181341030927177E-2</v>
      </c>
      <c r="U27" s="16">
        <f>(Levels!U28/Levels!U27-1-Levels!$Y27)*$Y$2</f>
        <v>-9.2239735096207601E-2</v>
      </c>
      <c r="V27" s="16">
        <f>(Levels!V28/Levels!V27-1-Levels!$Y27)</f>
        <v>-1.1694462400282823E-2</v>
      </c>
    </row>
    <row r="28" spans="1:22" x14ac:dyDescent="0.35">
      <c r="A28" s="23">
        <v>40329</v>
      </c>
      <c r="B28" s="16">
        <f>Levels!B29/Levels!B28-1-Levels!$Y28</f>
        <v>1.3013564883186834E-2</v>
      </c>
      <c r="C28" s="16">
        <f>Levels!C29/Levels!C28-1-Levels!$Y28</f>
        <v>4.2736443987912764E-2</v>
      </c>
      <c r="D28" s="16">
        <f>Levels!D29/Levels!D28-1-Levels!$Y28</f>
        <v>7.3693940054726514E-3</v>
      </c>
      <c r="E28" s="16">
        <f>Levels!E29/Levels!E28-1-Levels!$Y28</f>
        <v>1.1682580051700864E-2</v>
      </c>
      <c r="F28" s="16">
        <f>Levels!F29/Levels!F28-1-Levels!$Y28</f>
        <v>1.2374239508344376E-2</v>
      </c>
      <c r="G28" s="16">
        <f>Levels!G29/Levels!G28-1-Levels!$Y28</f>
        <v>-2.9890718661200744E-3</v>
      </c>
      <c r="H28" s="16">
        <f>Levels!H29/Levels!H28-1-Levels!$Y28</f>
        <v>-4.6841885856460097E-3</v>
      </c>
      <c r="I28" s="16">
        <f>Levels!I29/Levels!I28-1-Levels!$Y28</f>
        <v>-1.0039338392997754E-2</v>
      </c>
      <c r="J28" s="16">
        <f>Levels!J29/Levels!J28-1-Levels!$Y28</f>
        <v>-3.5152216435424655E-2</v>
      </c>
      <c r="K28" s="16">
        <f>Levels!K29/Levels!K28-1-Levels!$Y28</f>
        <v>-4.4817072236163602E-2</v>
      </c>
      <c r="L28" s="16" t="e">
        <f>Levels!L29/Levels!L28-1-Levels!$Y28</f>
        <v>#N/A</v>
      </c>
      <c r="M28" s="16">
        <f>Levels!M29/Levels!M28-1-Levels!$Y28</f>
        <v>1.1067930799738779E-2</v>
      </c>
      <c r="N28" s="16">
        <f>Levels!N29/Levels!N28-1-Levels!$Y28</f>
        <v>-1.6851161290249217E-2</v>
      </c>
      <c r="O28" s="16">
        <f>Levels!O29/Levels!O28-1-Levels!$Y28</f>
        <v>4.9406772049791492E-3</v>
      </c>
      <c r="P28" s="16">
        <f>Levels!P29/Levels!P28-1-Levels!$Y28</f>
        <v>4.5382731879861637E-3</v>
      </c>
      <c r="Q28" s="16">
        <f>Levels!Q29/Levels!Q28-1-Levels!$Y28</f>
        <v>6.469125290829103E-3</v>
      </c>
      <c r="R28" s="16" t="e">
        <f>Levels!R29/Levels!R28-1-Levels!$Y28</f>
        <v>#N/A</v>
      </c>
      <c r="S28" s="16" t="e">
        <f>Levels!S29/Levels!S28-1-Levels!$Y28</f>
        <v>#N/A</v>
      </c>
      <c r="T28" s="16">
        <f>Levels!T29/Levels!T28-1-Levels!$Y28</f>
        <v>-1.4724234360019683E-2</v>
      </c>
      <c r="U28" s="16">
        <f>(Levels!U29/Levels!U28-1-Levels!$Y28)*$Y$2</f>
        <v>-9.469191730204729E-2</v>
      </c>
      <c r="V28" s="16">
        <f>(Levels!V29/Levels!V28-1-Levels!$Y28)</f>
        <v>-2.2401240725643645E-2</v>
      </c>
    </row>
    <row r="29" spans="1:22" x14ac:dyDescent="0.35">
      <c r="A29" s="23">
        <v>40359</v>
      </c>
      <c r="B29" s="16">
        <f>Levels!B30/Levels!B29-1-Levels!$Y29</f>
        <v>1.4149708019887353E-2</v>
      </c>
      <c r="C29" s="16">
        <f>Levels!C30/Levels!C29-1-Levels!$Y29</f>
        <v>4.6188870766498358E-2</v>
      </c>
      <c r="D29" s="16">
        <f>Levels!D30/Levels!D29-1-Levels!$Y29</f>
        <v>4.6218321905078241E-4</v>
      </c>
      <c r="E29" s="16">
        <f>Levels!E30/Levels!E29-1-Levels!$Y29</f>
        <v>3.3419845138382698E-3</v>
      </c>
      <c r="F29" s="16">
        <f>Levels!F30/Levels!F29-1-Levels!$Y29</f>
        <v>1.4248456555401745E-2</v>
      </c>
      <c r="G29" s="16">
        <f>Levels!G30/Levels!G29-1-Levels!$Y29</f>
        <v>1.8355055093802308E-2</v>
      </c>
      <c r="H29" s="16">
        <f>Levels!H30/Levels!H29-1-Levels!$Y29</f>
        <v>2.2354394441863157E-2</v>
      </c>
      <c r="I29" s="16">
        <f>Levels!I30/Levels!I29-1-Levels!$Y29</f>
        <v>1.9120857734543417E-2</v>
      </c>
      <c r="J29" s="16">
        <f>Levels!J30/Levels!J29-1-Levels!$Y29</f>
        <v>1.2103952691717934E-2</v>
      </c>
      <c r="K29" s="16">
        <f>Levels!K30/Levels!K29-1-Levels!$Y29</f>
        <v>1.4428092717528873E-2</v>
      </c>
      <c r="L29" s="16" t="e">
        <f>Levels!L30/Levels!L29-1-Levels!$Y29</f>
        <v>#N/A</v>
      </c>
      <c r="M29" s="16">
        <f>Levels!M30/Levels!M29-1-Levels!$Y29</f>
        <v>1.1090645646604003E-2</v>
      </c>
      <c r="N29" s="16">
        <f>Levels!N30/Levels!N29-1-Levels!$Y29</f>
        <v>1.9291587755306594E-2</v>
      </c>
      <c r="O29" s="16">
        <f>Levels!O30/Levels!O29-1-Levels!$Y29</f>
        <v>1.4444435446936188E-2</v>
      </c>
      <c r="P29" s="16">
        <f>Levels!P30/Levels!P29-1-Levels!$Y29</f>
        <v>9.9029870333948722E-3</v>
      </c>
      <c r="Q29" s="16">
        <f>Levels!Q30/Levels!Q29-1-Levels!$Y29</f>
        <v>1.0404037062559768E-2</v>
      </c>
      <c r="R29" s="16" t="e">
        <f>Levels!R30/Levels!R29-1-Levels!$Y29</f>
        <v>#N/A</v>
      </c>
      <c r="S29" s="16" t="e">
        <f>Levels!S30/Levels!S29-1-Levels!$Y29</f>
        <v>#N/A</v>
      </c>
      <c r="T29" s="16">
        <f>Levels!T30/Levels!T29-1-Levels!$Y29</f>
        <v>1.917123521555042E-2</v>
      </c>
      <c r="U29" s="16">
        <f>(Levels!U30/Levels!U29-1-Levels!$Y29)*$Y$2</f>
        <v>8.1350888514127639E-2</v>
      </c>
      <c r="V29" s="16">
        <f>(Levels!V30/Levels!V29-1-Levels!$Y29)</f>
        <v>2.8956783514981765E-2</v>
      </c>
    </row>
    <row r="30" spans="1:22" x14ac:dyDescent="0.35">
      <c r="A30" s="23">
        <v>40390</v>
      </c>
      <c r="B30" s="16">
        <f>Levels!B31/Levels!B30-1-Levels!$Y30</f>
        <v>7.6261124769576583E-3</v>
      </c>
      <c r="C30" s="16">
        <f>Levels!C31/Levels!C30-1-Levels!$Y30</f>
        <v>6.5181286240778569E-4</v>
      </c>
      <c r="D30" s="16">
        <f>Levels!D31/Levels!D30-1-Levels!$Y30</f>
        <v>1.2320950111111673E-2</v>
      </c>
      <c r="E30" s="16">
        <f>Levels!E31/Levels!E30-1-Levels!$Y30</f>
        <v>5.1662055944736718E-3</v>
      </c>
      <c r="F30" s="16">
        <f>Levels!F31/Levels!F30-1-Levels!$Y30</f>
        <v>7.8918149839970475E-3</v>
      </c>
      <c r="G30" s="16">
        <f>Levels!G31/Levels!G30-1-Levels!$Y30</f>
        <v>1.3951228623305889E-2</v>
      </c>
      <c r="H30" s="16">
        <f>Levels!H31/Levels!H30-1-Levels!$Y30</f>
        <v>2.0312166299224499E-2</v>
      </c>
      <c r="I30" s="16">
        <f>Levels!I31/Levels!I30-1-Levels!$Y30</f>
        <v>2.3147456197303296E-2</v>
      </c>
      <c r="J30" s="16">
        <f>Levels!J31/Levels!J30-1-Levels!$Y30</f>
        <v>3.4373737387209724E-2</v>
      </c>
      <c r="K30" s="16">
        <f>Levels!K31/Levels!K30-1-Levels!$Y30</f>
        <v>4.6201862375746749E-2</v>
      </c>
      <c r="L30" s="16" t="e">
        <f>Levels!L31/Levels!L30-1-Levels!$Y30</f>
        <v>#N/A</v>
      </c>
      <c r="M30" s="16">
        <f>Levels!M31/Levels!M30-1-Levels!$Y30</f>
        <v>8.431283833505443E-3</v>
      </c>
      <c r="N30" s="16">
        <f>Levels!N31/Levels!N30-1-Levels!$Y30</f>
        <v>2.1086651732226791E-2</v>
      </c>
      <c r="O30" s="16">
        <f>Levels!O31/Levels!O30-1-Levels!$Y30</f>
        <v>1.2239476938212812E-2</v>
      </c>
      <c r="P30" s="16">
        <f>Levels!P31/Levels!P30-1-Levels!$Y30</f>
        <v>1.0618822772838099E-2</v>
      </c>
      <c r="Q30" s="16">
        <f>Levels!Q31/Levels!Q30-1-Levels!$Y30</f>
        <v>1.1032655411937542E-2</v>
      </c>
      <c r="R30" s="16" t="e">
        <f>Levels!R31/Levels!R30-1-Levels!$Y30</f>
        <v>#N/A</v>
      </c>
      <c r="S30" s="16" t="e">
        <f>Levels!S31/Levels!S30-1-Levels!$Y30</f>
        <v>#N/A</v>
      </c>
      <c r="T30" s="16">
        <f>Levels!T31/Levels!T30-1-Levels!$Y30</f>
        <v>2.1146195189664541E-2</v>
      </c>
      <c r="U30" s="16">
        <f>(Levels!U31/Levels!U30-1-Levels!$Y30)*$Y$2</f>
        <v>-9.0199287882920087E-2</v>
      </c>
      <c r="V30" s="16">
        <f>(Levels!V31/Levels!V30-1-Levels!$Y30)</f>
        <v>1.5993672017134308E-2</v>
      </c>
    </row>
    <row r="31" spans="1:22" x14ac:dyDescent="0.35">
      <c r="A31" s="23">
        <v>40421</v>
      </c>
      <c r="B31" s="16">
        <f>Levels!B32/Levels!B31-1-Levels!$Y31</f>
        <v>1.2438616234663025E-2</v>
      </c>
      <c r="C31" s="16">
        <f>Levels!C32/Levels!C31-1-Levels!$Y31</f>
        <v>6.7869548528956658E-2</v>
      </c>
      <c r="D31" s="16">
        <f>Levels!D32/Levels!D31-1-Levels!$Y31</f>
        <v>2.2777432971245348E-2</v>
      </c>
      <c r="E31" s="16">
        <f>Levels!E32/Levels!E31-1-Levels!$Y31</f>
        <v>2.1653099998419911E-2</v>
      </c>
      <c r="F31" s="16">
        <f>Levels!F32/Levels!F31-1-Levels!$Y31</f>
        <v>1.038503021011361E-2</v>
      </c>
      <c r="G31" s="16">
        <f>Levels!G32/Levels!G31-1-Levels!$Y31</f>
        <v>2.2230480568160571E-2</v>
      </c>
      <c r="H31" s="16">
        <f>Levels!H32/Levels!H31-1-Levels!$Y31</f>
        <v>2.1627619856240177E-2</v>
      </c>
      <c r="I31" s="16">
        <f>Levels!I32/Levels!I31-1-Levels!$Y31</f>
        <v>2.0054838500335181E-2</v>
      </c>
      <c r="J31" s="16">
        <f>Levels!J32/Levels!J31-1-Levels!$Y31</f>
        <v>-6.2532056166675343E-4</v>
      </c>
      <c r="K31" s="16">
        <f>Levels!K32/Levels!K31-1-Levels!$Y31</f>
        <v>8.9102380693260042E-3</v>
      </c>
      <c r="L31" s="16" t="e">
        <f>Levels!L32/Levels!L31-1-Levels!$Y31</f>
        <v>#N/A</v>
      </c>
      <c r="M31" s="16">
        <f>Levels!M32/Levels!M31-1-Levels!$Y31</f>
        <v>1.4191245164243416E-3</v>
      </c>
      <c r="N31" s="16">
        <f>Levels!N32/Levels!N31-1-Levels!$Y31</f>
        <v>2.0185537484521454E-2</v>
      </c>
      <c r="O31" s="16">
        <f>Levels!O32/Levels!O31-1-Levels!$Y31</f>
        <v>8.848319061120602E-3</v>
      </c>
      <c r="P31" s="16">
        <f>Levels!P32/Levels!P31-1-Levels!$Y31</f>
        <v>1.3777787549403842E-2</v>
      </c>
      <c r="Q31" s="16">
        <f>Levels!Q32/Levels!Q31-1-Levels!$Y31</f>
        <v>1.3428022488303881E-2</v>
      </c>
      <c r="R31" s="16" t="e">
        <f>Levels!R32/Levels!R31-1-Levels!$Y31</f>
        <v>#N/A</v>
      </c>
      <c r="S31" s="16" t="e">
        <f>Levels!S32/Levels!S31-1-Levels!$Y31</f>
        <v>#N/A</v>
      </c>
      <c r="T31" s="16">
        <f>Levels!T32/Levels!T31-1-Levels!$Y31</f>
        <v>2.2191701214000936E-2</v>
      </c>
      <c r="U31" s="16">
        <f>(Levels!U32/Levels!U31-1-Levels!$Y31)*$Y$2</f>
        <v>0.14750815411017387</v>
      </c>
      <c r="V31" s="16">
        <f>(Levels!V32/Levels!V31-1-Levels!$Y31)</f>
        <v>8.1094106413257538E-3</v>
      </c>
    </row>
    <row r="32" spans="1:22" x14ac:dyDescent="0.35">
      <c r="A32" s="23">
        <v>40451</v>
      </c>
      <c r="B32" s="16">
        <f>Levels!B33/Levels!B32-1-Levels!$Y32</f>
        <v>2.65434713483792E-3</v>
      </c>
      <c r="C32" s="16">
        <f>Levels!C33/Levels!C32-1-Levels!$Y32</f>
        <v>-1.5819218158932169E-2</v>
      </c>
      <c r="D32" s="16">
        <f>Levels!D33/Levels!D32-1-Levels!$Y32</f>
        <v>-1.6744899705092298E-3</v>
      </c>
      <c r="E32" s="16">
        <f>Levels!E33/Levels!E32-1-Levels!$Y32</f>
        <v>-3.8664678661889385E-3</v>
      </c>
      <c r="F32" s="16">
        <f>Levels!F33/Levels!F32-1-Levels!$Y32</f>
        <v>-1.0284504216550028E-3</v>
      </c>
      <c r="G32" s="16">
        <f>Levels!G33/Levels!G32-1-Levels!$Y32</f>
        <v>4.5865169837979725E-3</v>
      </c>
      <c r="H32" s="16">
        <f>Levels!H33/Levels!H32-1-Levels!$Y32</f>
        <v>6.7676666888056847E-3</v>
      </c>
      <c r="I32" s="16">
        <f>Levels!I33/Levels!I32-1-Levels!$Y32</f>
        <v>1.1398500421155866E-2</v>
      </c>
      <c r="J32" s="16">
        <f>Levels!J33/Levels!J32-1-Levels!$Y32</f>
        <v>2.8427789086955091E-2</v>
      </c>
      <c r="K32" s="16">
        <f>Levels!K33/Levels!K32-1-Levels!$Y32</f>
        <v>4.6096296394934511E-2</v>
      </c>
      <c r="L32" s="16" t="e">
        <f>Levels!L33/Levels!L32-1-Levels!$Y32</f>
        <v>#N/A</v>
      </c>
      <c r="M32" s="16">
        <f>Levels!M33/Levels!M32-1-Levels!$Y32</f>
        <v>-3.9289695848458983E-3</v>
      </c>
      <c r="N32" s="16">
        <f>Levels!N33/Levels!N32-1-Levels!$Y32</f>
        <v>2.1070534226790505E-2</v>
      </c>
      <c r="O32" s="16">
        <f>Levels!O33/Levels!O32-1-Levels!$Y32</f>
        <v>3.4620774314921832E-3</v>
      </c>
      <c r="P32" s="16">
        <f>Levels!P33/Levels!P32-1-Levels!$Y32</f>
        <v>1.3967272639197059E-2</v>
      </c>
      <c r="Q32" s="16">
        <f>Levels!Q33/Levels!Q32-1-Levels!$Y32</f>
        <v>1.429822300909489E-2</v>
      </c>
      <c r="R32" s="16" t="e">
        <f>Levels!R33/Levels!R32-1-Levels!$Y32</f>
        <v>#N/A</v>
      </c>
      <c r="S32" s="16" t="e">
        <f>Levels!S33/Levels!S32-1-Levels!$Y32</f>
        <v>#N/A</v>
      </c>
      <c r="T32" s="16">
        <f>Levels!T33/Levels!T32-1-Levels!$Y32</f>
        <v>2.3438000281558846E-2</v>
      </c>
      <c r="U32" s="16">
        <f>(Levels!U33/Levels!U32-1-Levels!$Y32)*$Y$2</f>
        <v>4.8154859842343974E-2</v>
      </c>
      <c r="V32" s="16">
        <f>(Levels!V33/Levels!V32-1-Levels!$Y32)</f>
        <v>2.1372728126741514E-2</v>
      </c>
    </row>
    <row r="33" spans="1:22" x14ac:dyDescent="0.35">
      <c r="A33" s="23">
        <v>40482</v>
      </c>
      <c r="B33" s="16">
        <f>Levels!B34/Levels!B33-1-Levels!$Y33</f>
        <v>3.2561339880508022E-3</v>
      </c>
      <c r="C33" s="16">
        <f>Levels!C34/Levels!C33-1-Levels!$Y33</f>
        <v>-3.324864043463327E-2</v>
      </c>
      <c r="D33" s="16">
        <f>Levels!D34/Levels!D33-1-Levels!$Y33</f>
        <v>-2.8997459975658169E-3</v>
      </c>
      <c r="E33" s="16">
        <f>Levels!E34/Levels!E33-1-Levels!$Y33</f>
        <v>-5.3024219515033222E-3</v>
      </c>
      <c r="F33" s="16">
        <f>Levels!F34/Levels!F33-1-Levels!$Y33</f>
        <v>3.8681574177497069E-3</v>
      </c>
      <c r="G33" s="16">
        <f>Levels!G34/Levels!G33-1-Levels!$Y33</f>
        <v>-7.5957405180504534E-4</v>
      </c>
      <c r="H33" s="16">
        <f>Levels!H34/Levels!H33-1-Levels!$Y33</f>
        <v>-3.5409740205027962E-4</v>
      </c>
      <c r="I33" s="16">
        <f>Levels!I34/Levels!I33-1-Levels!$Y33</f>
        <v>6.0381378488216786E-3</v>
      </c>
      <c r="J33" s="16">
        <f>Levels!J34/Levels!J33-1-Levels!$Y33</f>
        <v>2.4091068395009962E-2</v>
      </c>
      <c r="K33" s="16">
        <f>Levels!K34/Levels!K33-1-Levels!$Y33</f>
        <v>4.121068203559819E-2</v>
      </c>
      <c r="L33" s="16" t="e">
        <f>Levels!L34/Levels!L33-1-Levels!$Y33</f>
        <v>#N/A</v>
      </c>
      <c r="M33" s="16">
        <f>Levels!M34/Levels!M33-1-Levels!$Y33</f>
        <v>9.6626228566665251E-3</v>
      </c>
      <c r="N33" s="16">
        <f>Levels!N34/Levels!N33-1-Levels!$Y33</f>
        <v>1.0566600593806541E-2</v>
      </c>
      <c r="O33" s="16">
        <f>Levels!O34/Levels!O33-1-Levels!$Y33</f>
        <v>1.4295498781429217E-3</v>
      </c>
      <c r="P33" s="16">
        <f>Levels!P34/Levels!P33-1-Levels!$Y33</f>
        <v>1.0918850600928343E-2</v>
      </c>
      <c r="Q33" s="16">
        <f>Levels!Q34/Levels!Q33-1-Levels!$Y33</f>
        <v>1.1606377055968231E-2</v>
      </c>
      <c r="R33" s="16" t="e">
        <f>Levels!R34/Levels!R33-1-Levels!$Y33</f>
        <v>#N/A</v>
      </c>
      <c r="S33" s="16" t="e">
        <f>Levels!S34/Levels!S33-1-Levels!$Y33</f>
        <v>#N/A</v>
      </c>
      <c r="T33" s="16">
        <f>Levels!T34/Levels!T33-1-Levels!$Y33</f>
        <v>1.2377668695773947E-2</v>
      </c>
      <c r="U33" s="16">
        <f>(Levels!U34/Levels!U33-1-Levels!$Y33)*$Y$2</f>
        <v>4.0208930255195958E-2</v>
      </c>
      <c r="V33" s="16">
        <f>(Levels!V34/Levels!V33-1-Levels!$Y33)</f>
        <v>2.0418500923878646E-2</v>
      </c>
    </row>
    <row r="34" spans="1:22" x14ac:dyDescent="0.35">
      <c r="A34" s="23">
        <v>40512</v>
      </c>
      <c r="B34" s="16">
        <f>Levels!B35/Levels!B34-1-Levels!$Y34</f>
        <v>-6.1282392829805632E-3</v>
      </c>
      <c r="C34" s="16">
        <f>Levels!C35/Levels!C34-1-Levels!$Y34</f>
        <v>-1.3366781208204781E-2</v>
      </c>
      <c r="D34" s="16">
        <f>Levels!D35/Levels!D34-1-Levels!$Y34</f>
        <v>-2.0091039882177641E-2</v>
      </c>
      <c r="E34" s="16">
        <f>Levels!E35/Levels!E34-1-Levels!$Y34</f>
        <v>-1.2743161865400032E-2</v>
      </c>
      <c r="F34" s="16">
        <f>Levels!F35/Levels!F34-1-Levels!$Y34</f>
        <v>-4.7893904622033912E-3</v>
      </c>
      <c r="G34" s="16">
        <f>Levels!G35/Levels!G34-1-Levels!$Y34</f>
        <v>-9.5854141288921335E-3</v>
      </c>
      <c r="H34" s="16">
        <f>Levels!H35/Levels!H34-1-Levels!$Y34</f>
        <v>-9.8581415423935059E-3</v>
      </c>
      <c r="I34" s="16">
        <f>Levels!I35/Levels!I34-1-Levels!$Y34</f>
        <v>-9.0564361138629756E-3</v>
      </c>
      <c r="J34" s="16">
        <f>Levels!J35/Levels!J34-1-Levels!$Y34</f>
        <v>-1.0573704082181168E-2</v>
      </c>
      <c r="K34" s="16">
        <f>Levels!K35/Levels!K34-1-Levels!$Y34</f>
        <v>-2.3566102324242166E-2</v>
      </c>
      <c r="L34" s="16" t="e">
        <f>Levels!L35/Levels!L34-1-Levels!$Y34</f>
        <v>#N/A</v>
      </c>
      <c r="M34" s="16">
        <f>Levels!M35/Levels!M34-1-Levels!$Y34</f>
        <v>-1.8951041200011565E-3</v>
      </c>
      <c r="N34" s="16">
        <f>Levels!N35/Levels!N34-1-Levels!$Y34</f>
        <v>-2.9499449618967111E-3</v>
      </c>
      <c r="O34" s="16">
        <f>Levels!O35/Levels!O34-1-Levels!$Y34</f>
        <v>-6.636327969536282E-3</v>
      </c>
      <c r="P34" s="16">
        <f>Levels!P35/Levels!P34-1-Levels!$Y34</f>
        <v>9.8927865756415212E-3</v>
      </c>
      <c r="Q34" s="16">
        <f>Levels!Q35/Levels!Q34-1-Levels!$Y34</f>
        <v>1.1553392408152341E-2</v>
      </c>
      <c r="R34" s="16" t="e">
        <f>Levels!R35/Levels!R34-1-Levels!$Y34</f>
        <v>#N/A</v>
      </c>
      <c r="S34" s="16" t="e">
        <f>Levels!S35/Levels!S34-1-Levels!$Y34</f>
        <v>#N/A</v>
      </c>
      <c r="T34" s="16">
        <f>Levels!T35/Levels!T34-1-Levels!$Y34</f>
        <v>4.2264106209577434E-4</v>
      </c>
      <c r="U34" s="16">
        <f>(Levels!U35/Levels!U34-1-Levels!$Y34)*$Y$2</f>
        <v>9.33738348082266E-2</v>
      </c>
      <c r="V34" s="16">
        <f>(Levels!V35/Levels!V34-1-Levels!$Y34)</f>
        <v>2.7476641228627807E-2</v>
      </c>
    </row>
    <row r="35" spans="1:22" x14ac:dyDescent="0.35">
      <c r="A35" s="23">
        <v>40543</v>
      </c>
      <c r="B35" s="16">
        <f>Levels!B36/Levels!B35-1-Levels!$Y35</f>
        <v>-1.5193122257160518E-2</v>
      </c>
      <c r="C35" s="16">
        <f>Levels!C36/Levels!C35-1-Levels!$Y35</f>
        <v>-3.7533213609176275E-2</v>
      </c>
      <c r="D35" s="16">
        <f>Levels!D36/Levels!D35-1-Levels!$Y35</f>
        <v>-1.9525540832594279E-2</v>
      </c>
      <c r="E35" s="16">
        <f>Levels!E36/Levels!E35-1-Levels!$Y35</f>
        <v>-3.4878799874955568E-3</v>
      </c>
      <c r="F35" s="16">
        <f>Levels!F36/Levels!F35-1-Levels!$Y35</f>
        <v>-1.1398886576587275E-2</v>
      </c>
      <c r="G35" s="16">
        <f>Levels!G36/Levels!G35-1-Levels!$Y35</f>
        <v>-8.1310519538174697E-3</v>
      </c>
      <c r="H35" s="16">
        <f>Levels!H36/Levels!H35-1-Levels!$Y35</f>
        <v>-8.0685524042097834E-3</v>
      </c>
      <c r="I35" s="16">
        <f>Levels!I36/Levels!I35-1-Levels!$Y35</f>
        <v>-1.129716445397011E-2</v>
      </c>
      <c r="J35" s="16">
        <f>Levels!J36/Levels!J35-1-Levels!$Y35</f>
        <v>1.8932168725741993E-2</v>
      </c>
      <c r="K35" s="16">
        <f>Levels!K36/Levels!K35-1-Levels!$Y35</f>
        <v>8.5605002608031278E-3</v>
      </c>
      <c r="L35" s="16" t="e">
        <f>Levels!L36/Levels!L35-1-Levels!$Y35</f>
        <v>#N/A</v>
      </c>
      <c r="M35" s="16">
        <f>Levels!M36/Levels!M35-1-Levels!$Y35</f>
        <v>-5.6346848968258367E-3</v>
      </c>
      <c r="N35" s="16">
        <f>Levels!N36/Levels!N35-1-Levels!$Y35</f>
        <v>1.154891685846593E-3</v>
      </c>
      <c r="O35" s="16">
        <f>Levels!O36/Levels!O35-1-Levels!$Y35</f>
        <v>-1.0062700535219626E-2</v>
      </c>
      <c r="P35" s="16">
        <f>Levels!P36/Levels!P35-1-Levels!$Y35</f>
        <v>4.8778595076355291E-3</v>
      </c>
      <c r="Q35" s="16">
        <f>Levels!Q36/Levels!Q35-1-Levels!$Y35</f>
        <v>6.4669307819191779E-3</v>
      </c>
      <c r="R35" s="16" t="e">
        <f>Levels!R36/Levels!R35-1-Levels!$Y35</f>
        <v>#N/A</v>
      </c>
      <c r="S35" s="16" t="e">
        <f>Levels!S36/Levels!S35-1-Levels!$Y35</f>
        <v>#N/A</v>
      </c>
      <c r="T35" s="16">
        <f>Levels!T36/Levels!T35-1-Levels!$Y35</f>
        <v>3.7529558021103249E-3</v>
      </c>
      <c r="U35" s="16">
        <f>(Levels!U36/Levels!U35-1-Levels!$Y35)*$Y$2</f>
        <v>-3.839985412021951E-3</v>
      </c>
      <c r="V35" s="16">
        <f>(Levels!V36/Levels!V35-1-Levels!$Y35)</f>
        <v>-9.8739740213448224E-3</v>
      </c>
    </row>
    <row r="36" spans="1:22" x14ac:dyDescent="0.35">
      <c r="A36" s="23">
        <v>40574</v>
      </c>
      <c r="B36" s="16">
        <f>Levels!B37/Levels!B36-1-Levels!$Y36</f>
        <v>2.85979230241451E-3</v>
      </c>
      <c r="C36" s="16">
        <f>Levels!C37/Levels!C36-1-Levels!$Y36</f>
        <v>-2.1754469704284962E-2</v>
      </c>
      <c r="D36" s="16">
        <f>Levels!D37/Levels!D36-1-Levels!$Y36</f>
        <v>-7.4638073509956104E-3</v>
      </c>
      <c r="E36" s="16">
        <f>Levels!E37/Levels!E36-1-Levels!$Y36</f>
        <v>-6.7359124266783699E-3</v>
      </c>
      <c r="F36" s="16">
        <f>Levels!F37/Levels!F36-1-Levels!$Y36</f>
        <v>4.1049037782636688E-4</v>
      </c>
      <c r="G36" s="16">
        <f>Levels!G37/Levels!G36-1-Levels!$Y36</f>
        <v>4.3949287500177903E-4</v>
      </c>
      <c r="H36" s="16">
        <f>Levels!H37/Levels!H36-1-Levels!$Y36</f>
        <v>2.4852249168922924E-3</v>
      </c>
      <c r="I36" s="16">
        <f>Levels!I37/Levels!I36-1-Levels!$Y36</f>
        <v>5.6958929645360978E-3</v>
      </c>
      <c r="J36" s="16">
        <f>Levels!J37/Levels!J36-1-Levels!$Y36</f>
        <v>2.1014115485799012E-2</v>
      </c>
      <c r="K36" s="16">
        <f>Levels!K37/Levels!K36-1-Levels!$Y36</f>
        <v>3.1290234441964326E-2</v>
      </c>
      <c r="L36" s="16" t="e">
        <f>Levels!L37/Levels!L36-1-Levels!$Y36</f>
        <v>#N/A</v>
      </c>
      <c r="M36" s="16">
        <f>Levels!M37/Levels!M36-1-Levels!$Y36</f>
        <v>4.1103763915550928E-4</v>
      </c>
      <c r="N36" s="16">
        <f>Levels!N37/Levels!N36-1-Levels!$Y36</f>
        <v>1.870206950290898E-2</v>
      </c>
      <c r="O36" s="16">
        <f>Levels!O37/Levels!O36-1-Levels!$Y36</f>
        <v>6.3723984075567675E-3</v>
      </c>
      <c r="P36" s="16">
        <f>Levels!P37/Levels!P36-1-Levels!$Y36</f>
        <v>2.0322675529225176E-3</v>
      </c>
      <c r="Q36" s="16">
        <f>Levels!Q37/Levels!Q36-1-Levels!$Y36</f>
        <v>3.7093238206395984E-3</v>
      </c>
      <c r="R36" s="16" t="e">
        <f>Levels!R37/Levels!R36-1-Levels!$Y36</f>
        <v>#N/A</v>
      </c>
      <c r="S36" s="16" t="e">
        <f>Levels!S37/Levels!S36-1-Levels!$Y36</f>
        <v>#N/A</v>
      </c>
      <c r="T36" s="16">
        <f>Levels!T37/Levels!T36-1-Levels!$Y36</f>
        <v>2.0265387643280119E-2</v>
      </c>
      <c r="U36" s="16">
        <f>(Levels!U37/Levels!U36-1-Levels!$Y36)*$Y$2</f>
        <v>6.4694271557443353E-2</v>
      </c>
      <c r="V36" s="16">
        <f>(Levels!V37/Levels!V36-1-Levels!$Y36)</f>
        <v>1.8619588979824409E-2</v>
      </c>
    </row>
    <row r="37" spans="1:22" x14ac:dyDescent="0.35">
      <c r="A37" s="23">
        <v>40602</v>
      </c>
      <c r="B37" s="16">
        <f>Levels!B38/Levels!B37-1-Levels!$Y37</f>
        <v>-2.7190748358904004E-3</v>
      </c>
      <c r="C37" s="16">
        <f>Levels!C38/Levels!C37-1-Levels!$Y37</f>
        <v>1.1556898937248317E-2</v>
      </c>
      <c r="D37" s="16">
        <f>Levels!D38/Levels!D37-1-Levels!$Y37</f>
        <v>1.5788519277207369E-2</v>
      </c>
      <c r="E37" s="16">
        <f>Levels!E38/Levels!E37-1-Levels!$Y37</f>
        <v>6.1700232478556494E-4</v>
      </c>
      <c r="F37" s="16">
        <f>Levels!F38/Levels!F37-1-Levels!$Y37</f>
        <v>6.9801823762238868E-4</v>
      </c>
      <c r="G37" s="16">
        <f>Levels!G38/Levels!G37-1-Levels!$Y37</f>
        <v>6.6504134359299805E-3</v>
      </c>
      <c r="H37" s="16">
        <f>Levels!H38/Levels!H37-1-Levels!$Y37</f>
        <v>9.2694556899439728E-3</v>
      </c>
      <c r="I37" s="16">
        <f>Levels!I38/Levels!I37-1-Levels!$Y37</f>
        <v>7.88576676311048E-3</v>
      </c>
      <c r="J37" s="16">
        <f>Levels!J38/Levels!J37-1-Levels!$Y37</f>
        <v>1.2568420436806171E-2</v>
      </c>
      <c r="K37" s="16">
        <f>Levels!K38/Levels!K37-1-Levels!$Y37</f>
        <v>1.7444600114959075E-2</v>
      </c>
      <c r="L37" s="16" t="e">
        <f>Levels!L38/Levels!L37-1-Levels!$Y37</f>
        <v>#N/A</v>
      </c>
      <c r="M37" s="16">
        <f>Levels!M38/Levels!M37-1-Levels!$Y37</f>
        <v>2.3858462569550376E-3</v>
      </c>
      <c r="N37" s="16">
        <f>Levels!N38/Levels!N37-1-Levels!$Y37</f>
        <v>7.7925631207627077E-3</v>
      </c>
      <c r="O37" s="16">
        <f>Levels!O38/Levels!O37-1-Levels!$Y37</f>
        <v>-2.6182542625641236E-4</v>
      </c>
      <c r="P37" s="16">
        <f>Levels!P38/Levels!P37-1-Levels!$Y37</f>
        <v>8.6585508372039044E-6</v>
      </c>
      <c r="Q37" s="16">
        <f>Levels!Q38/Levels!Q37-1-Levels!$Y37</f>
        <v>1.7297255218700069E-3</v>
      </c>
      <c r="R37" s="16" t="e">
        <f>Levels!R38/Levels!R37-1-Levels!$Y37</f>
        <v>#N/A</v>
      </c>
      <c r="S37" s="16" t="e">
        <f>Levels!S38/Levels!S37-1-Levels!$Y37</f>
        <v>#N/A</v>
      </c>
      <c r="T37" s="16">
        <f>Levels!T38/Levels!T37-1-Levels!$Y37</f>
        <v>8.8139910634581486E-3</v>
      </c>
      <c r="U37" s="16">
        <f>(Levels!U38/Levels!U37-1-Levels!$Y37)*$Y$2</f>
        <v>2.9141498982318392E-2</v>
      </c>
      <c r="V37" s="16">
        <f>(Levels!V38/Levels!V37-1-Levels!$Y37)</f>
        <v>-4.20320354198086E-2</v>
      </c>
    </row>
    <row r="38" spans="1:22" x14ac:dyDescent="0.35">
      <c r="A38" s="23">
        <v>40633</v>
      </c>
      <c r="B38" s="16">
        <f>Levels!B39/Levels!B38-1-Levels!$Y38</f>
        <v>-8.3429522172873138E-4</v>
      </c>
      <c r="C38" s="16">
        <f>Levels!C39/Levels!C38-1-Levels!$Y38</f>
        <v>-2.3435742773303403E-5</v>
      </c>
      <c r="D38" s="16">
        <f>Levels!D39/Levels!D38-1-Levels!$Y38</f>
        <v>-3.4411254153995374E-3</v>
      </c>
      <c r="E38" s="16">
        <f>Levels!E39/Levels!E38-1-Levels!$Y38</f>
        <v>-1.1142259211301964E-3</v>
      </c>
      <c r="F38" s="16">
        <f>Levels!F39/Levels!F38-1-Levels!$Y38</f>
        <v>8.7696712440177294E-4</v>
      </c>
      <c r="G38" s="16">
        <f>Levels!G39/Levels!G38-1-Levels!$Y38</f>
        <v>-1.7355367013460743E-3</v>
      </c>
      <c r="H38" s="16">
        <f>Levels!H39/Levels!H38-1-Levels!$Y38</f>
        <v>-1.9076175544753271E-3</v>
      </c>
      <c r="I38" s="16">
        <f>Levels!I39/Levels!I38-1-Levels!$Y38</f>
        <v>3.3430287181168694E-4</v>
      </c>
      <c r="J38" s="16">
        <f>Levels!J39/Levels!J38-1-Levels!$Y38</f>
        <v>3.1056332139758336E-3</v>
      </c>
      <c r="K38" s="16">
        <f>Levels!K39/Levels!K38-1-Levels!$Y38</f>
        <v>3.2622199833340915E-3</v>
      </c>
      <c r="L38" s="16" t="e">
        <f>Levels!L39/Levels!L38-1-Levels!$Y38</f>
        <v>#N/A</v>
      </c>
      <c r="M38" s="16">
        <f>Levels!M39/Levels!M38-1-Levels!$Y38</f>
        <v>2.6706433979095667E-3</v>
      </c>
      <c r="N38" s="16">
        <f>Levels!N39/Levels!N38-1-Levels!$Y38</f>
        <v>-6.3559311309077104E-3</v>
      </c>
      <c r="O38" s="16">
        <f>Levels!O39/Levels!O38-1-Levels!$Y38</f>
        <v>-8.2359365257689277E-5</v>
      </c>
      <c r="P38" s="16">
        <f>Levels!P39/Levels!P38-1-Levels!$Y38</f>
        <v>-1.4307716586516861E-3</v>
      </c>
      <c r="Q38" s="16">
        <f>Levels!Q39/Levels!Q38-1-Levels!$Y38</f>
        <v>-9.3039628859648005E-5</v>
      </c>
      <c r="R38" s="16" t="e">
        <f>Levels!R39/Levels!R38-1-Levels!$Y38</f>
        <v>#N/A</v>
      </c>
      <c r="S38" s="16" t="e">
        <f>Levels!S39/Levels!S38-1-Levels!$Y38</f>
        <v>#N/A</v>
      </c>
      <c r="T38" s="16">
        <f>Levels!T39/Levels!T38-1-Levels!$Y38</f>
        <v>-5.5341199437936028E-3</v>
      </c>
      <c r="U38" s="16">
        <f>(Levels!U39/Levels!U38-1-Levels!$Y38)*$Y$2</f>
        <v>3.0786531576311213E-2</v>
      </c>
      <c r="V38" s="16">
        <f>(Levels!V39/Levels!V38-1-Levels!$Y38)</f>
        <v>1.3033000663038585E-3</v>
      </c>
    </row>
    <row r="39" spans="1:22" x14ac:dyDescent="0.35">
      <c r="A39" s="23">
        <v>40663</v>
      </c>
      <c r="B39" s="16">
        <f>Levels!B40/Levels!B39-1-Levels!$Y39</f>
        <v>1.0363497047019221E-2</v>
      </c>
      <c r="C39" s="16">
        <f>Levels!C40/Levels!C39-1-Levels!$Y39</f>
        <v>1.8617724773042799E-2</v>
      </c>
      <c r="D39" s="16">
        <f>Levels!D40/Levels!D39-1-Levels!$Y39</f>
        <v>1.7829559349432422E-2</v>
      </c>
      <c r="E39" s="16">
        <f>Levels!E40/Levels!E39-1-Levels!$Y39</f>
        <v>6.9495101165057971E-3</v>
      </c>
      <c r="F39" s="16">
        <f>Levels!F40/Levels!F39-1-Levels!$Y39</f>
        <v>1.1011134628517993E-2</v>
      </c>
      <c r="G39" s="16">
        <f>Levels!G40/Levels!G39-1-Levels!$Y39</f>
        <v>1.6964083785059092E-2</v>
      </c>
      <c r="H39" s="16">
        <f>Levels!H40/Levels!H39-1-Levels!$Y39</f>
        <v>1.7864092500371243E-2</v>
      </c>
      <c r="I39" s="16">
        <f>Levels!I40/Levels!I39-1-Levels!$Y39</f>
        <v>1.8512725999936475E-2</v>
      </c>
      <c r="J39" s="16">
        <f>Levels!J40/Levels!J39-1-Levels!$Y39</f>
        <v>1.4487224431372514E-2</v>
      </c>
      <c r="K39" s="16">
        <f>Levels!K40/Levels!K39-1-Levels!$Y39</f>
        <v>2.5706014120513876E-2</v>
      </c>
      <c r="L39" s="16" t="e">
        <f>Levels!L40/Levels!L39-1-Levels!$Y39</f>
        <v>#N/A</v>
      </c>
      <c r="M39" s="16">
        <f>Levels!M40/Levels!M39-1-Levels!$Y39</f>
        <v>1.0895787278486724E-2</v>
      </c>
      <c r="N39" s="16">
        <f>Levels!N40/Levels!N39-1-Levels!$Y39</f>
        <v>2.3500001131281145E-2</v>
      </c>
      <c r="O39" s="16">
        <f>Levels!O40/Levels!O39-1-Levels!$Y39</f>
        <v>9.4037802909605617E-3</v>
      </c>
      <c r="P39" s="16">
        <f>Levels!P40/Levels!P39-1-Levels!$Y39</f>
        <v>1.6388013295329795E-3</v>
      </c>
      <c r="Q39" s="16">
        <f>Levels!Q40/Levels!Q39-1-Levels!$Y39</f>
        <v>2.0225110441554062E-3</v>
      </c>
      <c r="R39" s="16" t="e">
        <f>Levels!R40/Levels!R39-1-Levels!$Y39</f>
        <v>#N/A</v>
      </c>
      <c r="S39" s="16" t="e">
        <f>Levels!S40/Levels!S39-1-Levels!$Y39</f>
        <v>#N/A</v>
      </c>
      <c r="T39" s="16">
        <f>Levels!T40/Levels!T39-1-Levels!$Y39</f>
        <v>2.3270021257361106E-2</v>
      </c>
      <c r="U39" s="16">
        <f>(Levels!U40/Levels!U39-1-Levels!$Y39)*$Y$2</f>
        <v>-2.3656002309315704E-2</v>
      </c>
      <c r="V39" s="16">
        <f>(Levels!V40/Levels!V39-1-Levels!$Y39)</f>
        <v>3.2010534227102205E-2</v>
      </c>
    </row>
    <row r="40" spans="1:22" x14ac:dyDescent="0.35">
      <c r="A40" s="23">
        <v>40694</v>
      </c>
      <c r="B40" s="16">
        <f>Levels!B41/Levels!B40-1-Levels!$Y40</f>
        <v>1.2584002129722993E-2</v>
      </c>
      <c r="C40" s="16">
        <f>Levels!C41/Levels!C40-1-Levels!$Y40</f>
        <v>3.4568563731516733E-2</v>
      </c>
      <c r="D40" s="16">
        <f>Levels!D41/Levels!D40-1-Levels!$Y40</f>
        <v>1.7056801335055605E-2</v>
      </c>
      <c r="E40" s="16">
        <f>Levels!E41/Levels!E40-1-Levels!$Y40</f>
        <v>9.4072194666627862E-3</v>
      </c>
      <c r="F40" s="16">
        <f>Levels!F41/Levels!F40-1-Levels!$Y40</f>
        <v>1.2423102539450337E-2</v>
      </c>
      <c r="G40" s="16">
        <f>Levels!G41/Levels!G40-1-Levels!$Y40</f>
        <v>1.4534258172121062E-2</v>
      </c>
      <c r="H40" s="16">
        <f>Levels!H41/Levels!H40-1-Levels!$Y40</f>
        <v>1.4350026589190712E-2</v>
      </c>
      <c r="I40" s="16">
        <f>Levels!I41/Levels!I40-1-Levels!$Y40</f>
        <v>1.5977565091592094E-2</v>
      </c>
      <c r="J40" s="16">
        <f>Levels!J41/Levels!J40-1-Levels!$Y40</f>
        <v>3.8127896579509546E-3</v>
      </c>
      <c r="K40" s="16">
        <f>Levels!K41/Levels!K40-1-Levels!$Y40</f>
        <v>1.7015567779264718E-2</v>
      </c>
      <c r="L40" s="16" t="e">
        <f>Levels!L41/Levels!L40-1-Levels!$Y40</f>
        <v>#N/A</v>
      </c>
      <c r="M40" s="16">
        <f>Levels!M41/Levels!M40-1-Levels!$Y40</f>
        <v>1.0706959970717245E-2</v>
      </c>
      <c r="N40" s="16">
        <f>Levels!N41/Levels!N40-1-Levels!$Y40</f>
        <v>3.0107186189134438E-3</v>
      </c>
      <c r="O40" s="16">
        <f>Levels!O41/Levels!O40-1-Levels!$Y40</f>
        <v>7.8668231363361318E-3</v>
      </c>
      <c r="P40" s="16">
        <f>Levels!P41/Levels!P40-1-Levels!$Y40</f>
        <v>5.7597990822817469E-3</v>
      </c>
      <c r="Q40" s="16">
        <f>Levels!Q41/Levels!Q40-1-Levels!$Y40</f>
        <v>6.287962481226872E-3</v>
      </c>
      <c r="R40" s="16" t="e">
        <f>Levels!R41/Levels!R40-1-Levels!$Y40</f>
        <v>#N/A</v>
      </c>
      <c r="S40" s="16" t="e">
        <f>Levels!S41/Levels!S40-1-Levels!$Y40</f>
        <v>#N/A</v>
      </c>
      <c r="T40" s="16">
        <f>Levels!T41/Levels!T40-1-Levels!$Y40</f>
        <v>4.0446219008993811E-3</v>
      </c>
      <c r="U40" s="16">
        <f>(Levels!U41/Levels!U40-1-Levels!$Y40)*$Y$2</f>
        <v>-2.9563566858320775E-2</v>
      </c>
      <c r="V40" s="16">
        <f>(Levels!V41/Levels!V40-1-Levels!$Y40)</f>
        <v>-3.7112170124726451E-2</v>
      </c>
    </row>
    <row r="41" spans="1:22" x14ac:dyDescent="0.35">
      <c r="A41" s="23">
        <v>40724</v>
      </c>
      <c r="B41" s="16">
        <f>Levels!B42/Levels!B41-1-Levels!$Y41</f>
        <v>-8.6192051677669301E-4</v>
      </c>
      <c r="C41" s="16">
        <f>Levels!C42/Levels!C41-1-Levels!$Y41</f>
        <v>-1.9310984548965404E-2</v>
      </c>
      <c r="D41" s="16">
        <f>Levels!D42/Levels!D41-1-Levels!$Y41</f>
        <v>3.4410113079597071E-3</v>
      </c>
      <c r="E41" s="16">
        <f>Levels!E42/Levels!E41-1-Levels!$Y41</f>
        <v>-1.7455145230131919E-3</v>
      </c>
      <c r="F41" s="16">
        <f>Levels!F42/Levels!F41-1-Levels!$Y41</f>
        <v>-1.3105117817877598E-3</v>
      </c>
      <c r="G41" s="16">
        <f>Levels!G42/Levels!G41-1-Levels!$Y41</f>
        <v>-7.1579772132359665E-3</v>
      </c>
      <c r="H41" s="16">
        <f>Levels!H42/Levels!H41-1-Levels!$Y41</f>
        <v>-9.0073487799597896E-3</v>
      </c>
      <c r="I41" s="16">
        <f>Levels!I42/Levels!I41-1-Levels!$Y41</f>
        <v>-8.3143515728665296E-3</v>
      </c>
      <c r="J41" s="16">
        <f>Levels!J42/Levels!J41-1-Levels!$Y41</f>
        <v>-9.3843139676638154E-3</v>
      </c>
      <c r="K41" s="16">
        <f>Levels!K42/Levels!K41-1-Levels!$Y41</f>
        <v>-1.4332009245451305E-2</v>
      </c>
      <c r="L41" s="16" t="e">
        <f>Levels!L42/Levels!L41-1-Levels!$Y41</f>
        <v>#N/A</v>
      </c>
      <c r="M41" s="16">
        <f>Levels!M42/Levels!M41-1-Levels!$Y41</f>
        <v>8.9486718878251104E-4</v>
      </c>
      <c r="N41" s="16">
        <f>Levels!N42/Levels!N41-1-Levels!$Y41</f>
        <v>-1.0158776948408388E-2</v>
      </c>
      <c r="O41" s="16">
        <f>Levels!O42/Levels!O41-1-Levels!$Y41</f>
        <v>1.9551665317130151E-4</v>
      </c>
      <c r="P41" s="16">
        <f>Levels!P42/Levels!P41-1-Levels!$Y41</f>
        <v>5.4976012453640255E-3</v>
      </c>
      <c r="Q41" s="16">
        <f>Levels!Q42/Levels!Q41-1-Levels!$Y41</f>
        <v>6.6674682769602978E-3</v>
      </c>
      <c r="R41" s="16" t="e">
        <f>Levels!R42/Levels!R41-1-Levels!$Y41</f>
        <v>#N/A</v>
      </c>
      <c r="S41" s="16" t="e">
        <f>Levels!S42/Levels!S41-1-Levels!$Y41</f>
        <v>#N/A</v>
      </c>
      <c r="T41" s="16">
        <f>Levels!T42/Levels!T41-1-Levels!$Y41</f>
        <v>-9.9808861161206908E-3</v>
      </c>
      <c r="U41" s="16">
        <f>(Levels!U42/Levels!U41-1-Levels!$Y41)*$Y$2</f>
        <v>-4.4136311113952643E-2</v>
      </c>
      <c r="V41" s="16">
        <f>(Levels!V42/Levels!V41-1-Levels!$Y41)</f>
        <v>1.4887735472729258E-2</v>
      </c>
    </row>
    <row r="42" spans="1:22" x14ac:dyDescent="0.35">
      <c r="A42" s="23">
        <v>40755</v>
      </c>
      <c r="B42" s="16">
        <f>Levels!B43/Levels!B42-1-Levels!$Y42</f>
        <v>1.4229983326388362E-2</v>
      </c>
      <c r="C42" s="16">
        <f>Levels!C43/Levels!C42-1-Levels!$Y42</f>
        <v>4.309746000653436E-2</v>
      </c>
      <c r="D42" s="16">
        <f>Levels!D43/Levels!D42-1-Levels!$Y42</f>
        <v>1.0190849977388616E-2</v>
      </c>
      <c r="E42" s="16">
        <f>Levels!E43/Levels!E42-1-Levels!$Y42</f>
        <v>1.0315858208825635E-2</v>
      </c>
      <c r="F42" s="16">
        <f>Levels!F43/Levels!F42-1-Levels!$Y42</f>
        <v>1.3244505981317545E-2</v>
      </c>
      <c r="G42" s="16">
        <f>Levels!G43/Levels!G42-1-Levels!$Y42</f>
        <v>1.9694533321585439E-2</v>
      </c>
      <c r="H42" s="16">
        <f>Levels!H43/Levels!H42-1-Levels!$Y42</f>
        <v>2.4409054445817091E-2</v>
      </c>
      <c r="I42" s="16">
        <f>Levels!I43/Levels!I42-1-Levels!$Y42</f>
        <v>2.7076094557832553E-2</v>
      </c>
      <c r="J42" s="16">
        <f>Levels!J43/Levels!J42-1-Levels!$Y42</f>
        <v>1.1412539520885723E-2</v>
      </c>
      <c r="K42" s="16">
        <f>Levels!K43/Levels!K42-1-Levels!$Y42</f>
        <v>1.3670175550696939E-2</v>
      </c>
      <c r="L42" s="16" t="e">
        <f>Levels!L43/Levels!L42-1-Levels!$Y42</f>
        <v>#N/A</v>
      </c>
      <c r="M42" s="16">
        <f>Levels!M43/Levels!M42-1-Levels!$Y42</f>
        <v>9.2823419974044086E-3</v>
      </c>
      <c r="N42" s="16">
        <f>Levels!N43/Levels!N42-1-Levels!$Y42</f>
        <v>8.8319453037370987E-3</v>
      </c>
      <c r="O42" s="16">
        <f>Levels!O43/Levels!O42-1-Levels!$Y42</f>
        <v>1.1390124471805319E-2</v>
      </c>
      <c r="P42" s="16">
        <f>Levels!P43/Levels!P42-1-Levels!$Y42</f>
        <v>9.1906350993871122E-3</v>
      </c>
      <c r="Q42" s="16">
        <f>Levels!Q43/Levels!Q42-1-Levels!$Y42</f>
        <v>1.028788225179289E-2</v>
      </c>
      <c r="R42" s="16" t="e">
        <f>Levels!R43/Levels!R42-1-Levels!$Y42</f>
        <v>#N/A</v>
      </c>
      <c r="S42" s="16" t="e">
        <f>Levels!S43/Levels!S42-1-Levels!$Y42</f>
        <v>#N/A</v>
      </c>
      <c r="T42" s="16">
        <f>Levels!T43/Levels!T42-1-Levels!$Y42</f>
        <v>8.9610998958362664E-3</v>
      </c>
      <c r="U42" s="16">
        <f>(Levels!U43/Levels!U42-1-Levels!$Y42)*$Y$2</f>
        <v>-0.10573749373065201</v>
      </c>
      <c r="V42" s="16">
        <f>(Levels!V43/Levels!V42-1-Levels!$Y42)</f>
        <v>-6.7923095975640058E-2</v>
      </c>
    </row>
    <row r="43" spans="1:22" x14ac:dyDescent="0.35">
      <c r="A43" s="23">
        <v>40786</v>
      </c>
      <c r="B43" s="16">
        <f>Levels!B44/Levels!B43-1-Levels!$Y43</f>
        <v>1.7581365554037776E-2</v>
      </c>
      <c r="C43" s="16">
        <f>Levels!C44/Levels!C43-1-Levels!$Y43</f>
        <v>8.8066246590072117E-2</v>
      </c>
      <c r="D43" s="16">
        <f>Levels!D44/Levels!D43-1-Levels!$Y43</f>
        <v>1.702966777718995E-2</v>
      </c>
      <c r="E43" s="16">
        <f>Levels!E44/Levels!E43-1-Levels!$Y43</f>
        <v>1.9662816949566952E-2</v>
      </c>
      <c r="F43" s="16">
        <f>Levels!F44/Levels!F43-1-Levels!$Y43</f>
        <v>1.8787131392479672E-2</v>
      </c>
      <c r="G43" s="16">
        <f>Levels!G44/Levels!G43-1-Levels!$Y43</f>
        <v>6.9521657448732288E-3</v>
      </c>
      <c r="H43" s="16">
        <f>Levels!H44/Levels!H43-1-Levels!$Y43</f>
        <v>2.8845977031033421E-4</v>
      </c>
      <c r="I43" s="16">
        <f>Levels!I44/Levels!I43-1-Levels!$Y43</f>
        <v>-1.7617563027289007E-3</v>
      </c>
      <c r="J43" s="16">
        <f>Levels!J44/Levels!J43-1-Levels!$Y43</f>
        <v>-3.9822616232817465E-2</v>
      </c>
      <c r="K43" s="16">
        <f>Levels!K44/Levels!K43-1-Levels!$Y43</f>
        <v>-4.3659498108380435E-2</v>
      </c>
      <c r="L43" s="16" t="e">
        <f>Levels!L44/Levels!L43-1-Levels!$Y43</f>
        <v>#N/A</v>
      </c>
      <c r="M43" s="16">
        <f>Levels!M44/Levels!M43-1-Levels!$Y43</f>
        <v>1.2375361514961547E-2</v>
      </c>
      <c r="N43" s="16">
        <f>Levels!N44/Levels!N43-1-Levels!$Y43</f>
        <v>-1.7479947254652406E-2</v>
      </c>
      <c r="O43" s="16">
        <f>Levels!O44/Levels!O43-1-Levels!$Y43</f>
        <v>9.4331573772978849E-3</v>
      </c>
      <c r="P43" s="16">
        <f>Levels!P44/Levels!P43-1-Levels!$Y43</f>
        <v>7.5812080728430153E-3</v>
      </c>
      <c r="Q43" s="16">
        <f>Levels!Q44/Levels!Q43-1-Levels!$Y43</f>
        <v>8.5326507683947117E-3</v>
      </c>
      <c r="R43" s="16" t="e">
        <f>Levels!R44/Levels!R43-1-Levels!$Y43</f>
        <v>#N/A</v>
      </c>
      <c r="S43" s="16" t="e">
        <f>Levels!S44/Levels!S43-1-Levels!$Y43</f>
        <v>#N/A</v>
      </c>
      <c r="T43" s="16">
        <f>Levels!T44/Levels!T43-1-Levels!$Y43</f>
        <v>-1.8008863546623122E-2</v>
      </c>
      <c r="U43" s="16">
        <f>(Levels!U44/Levels!U43-1-Levels!$Y43)*$Y$2</f>
        <v>-0.13655328176974896</v>
      </c>
      <c r="V43" s="16">
        <f>(Levels!V44/Levels!V43-1-Levels!$Y43)</f>
        <v>-6.3451426351229578E-2</v>
      </c>
    </row>
    <row r="44" spans="1:22" x14ac:dyDescent="0.35">
      <c r="A44" s="23">
        <v>40816</v>
      </c>
      <c r="B44" s="16">
        <f>Levels!B45/Levels!B44-1-Levels!$Y44</f>
        <v>3.0956426260915215E-3</v>
      </c>
      <c r="C44" s="16">
        <f>Levels!C45/Levels!C44-1-Levels!$Y44</f>
        <v>9.8286357524723478E-2</v>
      </c>
      <c r="D44" s="16">
        <f>Levels!D45/Levels!D44-1-Levels!$Y44</f>
        <v>1.0334824893326156E-2</v>
      </c>
      <c r="E44" s="16">
        <f>Levels!E45/Levels!E44-1-Levels!$Y44</f>
        <v>8.3306511740521838E-3</v>
      </c>
      <c r="F44" s="16">
        <f>Levels!F45/Levels!F44-1-Levels!$Y44</f>
        <v>9.0364466427950152E-3</v>
      </c>
      <c r="G44" s="16">
        <f>Levels!G45/Levels!G44-1-Levels!$Y44</f>
        <v>5.8523201167413053E-3</v>
      </c>
      <c r="H44" s="16">
        <f>Levels!H45/Levels!H44-1-Levels!$Y44</f>
        <v>3.6554164337267991E-3</v>
      </c>
      <c r="I44" s="16">
        <f>Levels!I45/Levels!I44-1-Levels!$Y44</f>
        <v>-3.0354579555668115E-3</v>
      </c>
      <c r="J44" s="16">
        <f>Levels!J45/Levels!J44-1-Levels!$Y44</f>
        <v>-3.2726242439773068E-2</v>
      </c>
      <c r="K44" s="16">
        <f>Levels!K45/Levels!K44-1-Levels!$Y44</f>
        <v>-3.2345578323800361E-2</v>
      </c>
      <c r="L44" s="16" t="e">
        <f>Levels!L45/Levels!L44-1-Levels!$Y44</f>
        <v>#N/A</v>
      </c>
      <c r="M44" s="16">
        <f>Levels!M45/Levels!M44-1-Levels!$Y44</f>
        <v>1.6960371880481162E-3</v>
      </c>
      <c r="N44" s="16">
        <f>Levels!N45/Levels!N44-1-Levels!$Y44</f>
        <v>1.2367233361998409E-4</v>
      </c>
      <c r="O44" s="16">
        <f>Levels!O45/Levels!O44-1-Levels!$Y44</f>
        <v>3.1187999920530007E-3</v>
      </c>
      <c r="P44" s="16">
        <f>Levels!P45/Levels!P44-1-Levels!$Y44</f>
        <v>8.5042686366127995E-3</v>
      </c>
      <c r="Q44" s="16">
        <f>Levels!Q45/Levels!Q44-1-Levels!$Y44</f>
        <v>7.9392267326461319E-3</v>
      </c>
      <c r="R44" s="16" t="e">
        <f>Levels!R45/Levels!R44-1-Levels!$Y44</f>
        <v>#N/A</v>
      </c>
      <c r="S44" s="16" t="e">
        <f>Levels!S45/Levels!S44-1-Levels!$Y44</f>
        <v>#N/A</v>
      </c>
      <c r="T44" s="16">
        <f>Levels!T45/Levels!T44-1-Levels!$Y44</f>
        <v>8.4295583050297829E-4</v>
      </c>
      <c r="U44" s="16">
        <f>(Levels!U45/Levels!U44-1-Levels!$Y44)*$Y$2</f>
        <v>0.18050115874769324</v>
      </c>
      <c r="V44" s="16">
        <f>(Levels!V45/Levels!V44-1-Levels!$Y44)</f>
        <v>8.1336624939217783E-2</v>
      </c>
    </row>
    <row r="45" spans="1:22" x14ac:dyDescent="0.35">
      <c r="A45" s="23">
        <v>40847</v>
      </c>
      <c r="B45" s="16">
        <f>Levels!B46/Levels!B45-1-Levels!$Y45</f>
        <v>-2.3041101035533584E-3</v>
      </c>
      <c r="C45" s="16">
        <f>Levels!C46/Levels!C45-1-Levels!$Y45</f>
        <v>-3.8214852141313926E-2</v>
      </c>
      <c r="D45" s="16">
        <f>Levels!D46/Levels!D45-1-Levels!$Y45</f>
        <v>-3.7450643315923848E-3</v>
      </c>
      <c r="E45" s="16">
        <f>Levels!E46/Levels!E45-1-Levels!$Y45</f>
        <v>-6.0341022218233231E-3</v>
      </c>
      <c r="F45" s="16">
        <f>Levels!F46/Levels!F45-1-Levels!$Y45</f>
        <v>-3.7148936691981937E-3</v>
      </c>
      <c r="G45" s="16">
        <f>Levels!G46/Levels!G45-1-Levels!$Y45</f>
        <v>5.0887014673379749E-3</v>
      </c>
      <c r="H45" s="16">
        <f>Levels!H46/Levels!H45-1-Levels!$Y45</f>
        <v>1.5749000706175575E-2</v>
      </c>
      <c r="I45" s="16">
        <f>Levels!I46/Levels!I45-1-Levels!$Y45</f>
        <v>2.2506139404855574E-2</v>
      </c>
      <c r="J45" s="16">
        <f>Levels!J46/Levels!J45-1-Levels!$Y45</f>
        <v>6.0917476532082793E-2</v>
      </c>
      <c r="K45" s="16">
        <f>Levels!K46/Levels!K45-1-Levels!$Y45</f>
        <v>4.6703819969179161E-2</v>
      </c>
      <c r="L45" s="16" t="e">
        <f>Levels!L46/Levels!L45-1-Levels!$Y45</f>
        <v>#N/A</v>
      </c>
      <c r="M45" s="16">
        <f>Levels!M46/Levels!M45-1-Levels!$Y45</f>
        <v>-4.6647895437068598E-5</v>
      </c>
      <c r="N45" s="16">
        <f>Levels!N46/Levels!N45-1-Levels!$Y45</f>
        <v>1.4281279160399452E-2</v>
      </c>
      <c r="O45" s="16">
        <f>Levels!O46/Levels!O45-1-Levels!$Y45</f>
        <v>-9.3870487636227296E-4</v>
      </c>
      <c r="P45" s="16">
        <f>Levels!P46/Levels!P45-1-Levels!$Y45</f>
        <v>8.2078134578169593E-3</v>
      </c>
      <c r="Q45" s="16">
        <f>Levels!Q46/Levels!Q45-1-Levels!$Y45</f>
        <v>8.6768017803162678E-3</v>
      </c>
      <c r="R45" s="16" t="e">
        <f>Levels!R46/Levels!R45-1-Levels!$Y45</f>
        <v>#N/A</v>
      </c>
      <c r="S45" s="16" t="e">
        <f>Levels!S46/Levels!S45-1-Levels!$Y45</f>
        <v>#N/A</v>
      </c>
      <c r="T45" s="16">
        <f>Levels!T46/Levels!T45-1-Levels!$Y45</f>
        <v>1.3277189568778436E-2</v>
      </c>
      <c r="U45" s="16">
        <f>(Levels!U46/Levels!U45-1-Levels!$Y45)*$Y$2</f>
        <v>-5.9172571498963041E-3</v>
      </c>
      <c r="V45" s="16">
        <f>(Levels!V46/Levels!V45-1-Levels!$Y45)</f>
        <v>-2.4729389648240674E-2</v>
      </c>
    </row>
    <row r="46" spans="1:22" x14ac:dyDescent="0.35">
      <c r="A46" s="23">
        <v>40877</v>
      </c>
      <c r="B46" s="16">
        <f>Levels!B47/Levels!B46-1-Levels!$Y46</f>
        <v>3.7425459744088174E-3</v>
      </c>
      <c r="C46" s="16">
        <f>Levels!C47/Levels!C46-1-Levels!$Y46</f>
        <v>2.7207621472430943E-2</v>
      </c>
      <c r="D46" s="16">
        <f>Levels!D47/Levels!D46-1-Levels!$Y46</f>
        <v>5.9281398710914202E-3</v>
      </c>
      <c r="E46" s="16">
        <f>Levels!E47/Levels!E46-1-Levels!$Y46</f>
        <v>-1.5560895480097869E-3</v>
      </c>
      <c r="F46" s="16">
        <f>Levels!F47/Levels!F46-1-Levels!$Y46</f>
        <v>4.1718558484299395E-3</v>
      </c>
      <c r="G46" s="16">
        <f>Levels!G47/Levels!G46-1-Levels!$Y46</f>
        <v>-8.2995809440014057E-3</v>
      </c>
      <c r="H46" s="16">
        <f>Levels!H47/Levels!H46-1-Levels!$Y46</f>
        <v>-1.8898932570918681E-2</v>
      </c>
      <c r="I46" s="16">
        <f>Levels!I47/Levels!I46-1-Levels!$Y46</f>
        <v>-1.6924522845156775E-2</v>
      </c>
      <c r="J46" s="16">
        <f>Levels!J47/Levels!J46-1-Levels!$Y46</f>
        <v>-2.1596632235176383E-2</v>
      </c>
      <c r="K46" s="16">
        <f>Levels!K47/Levels!K46-1-Levels!$Y46</f>
        <v>-2.0946580049298169E-2</v>
      </c>
      <c r="L46" s="16" t="e">
        <f>Levels!L47/Levels!L46-1-Levels!$Y46</f>
        <v>#N/A</v>
      </c>
      <c r="M46" s="16">
        <f>Levels!M47/Levels!M46-1-Levels!$Y46</f>
        <v>1.8302750641613352E-3</v>
      </c>
      <c r="N46" s="16">
        <f>Levels!N47/Levels!N46-1-Levels!$Y46</f>
        <v>3.3256045967463566E-3</v>
      </c>
      <c r="O46" s="16">
        <f>Levels!O47/Levels!O46-1-Levels!$Y46</f>
        <v>1.9502199495521344E-3</v>
      </c>
      <c r="P46" s="16">
        <f>Levels!P47/Levels!P46-1-Levels!$Y46</f>
        <v>2.6150405384096631E-3</v>
      </c>
      <c r="Q46" s="16">
        <f>Levels!Q47/Levels!Q46-1-Levels!$Y46</f>
        <v>3.1502209698980321E-3</v>
      </c>
      <c r="R46" s="16" t="e">
        <f>Levels!R47/Levels!R46-1-Levels!$Y46</f>
        <v>#N/A</v>
      </c>
      <c r="S46" s="16" t="e">
        <f>Levels!S47/Levels!S46-1-Levels!$Y46</f>
        <v>#N/A</v>
      </c>
      <c r="T46" s="16">
        <f>Levels!T47/Levels!T46-1-Levels!$Y46</f>
        <v>3.9751744206072415E-3</v>
      </c>
      <c r="U46" s="16">
        <f>(Levels!U47/Levels!U46-1-Levels!$Y46)*$Y$2</f>
        <v>5.708533849421959E-3</v>
      </c>
      <c r="V46" s="16">
        <f>(Levels!V47/Levels!V46-1-Levels!$Y46)</f>
        <v>4.1595135603674227E-2</v>
      </c>
    </row>
    <row r="47" spans="1:22" x14ac:dyDescent="0.35">
      <c r="A47" s="23">
        <v>40908</v>
      </c>
      <c r="B47" s="16">
        <f>Levels!B48/Levels!B47-1-Levels!$Y47</f>
        <v>5.707450752751031E-3</v>
      </c>
      <c r="C47" s="16">
        <f>Levels!C48/Levels!C47-1-Levels!$Y47</f>
        <v>3.1038554782167882E-2</v>
      </c>
      <c r="D47" s="16">
        <f>Levels!D48/Levels!D47-1-Levels!$Y47</f>
        <v>1.9014413174122113E-2</v>
      </c>
      <c r="E47" s="16">
        <f>Levels!E48/Levels!E47-1-Levels!$Y47</f>
        <v>1.7714210273283681E-2</v>
      </c>
      <c r="F47" s="16">
        <f>Levels!F48/Levels!F47-1-Levels!$Y47</f>
        <v>8.092325128332023E-3</v>
      </c>
      <c r="G47" s="16">
        <f>Levels!G48/Levels!G47-1-Levels!$Y47</f>
        <v>1.3833636767960789E-2</v>
      </c>
      <c r="H47" s="16">
        <f>Levels!H48/Levels!H47-1-Levels!$Y47</f>
        <v>2.0768469549922175E-2</v>
      </c>
      <c r="I47" s="16">
        <f>Levels!I48/Levels!I47-1-Levels!$Y47</f>
        <v>2.2245837418525483E-2</v>
      </c>
      <c r="J47" s="16">
        <f>Levels!J48/Levels!J47-1-Levels!$Y47</f>
        <v>2.6654380834414182E-2</v>
      </c>
      <c r="K47" s="16">
        <f>Levels!K48/Levels!K47-1-Levels!$Y47</f>
        <v>2.5348446814631664E-2</v>
      </c>
      <c r="L47" s="16" t="e">
        <f>Levels!L48/Levels!L47-1-Levels!$Y47</f>
        <v>#N/A</v>
      </c>
      <c r="M47" s="16">
        <f>Levels!M48/Levels!M47-1-Levels!$Y47</f>
        <v>7.0096533360670676E-3</v>
      </c>
      <c r="N47" s="16">
        <f>Levels!N48/Levels!N47-1-Levels!$Y47</f>
        <v>1.3168725971557826E-2</v>
      </c>
      <c r="O47" s="16">
        <f>Levels!O48/Levels!O47-1-Levels!$Y47</f>
        <v>1.309792938150478E-3</v>
      </c>
      <c r="P47" s="16">
        <f>Levels!P48/Levels!P47-1-Levels!$Y47</f>
        <v>7.5300826559576706E-3</v>
      </c>
      <c r="Q47" s="16">
        <f>Levels!Q48/Levels!Q47-1-Levels!$Y47</f>
        <v>8.2031136026556872E-3</v>
      </c>
      <c r="R47" s="16" t="e">
        <f>Levels!R48/Levels!R47-1-Levels!$Y47</f>
        <v>#N/A</v>
      </c>
      <c r="S47" s="16" t="e">
        <f>Levels!S48/Levels!S47-1-Levels!$Y47</f>
        <v>#N/A</v>
      </c>
      <c r="T47" s="16">
        <f>Levels!T48/Levels!T47-1-Levels!$Y47</f>
        <v>1.3118858612567452E-2</v>
      </c>
      <c r="U47" s="16">
        <f>(Levels!U48/Levels!U47-1-Levels!$Y47)*$Y$2</f>
        <v>8.4054658088002124E-2</v>
      </c>
      <c r="V47" s="16">
        <f>(Levels!V48/Levels!V47-1-Levels!$Y47)</f>
        <v>6.7093109542093021E-2</v>
      </c>
    </row>
    <row r="48" spans="1:22" x14ac:dyDescent="0.35">
      <c r="A48" s="23">
        <v>40939</v>
      </c>
      <c r="B48" s="16">
        <f>Levels!B49/Levels!B48-1-Levels!$Y48</f>
        <v>5.0966431134891188E-3</v>
      </c>
      <c r="C48" s="16">
        <f>Levels!C49/Levels!C48-1-Levels!$Y48</f>
        <v>-4.8393992103457073E-4</v>
      </c>
      <c r="D48" s="16">
        <f>Levels!D49/Levels!D48-1-Levels!$Y48</f>
        <v>2.3113259470962433E-2</v>
      </c>
      <c r="E48" s="16">
        <f>Levels!E49/Levels!E48-1-Levels!$Y48</f>
        <v>8.4743517147694014E-3</v>
      </c>
      <c r="F48" s="16">
        <f>Levels!F49/Levels!F48-1-Levels!$Y48</f>
        <v>4.6413675478955696E-3</v>
      </c>
      <c r="G48" s="16">
        <f>Levels!G49/Levels!G48-1-Levels!$Y48</f>
        <v>1.4141933940113205E-2</v>
      </c>
      <c r="H48" s="16">
        <f>Levels!H49/Levels!H48-1-Levels!$Y48</f>
        <v>2.4257525681840031E-2</v>
      </c>
      <c r="I48" s="16">
        <f>Levels!I49/Levels!I48-1-Levels!$Y48</f>
        <v>2.1518142595581269E-2</v>
      </c>
      <c r="J48" s="16">
        <f>Levels!J49/Levels!J48-1-Levels!$Y48</f>
        <v>2.9447627760186279E-2</v>
      </c>
      <c r="K48" s="16">
        <f>Levels!K49/Levels!K48-1-Levels!$Y48</f>
        <v>4.274767780725508E-2</v>
      </c>
      <c r="L48" s="16" t="e">
        <f>Levels!L49/Levels!L48-1-Levels!$Y48</f>
        <v>#N/A</v>
      </c>
      <c r="M48" s="16">
        <f>Levels!M49/Levels!M48-1-Levels!$Y48</f>
        <v>4.064728655290839E-3</v>
      </c>
      <c r="N48" s="16">
        <f>Levels!N49/Levels!N48-1-Levels!$Y48</f>
        <v>2.0423949920794771E-2</v>
      </c>
      <c r="O48" s="16">
        <f>Levels!O49/Levels!O48-1-Levels!$Y48</f>
        <v>1.1522210135073596E-2</v>
      </c>
      <c r="P48" s="16">
        <f>Levels!P49/Levels!P48-1-Levels!$Y48</f>
        <v>7.6221377002179125E-3</v>
      </c>
      <c r="Q48" s="16">
        <f>Levels!Q49/Levels!Q48-1-Levels!$Y48</f>
        <v>7.4062181155760687E-3</v>
      </c>
      <c r="R48" s="16" t="e">
        <f>Levels!R49/Levels!R48-1-Levels!$Y48</f>
        <v>#N/A</v>
      </c>
      <c r="S48" s="16" t="e">
        <f>Levels!S49/Levels!S48-1-Levels!$Y48</f>
        <v>#N/A</v>
      </c>
      <c r="T48" s="16">
        <f>Levels!T49/Levels!T48-1-Levels!$Y48</f>
        <v>2.0190280962252727E-2</v>
      </c>
      <c r="U48" s="16">
        <f>(Levels!U49/Levels!U48-1-Levels!$Y48)*$Y$2</f>
        <v>2.7413150468018177E-2</v>
      </c>
      <c r="V48" s="16">
        <f>(Levels!V49/Levels!V48-1-Levels!$Y48)</f>
        <v>1.0118000869553612E-2</v>
      </c>
    </row>
    <row r="49" spans="1:22" x14ac:dyDescent="0.35">
      <c r="A49" s="23">
        <v>40967</v>
      </c>
      <c r="B49" s="16">
        <f>Levels!B50/Levels!B49-1-Levels!$Y49</f>
        <v>-4.7074693000954682E-3</v>
      </c>
      <c r="C49" s="16">
        <f>Levels!C50/Levels!C49-1-Levels!$Y49</f>
        <v>-2.0749013671653049E-2</v>
      </c>
      <c r="D49" s="16">
        <f>Levels!D50/Levels!D49-1-Levels!$Y49</f>
        <v>9.4765366759097525E-4</v>
      </c>
      <c r="E49" s="16">
        <f>Levels!E50/Levels!E49-1-Levels!$Y49</f>
        <v>1.5143164291022693E-3</v>
      </c>
      <c r="F49" s="16">
        <f>Levels!F50/Levels!F49-1-Levels!$Y49</f>
        <v>-3.0889718252684606E-3</v>
      </c>
      <c r="G49" s="16">
        <f>Levels!G50/Levels!G49-1-Levels!$Y49</f>
        <v>3.1514815735467216E-3</v>
      </c>
      <c r="H49" s="16">
        <f>Levels!H50/Levels!H49-1-Levels!$Y49</f>
        <v>6.8213674451231832E-3</v>
      </c>
      <c r="I49" s="16">
        <f>Levels!I50/Levels!I49-1-Levels!$Y49</f>
        <v>1.225826361962401E-2</v>
      </c>
      <c r="J49" s="16">
        <f>Levels!J50/Levels!J49-1-Levels!$Y49</f>
        <v>2.2990360899433515E-2</v>
      </c>
      <c r="K49" s="16">
        <f>Levels!K50/Levels!K49-1-Levels!$Y49</f>
        <v>3.341243355903134E-2</v>
      </c>
      <c r="L49" s="16" t="e">
        <f>Levels!L50/Levels!L49-1-Levels!$Y49</f>
        <v>#N/A</v>
      </c>
      <c r="M49" s="16">
        <f>Levels!M50/Levels!M49-1-Levels!$Y49</f>
        <v>8.783482776213436E-4</v>
      </c>
      <c r="N49" s="16">
        <f>Levels!N50/Levels!N49-1-Levels!$Y49</f>
        <v>1.1545106947315364E-2</v>
      </c>
      <c r="O49" s="16">
        <f>Levels!O50/Levels!O49-1-Levels!$Y49</f>
        <v>-1.1130510925818626E-3</v>
      </c>
      <c r="P49" s="16">
        <f>Levels!P50/Levels!P49-1-Levels!$Y49</f>
        <v>8.6497076857638966E-3</v>
      </c>
      <c r="Q49" s="16">
        <f>Levels!Q50/Levels!Q49-1-Levels!$Y49</f>
        <v>9.7094329748572683E-3</v>
      </c>
      <c r="R49" s="16" t="e">
        <f>Levels!R50/Levels!R49-1-Levels!$Y49</f>
        <v>#N/A</v>
      </c>
      <c r="S49" s="16" t="e">
        <f>Levels!S50/Levels!S49-1-Levels!$Y49</f>
        <v>#N/A</v>
      </c>
      <c r="T49" s="16">
        <f>Levels!T50/Levels!T49-1-Levels!$Y49</f>
        <v>1.1963579536454771E-2</v>
      </c>
      <c r="U49" s="16">
        <f>(Levels!U50/Levels!U49-1-Levels!$Y49)*$Y$2</f>
        <v>2.8595248251387859E-2</v>
      </c>
      <c r="V49" s="16">
        <f>(Levels!V50/Levels!V49-1-Levels!$Y49)</f>
        <v>1.2244795453821622E-2</v>
      </c>
    </row>
    <row r="50" spans="1:22" x14ac:dyDescent="0.35">
      <c r="A50" s="23">
        <v>40999</v>
      </c>
      <c r="B50" s="16">
        <f>Levels!B51/Levels!B50-1-Levels!$Y50</f>
        <v>-5.26898666948028E-3</v>
      </c>
      <c r="C50" s="16">
        <f>Levels!C51/Levels!C50-1-Levels!$Y50</f>
        <v>-3.7666102273315905E-2</v>
      </c>
      <c r="D50" s="16">
        <f>Levels!D51/Levels!D50-1-Levels!$Y50</f>
        <v>-6.5645810528085491E-3</v>
      </c>
      <c r="E50" s="16">
        <f>Levels!E51/Levels!E50-1-Levels!$Y50</f>
        <v>-2.1081216076133114E-3</v>
      </c>
      <c r="F50" s="16">
        <f>Levels!F51/Levels!F50-1-Levels!$Y50</f>
        <v>-4.8060506560430039E-3</v>
      </c>
      <c r="G50" s="16">
        <f>Levels!G51/Levels!G50-1-Levels!$Y50</f>
        <v>-5.6184426252776642E-3</v>
      </c>
      <c r="H50" s="16">
        <f>Levels!H51/Levels!H50-1-Levels!$Y50</f>
        <v>-7.929087131231527E-3</v>
      </c>
      <c r="I50" s="16">
        <f>Levels!I51/Levels!I50-1-Levels!$Y50</f>
        <v>-8.6562236166966011E-3</v>
      </c>
      <c r="J50" s="16">
        <f>Levels!J51/Levels!J50-1-Levels!$Y50</f>
        <v>-1.5516540075816154E-3</v>
      </c>
      <c r="K50" s="16">
        <f>Levels!K51/Levels!K50-1-Levels!$Y50</f>
        <v>-1.6335525716093535E-4</v>
      </c>
      <c r="L50" s="16" t="e">
        <f>Levels!L51/Levels!L50-1-Levels!$Y50</f>
        <v>#N/A</v>
      </c>
      <c r="M50" s="16">
        <f>Levels!M51/Levels!M50-1-Levels!$Y50</f>
        <v>5.8476977843513467E-4</v>
      </c>
      <c r="N50" s="16">
        <f>Levels!N51/Levels!N50-1-Levels!$Y50</f>
        <v>2.2086408329629048E-3</v>
      </c>
      <c r="O50" s="16">
        <f>Levels!O51/Levels!O50-1-Levels!$Y50</f>
        <v>-2.2058873292162273E-3</v>
      </c>
      <c r="P50" s="16">
        <f>Levels!P51/Levels!P50-1-Levels!$Y50</f>
        <v>6.6085162207738524E-3</v>
      </c>
      <c r="Q50" s="16">
        <f>Levels!Q51/Levels!Q50-1-Levels!$Y50</f>
        <v>8.605427840799651E-3</v>
      </c>
      <c r="R50" s="16" t="e">
        <f>Levels!R51/Levels!R50-1-Levels!$Y50</f>
        <v>#N/A</v>
      </c>
      <c r="S50" s="16" t="e">
        <f>Levels!S51/Levels!S50-1-Levels!$Y50</f>
        <v>#N/A</v>
      </c>
      <c r="T50" s="16">
        <f>Levels!T51/Levels!T50-1-Levels!$Y50</f>
        <v>2.3362185077779873E-3</v>
      </c>
      <c r="U50" s="16">
        <f>(Levels!U51/Levels!U50-1-Levels!$Y50)*$Y$2</f>
        <v>-1.9474370663127471E-2</v>
      </c>
      <c r="V50" s="16">
        <f>(Levels!V51/Levels!V50-1-Levels!$Y50)</f>
        <v>2.6009588551695328E-2</v>
      </c>
    </row>
    <row r="51" spans="1:22" x14ac:dyDescent="0.35">
      <c r="A51" s="23">
        <v>41029</v>
      </c>
      <c r="B51" s="16">
        <f>Levels!B52/Levels!B51-1-Levels!$Y51</f>
        <v>9.7032161790937543E-3</v>
      </c>
      <c r="C51" s="16">
        <f>Levels!C52/Levels!C51-1-Levels!$Y51</f>
        <v>4.3262781771342018E-2</v>
      </c>
      <c r="D51" s="16">
        <f>Levels!D52/Levels!D51-1-Levels!$Y51</f>
        <v>1.1482753787681155E-2</v>
      </c>
      <c r="E51" s="16">
        <f>Levels!E52/Levels!E51-1-Levels!$Y51</f>
        <v>4.173785346150316E-3</v>
      </c>
      <c r="F51" s="16">
        <f>Levels!F52/Levels!F51-1-Levels!$Y51</f>
        <v>1.0267284830243417E-2</v>
      </c>
      <c r="G51" s="16">
        <f>Levels!G52/Levels!G51-1-Levels!$Y51</f>
        <v>1.0933466806902326E-2</v>
      </c>
      <c r="H51" s="16">
        <f>Levels!H52/Levels!H51-1-Levels!$Y51</f>
        <v>1.3103106600894199E-2</v>
      </c>
      <c r="I51" s="16">
        <f>Levels!I52/Levels!I51-1-Levels!$Y51</f>
        <v>1.477470044400464E-2</v>
      </c>
      <c r="J51" s="16">
        <f>Levels!J52/Levels!J51-1-Levels!$Y51</f>
        <v>1.0127857826703002E-2</v>
      </c>
      <c r="K51" s="16">
        <f>Levels!K52/Levels!K51-1-Levels!$Y51</f>
        <v>1.3842192341777526E-2</v>
      </c>
      <c r="L51" s="16" t="e">
        <f>Levels!L52/Levels!L51-1-Levels!$Y51</f>
        <v>#N/A</v>
      </c>
      <c r="M51" s="16">
        <f>Levels!M52/Levels!M51-1-Levels!$Y51</f>
        <v>6.4278273527773599E-3</v>
      </c>
      <c r="N51" s="16">
        <f>Levels!N52/Levels!N51-1-Levels!$Y51</f>
        <v>4.9013347841959654E-3</v>
      </c>
      <c r="O51" s="16">
        <f>Levels!O52/Levels!O51-1-Levels!$Y51</f>
        <v>6.9614302449920729E-3</v>
      </c>
      <c r="P51" s="16">
        <f>Levels!P52/Levels!P51-1-Levels!$Y51</f>
        <v>6.2366425075504051E-3</v>
      </c>
      <c r="Q51" s="16">
        <f>Levels!Q52/Levels!Q51-1-Levels!$Y51</f>
        <v>7.430100011100782E-3</v>
      </c>
      <c r="R51" s="16" t="e">
        <f>Levels!R52/Levels!R51-1-Levels!$Y51</f>
        <v>#N/A</v>
      </c>
      <c r="S51" s="16" t="e">
        <f>Levels!S52/Levels!S51-1-Levels!$Y51</f>
        <v>#N/A</v>
      </c>
      <c r="T51" s="16">
        <f>Levels!T52/Levels!T51-1-Levels!$Y51</f>
        <v>5.5689028147243302E-3</v>
      </c>
      <c r="U51" s="16">
        <f>(Levels!U52/Levels!U51-1-Levels!$Y51)*$Y$2</f>
        <v>-8.0952339269551477E-2</v>
      </c>
      <c r="V51" s="16">
        <f>(Levels!V52/Levels!V51-1-Levels!$Y51)</f>
        <v>-1.9248504187696636E-3</v>
      </c>
    </row>
    <row r="52" spans="1:22" x14ac:dyDescent="0.35">
      <c r="A52" s="23">
        <v>41060</v>
      </c>
      <c r="B52" s="16">
        <f>Levels!B53/Levels!B52-1-Levels!$Y52</f>
        <v>7.4336042701577121E-3</v>
      </c>
      <c r="C52" s="16">
        <f>Levels!C53/Levels!C52-1-Levels!$Y52</f>
        <v>7.4293255596047159E-2</v>
      </c>
      <c r="D52" s="16">
        <f>Levels!D53/Levels!D52-1-Levels!$Y52</f>
        <v>8.2186323688231422E-3</v>
      </c>
      <c r="E52" s="16">
        <f>Levels!E53/Levels!E52-1-Levels!$Y52</f>
        <v>1.5965513221183114E-2</v>
      </c>
      <c r="F52" s="16">
        <f>Levels!F53/Levels!F52-1-Levels!$Y52</f>
        <v>9.91948569574852E-3</v>
      </c>
      <c r="G52" s="16">
        <f>Levels!G53/Levels!G52-1-Levels!$Y52</f>
        <v>7.770081303110743E-3</v>
      </c>
      <c r="H52" s="16">
        <f>Levels!H53/Levels!H52-1-Levels!$Y52</f>
        <v>7.282494783500626E-3</v>
      </c>
      <c r="I52" s="16">
        <f>Levels!I53/Levels!I52-1-Levels!$Y52</f>
        <v>3.9145684797028402E-3</v>
      </c>
      <c r="J52" s="16">
        <f>Levels!J53/Levels!J52-1-Levels!$Y52</f>
        <v>-1.3700727647129818E-2</v>
      </c>
      <c r="K52" s="16">
        <f>Levels!K53/Levels!K52-1-Levels!$Y52</f>
        <v>-6.0938407150225027E-3</v>
      </c>
      <c r="L52" s="16" t="e">
        <f>Levels!L53/Levels!L52-1-Levels!$Y52</f>
        <v>#N/A</v>
      </c>
      <c r="M52" s="16">
        <f>Levels!M53/Levels!M52-1-Levels!$Y52</f>
        <v>3.0869387568515094E-3</v>
      </c>
      <c r="N52" s="16">
        <f>Levels!N53/Levels!N52-1-Levels!$Y52</f>
        <v>-3.4654368467591512E-3</v>
      </c>
      <c r="O52" s="16">
        <f>Levels!O53/Levels!O52-1-Levels!$Y52</f>
        <v>3.8261857128683019E-3</v>
      </c>
      <c r="P52" s="16">
        <f>Levels!P53/Levels!P52-1-Levels!$Y52</f>
        <v>1.0526310454674892E-2</v>
      </c>
      <c r="Q52" s="16">
        <f>Levels!Q53/Levels!Q52-1-Levels!$Y52</f>
        <v>1.0797597795774383E-2</v>
      </c>
      <c r="R52" s="16" t="e">
        <f>Levels!R53/Levels!R52-1-Levels!$Y52</f>
        <v>#N/A</v>
      </c>
      <c r="S52" s="16" t="e">
        <f>Levels!S53/Levels!S52-1-Levels!$Y52</f>
        <v>#N/A</v>
      </c>
      <c r="T52" s="16">
        <f>Levels!T53/Levels!T52-1-Levels!$Y52</f>
        <v>-2.2312068773953087E-3</v>
      </c>
      <c r="U52" s="16">
        <f>(Levels!U53/Levels!U52-1-Levels!$Y52)*$Y$2</f>
        <v>5.7667716460481966E-2</v>
      </c>
      <c r="V52" s="16">
        <f>(Levels!V53/Levels!V52-1-Levels!$Y52)</f>
        <v>3.2782600756079638E-2</v>
      </c>
    </row>
    <row r="53" spans="1:22" x14ac:dyDescent="0.35">
      <c r="A53" s="23">
        <v>41090</v>
      </c>
      <c r="B53" s="16">
        <f>Levels!B54/Levels!B53-1-Levels!$Y53</f>
        <v>-1.7457421351463331E-3</v>
      </c>
      <c r="C53" s="16">
        <f>Levels!C54/Levels!C53-1-Levels!$Y53</f>
        <v>-1.3670886676721783E-2</v>
      </c>
      <c r="D53" s="16">
        <f>Levels!D54/Levels!D53-1-Levels!$Y53</f>
        <v>-1.1334652086055774E-3</v>
      </c>
      <c r="E53" s="16">
        <f>Levels!E54/Levels!E53-1-Levels!$Y53</f>
        <v>-3.1839033468807898E-3</v>
      </c>
      <c r="F53" s="16">
        <f>Levels!F54/Levels!F53-1-Levels!$Y53</f>
        <v>-1.02773569054182E-3</v>
      </c>
      <c r="G53" s="16">
        <f>Levels!G54/Levels!G53-1-Levels!$Y53</f>
        <v>8.0860248654457401E-4</v>
      </c>
      <c r="H53" s="16">
        <f>Levels!H54/Levels!H53-1-Levels!$Y53</f>
        <v>5.6743384359130289E-3</v>
      </c>
      <c r="I53" s="16">
        <f>Levels!I54/Levels!I53-1-Levels!$Y53</f>
        <v>4.5206396310975006E-3</v>
      </c>
      <c r="J53" s="16">
        <f>Levels!J54/Levels!J53-1-Levels!$Y53</f>
        <v>2.0983152827234841E-2</v>
      </c>
      <c r="K53" s="16">
        <f>Levels!K54/Levels!K53-1-Levels!$Y53</f>
        <v>2.211446271740769E-2</v>
      </c>
      <c r="L53" s="16" t="e">
        <f>Levels!L54/Levels!L53-1-Levels!$Y53</f>
        <v>#N/A</v>
      </c>
      <c r="M53" s="16">
        <f>Levels!M54/Levels!M53-1-Levels!$Y53</f>
        <v>1.1024228706966177E-3</v>
      </c>
      <c r="N53" s="16">
        <f>Levels!N54/Levels!N53-1-Levels!$Y53</f>
        <v>6.9924006238333281E-3</v>
      </c>
      <c r="O53" s="16">
        <f>Levels!O54/Levels!O53-1-Levels!$Y53</f>
        <v>2.257644966396688E-3</v>
      </c>
      <c r="P53" s="16">
        <f>Levels!P54/Levels!P53-1-Levels!$Y53</f>
        <v>8.1048317125642644E-3</v>
      </c>
      <c r="Q53" s="16">
        <f>Levels!Q54/Levels!Q53-1-Levels!$Y53</f>
        <v>7.9478935328893829E-3</v>
      </c>
      <c r="R53" s="16" t="e">
        <f>Levels!R54/Levels!R53-1-Levels!$Y53</f>
        <v>#N/A</v>
      </c>
      <c r="S53" s="16" t="e">
        <f>Levels!S54/Levels!S53-1-Levels!$Y53</f>
        <v>#N/A</v>
      </c>
      <c r="T53" s="16">
        <f>Levels!T54/Levels!T53-1-Levels!$Y53</f>
        <v>6.7033367754416595E-3</v>
      </c>
      <c r="U53" s="16">
        <f>(Levels!U54/Levels!U53-1-Levels!$Y53)*$Y$2</f>
        <v>-1.7425741593111433E-2</v>
      </c>
      <c r="V53" s="16">
        <f>(Levels!V54/Levels!V53-1-Levels!$Y53)</f>
        <v>6.5980393222410116E-2</v>
      </c>
    </row>
    <row r="54" spans="1:22" x14ac:dyDescent="0.35">
      <c r="A54" s="23">
        <v>41121</v>
      </c>
      <c r="B54" s="16">
        <f>Levels!B55/Levels!B54-1-Levels!$Y54</f>
        <v>6.0711823614674199E-3</v>
      </c>
      <c r="C54" s="16">
        <f>Levels!C55/Levels!C54-1-Levels!$Y54</f>
        <v>3.293317735424961E-2</v>
      </c>
      <c r="D54" s="16">
        <f>Levels!D55/Levels!D54-1-Levels!$Y54</f>
        <v>1.578076259929162E-2</v>
      </c>
      <c r="E54" s="16">
        <f>Levels!E55/Levels!E54-1-Levels!$Y54</f>
        <v>1.3802479375107479E-2</v>
      </c>
      <c r="F54" s="16">
        <f>Levels!F55/Levels!F54-1-Levels!$Y54</f>
        <v>8.960504798332769E-3</v>
      </c>
      <c r="G54" s="16">
        <f>Levels!G55/Levels!G54-1-Levels!$Y54</f>
        <v>1.759471484978703E-2</v>
      </c>
      <c r="H54" s="16">
        <f>Levels!H55/Levels!H54-1-Levels!$Y54</f>
        <v>2.8421678881525692E-2</v>
      </c>
      <c r="I54" s="16">
        <f>Levels!I55/Levels!I54-1-Levels!$Y54</f>
        <v>3.0779316082272912E-2</v>
      </c>
      <c r="J54" s="16">
        <f>Levels!J55/Levels!J54-1-Levels!$Y54</f>
        <v>1.851533331967925E-2</v>
      </c>
      <c r="K54" s="16">
        <f>Levels!K55/Levels!K54-1-Levels!$Y54</f>
        <v>2.4862789540189834E-2</v>
      </c>
      <c r="L54" s="16" t="e">
        <f>Levels!L55/Levels!L54-1-Levels!$Y54</f>
        <v>#N/A</v>
      </c>
      <c r="M54" s="16">
        <f>Levels!M55/Levels!M54-1-Levels!$Y54</f>
        <v>7.9698185441472447E-3</v>
      </c>
      <c r="N54" s="16">
        <f>Levels!N55/Levels!N54-1-Levels!$Y54</f>
        <v>1.655433425607411E-2</v>
      </c>
      <c r="O54" s="16">
        <f>Levels!O55/Levels!O54-1-Levels!$Y54</f>
        <v>7.562390723507173E-3</v>
      </c>
      <c r="P54" s="16">
        <f>Levels!P55/Levels!P54-1-Levels!$Y54</f>
        <v>8.9361707736375084E-3</v>
      </c>
      <c r="Q54" s="16">
        <f>Levels!Q55/Levels!Q54-1-Levels!$Y54</f>
        <v>9.6155826779369402E-3</v>
      </c>
      <c r="R54" s="16" t="e">
        <f>Levels!R55/Levels!R54-1-Levels!$Y54</f>
        <v>#N/A</v>
      </c>
      <c r="S54" s="16" t="e">
        <f>Levels!S55/Levels!S54-1-Levels!$Y54</f>
        <v>#N/A</v>
      </c>
      <c r="T54" s="16">
        <f>Levels!T55/Levels!T54-1-Levels!$Y54</f>
        <v>1.6582252429144129E-2</v>
      </c>
      <c r="U54" s="16">
        <f>(Levels!U55/Levels!U54-1-Levels!$Y54)*$Y$2</f>
        <v>3.8267113726573855E-2</v>
      </c>
      <c r="V54" s="16">
        <f>(Levels!V55/Levels!V54-1-Levels!$Y54)</f>
        <v>-2.4328090975585193E-2</v>
      </c>
    </row>
    <row r="55" spans="1:22" x14ac:dyDescent="0.35">
      <c r="A55" s="23">
        <v>41152</v>
      </c>
      <c r="B55" s="16">
        <f>Levels!B56/Levels!B55-1-Levels!$Y55</f>
        <v>2.5159737164659468E-4</v>
      </c>
      <c r="C55" s="16">
        <f>Levels!C56/Levels!C55-1-Levels!$Y55</f>
        <v>-1.0748794231793535E-2</v>
      </c>
      <c r="D55" s="16">
        <f>Levels!D56/Levels!D55-1-Levels!$Y55</f>
        <v>1.057709086524028E-3</v>
      </c>
      <c r="E55" s="16">
        <f>Levels!E56/Levels!E55-1-Levels!$Y55</f>
        <v>1.4770142416085097E-3</v>
      </c>
      <c r="F55" s="16">
        <f>Levels!F56/Levels!F55-1-Levels!$Y55</f>
        <v>-2.031218530773593E-5</v>
      </c>
      <c r="G55" s="16">
        <f>Levels!G56/Levels!G55-1-Levels!$Y55</f>
        <v>5.6881873593073173E-4</v>
      </c>
      <c r="H55" s="16">
        <f>Levels!H56/Levels!H55-1-Levels!$Y55</f>
        <v>2.2168337706238717E-3</v>
      </c>
      <c r="I55" s="16">
        <f>Levels!I56/Levels!I55-1-Levels!$Y55</f>
        <v>3.1057891859913589E-3</v>
      </c>
      <c r="J55" s="16">
        <f>Levels!J56/Levels!J55-1-Levels!$Y55</f>
        <v>1.083434654403459E-2</v>
      </c>
      <c r="K55" s="16">
        <f>Levels!K56/Levels!K55-1-Levels!$Y55</f>
        <v>2.3900063318791132E-2</v>
      </c>
      <c r="L55" s="16" t="e">
        <f>Levels!L56/Levels!L55-1-Levels!$Y55</f>
        <v>#N/A</v>
      </c>
      <c r="M55" s="16">
        <f>Levels!M56/Levels!M55-1-Levels!$Y55</f>
        <v>1.0394481682969303E-3</v>
      </c>
      <c r="N55" s="16">
        <f>Levels!N56/Levels!N55-1-Levels!$Y55</f>
        <v>8.3601603615344189E-3</v>
      </c>
      <c r="O55" s="16">
        <f>Levels!O56/Levels!O55-1-Levels!$Y55</f>
        <v>2.97281891034884E-3</v>
      </c>
      <c r="P55" s="16">
        <f>Levels!P56/Levels!P55-1-Levels!$Y55</f>
        <v>8.1173903195852493E-3</v>
      </c>
      <c r="Q55" s="16">
        <f>Levels!Q56/Levels!Q55-1-Levels!$Y55</f>
        <v>8.0571303894310109E-3</v>
      </c>
      <c r="R55" s="16" t="e">
        <f>Levels!R56/Levels!R55-1-Levels!$Y55</f>
        <v>#N/A</v>
      </c>
      <c r="S55" s="16" t="e">
        <f>Levels!S56/Levels!S55-1-Levels!$Y55</f>
        <v>#N/A</v>
      </c>
      <c r="T55" s="16">
        <f>Levels!T56/Levels!T55-1-Levels!$Y55</f>
        <v>8.6481554818962358E-3</v>
      </c>
      <c r="U55" s="16">
        <f>(Levels!U56/Levels!U55-1-Levels!$Y55)*$Y$2</f>
        <v>3.7374723918581584E-2</v>
      </c>
      <c r="V55" s="16">
        <f>(Levels!V56/Levels!V55-1-Levels!$Y55)</f>
        <v>-7.529900002537615E-3</v>
      </c>
    </row>
    <row r="56" spans="1:22" x14ac:dyDescent="0.35">
      <c r="A56" s="23">
        <v>41182</v>
      </c>
      <c r="B56" s="16">
        <f>Levels!B57/Levels!B56-1-Levels!$Y56</f>
        <v>-3.8427387859529816E-4</v>
      </c>
      <c r="C56" s="16">
        <f>Levels!C57/Levels!C56-1-Levels!$Y56</f>
        <v>-1.9640107231355008E-2</v>
      </c>
      <c r="D56" s="16">
        <f>Levels!D57/Levels!D56-1-Levels!$Y56</f>
        <v>5.9801302365811715E-3</v>
      </c>
      <c r="E56" s="16">
        <f>Levels!E57/Levels!E56-1-Levels!$Y56</f>
        <v>4.0845101892210689E-3</v>
      </c>
      <c r="F56" s="16">
        <f>Levels!F57/Levels!F56-1-Levels!$Y56</f>
        <v>-5.8989136440412704E-4</v>
      </c>
      <c r="G56" s="16">
        <f>Levels!G57/Levels!G56-1-Levels!$Y56</f>
        <v>-1.4654020917492794E-4</v>
      </c>
      <c r="H56" s="16">
        <f>Levels!H57/Levels!H56-1-Levels!$Y56</f>
        <v>6.1847266441341642E-3</v>
      </c>
      <c r="I56" s="16">
        <f>Levels!I57/Levels!I56-1-Levels!$Y56</f>
        <v>1.0243164755413314E-2</v>
      </c>
      <c r="J56" s="16">
        <f>Levels!J57/Levels!J56-1-Levels!$Y56</f>
        <v>1.3797325749740796E-2</v>
      </c>
      <c r="K56" s="16">
        <f>Levels!K57/Levels!K56-1-Levels!$Y56</f>
        <v>1.4649915952574366E-2</v>
      </c>
      <c r="L56" s="16" t="e">
        <f>Levels!L57/Levels!L56-1-Levels!$Y56</f>
        <v>#N/A</v>
      </c>
      <c r="M56" s="16">
        <f>Levels!M57/Levels!M56-1-Levels!$Y56</f>
        <v>2.0150154349063421E-3</v>
      </c>
      <c r="N56" s="16">
        <f>Levels!N57/Levels!N56-1-Levels!$Y56</f>
        <v>1.2658828919700271E-2</v>
      </c>
      <c r="O56" s="16">
        <f>Levels!O57/Levels!O56-1-Levels!$Y56</f>
        <v>1.5565285573497789E-3</v>
      </c>
      <c r="P56" s="16">
        <f>Levels!P57/Levels!P56-1-Levels!$Y56</f>
        <v>1.042572817945131E-2</v>
      </c>
      <c r="Q56" s="16">
        <f>Levels!Q57/Levels!Q56-1-Levels!$Y56</f>
        <v>1.118396110090214E-2</v>
      </c>
      <c r="R56" s="16" t="e">
        <f>Levels!R57/Levels!R56-1-Levels!$Y56</f>
        <v>#N/A</v>
      </c>
      <c r="S56" s="16" t="e">
        <f>Levels!S57/Levels!S56-1-Levels!$Y56</f>
        <v>#N/A</v>
      </c>
      <c r="T56" s="16">
        <f>Levels!T57/Levels!T56-1-Levels!$Y56</f>
        <v>1.316489087211381E-2</v>
      </c>
      <c r="U56" s="16">
        <f>(Levels!U57/Levels!U56-1-Levels!$Y56)*$Y$2</f>
        <v>-2.6898262930721284E-2</v>
      </c>
      <c r="V56" s="16">
        <f>(Levels!V57/Levels!V56-1-Levels!$Y56)</f>
        <v>-4.4360931288556227E-4</v>
      </c>
    </row>
    <row r="57" spans="1:22" x14ac:dyDescent="0.35">
      <c r="A57" s="23">
        <v>41213</v>
      </c>
      <c r="B57" s="16">
        <f>Levels!B58/Levels!B57-1-Levels!$Y57</f>
        <v>-1.8561579085371038E-3</v>
      </c>
      <c r="C57" s="16">
        <f>Levels!C58/Levels!C57-1-Levels!$Y57</f>
        <v>-1.2375434412313924E-3</v>
      </c>
      <c r="D57" s="16">
        <f>Levels!D58/Levels!D57-1-Levels!$Y57</f>
        <v>2.7462309732917412E-3</v>
      </c>
      <c r="E57" s="16">
        <f>Levels!E58/Levels!E57-1-Levels!$Y57</f>
        <v>1.6649663021284233E-3</v>
      </c>
      <c r="F57" s="16">
        <f>Levels!F58/Levels!F57-1-Levels!$Y57</f>
        <v>-1.508425518235823E-3</v>
      </c>
      <c r="G57" s="16">
        <f>Levels!G58/Levels!G57-1-Levels!$Y57</f>
        <v>3.346067170175937E-3</v>
      </c>
      <c r="H57" s="16">
        <f>Levels!H58/Levels!H57-1-Levels!$Y57</f>
        <v>1.0661393311221401E-2</v>
      </c>
      <c r="I57" s="16">
        <f>Levels!I58/Levels!I57-1-Levels!$Y57</f>
        <v>1.5721709927457805E-2</v>
      </c>
      <c r="J57" s="16">
        <f>Levels!J58/Levels!J57-1-Levels!$Y57</f>
        <v>7.8861077807128588E-3</v>
      </c>
      <c r="K57" s="16">
        <f>Levels!K58/Levels!K57-1-Levels!$Y57</f>
        <v>2.0256981770296445E-2</v>
      </c>
      <c r="L57" s="16" t="e">
        <f>Levels!L58/Levels!L57-1-Levels!$Y57</f>
        <v>#N/A</v>
      </c>
      <c r="M57" s="16">
        <f>Levels!M58/Levels!M57-1-Levels!$Y57</f>
        <v>-1.7531461657106506E-3</v>
      </c>
      <c r="N57" s="16">
        <f>Levels!N58/Levels!N57-1-Levels!$Y57</f>
        <v>5.4195133088645875E-3</v>
      </c>
      <c r="O57" s="16">
        <f>Levels!O58/Levels!O57-1-Levels!$Y57</f>
        <v>-1.7333254973050938E-4</v>
      </c>
      <c r="P57" s="16">
        <f>Levels!P58/Levels!P57-1-Levels!$Y57</f>
        <v>1.0023657502723493E-2</v>
      </c>
      <c r="Q57" s="16">
        <f>Levels!Q58/Levels!Q57-1-Levels!$Y57</f>
        <v>1.1373048501304162E-2</v>
      </c>
      <c r="R57" s="16" t="e">
        <f>Levels!R58/Levels!R57-1-Levels!$Y57</f>
        <v>#N/A</v>
      </c>
      <c r="S57" s="16" t="e">
        <f>Levels!S58/Levels!S57-1-Levels!$Y57</f>
        <v>#N/A</v>
      </c>
      <c r="T57" s="16">
        <f>Levels!T58/Levels!T57-1-Levels!$Y57</f>
        <v>5.6620745007822659E-3</v>
      </c>
      <c r="U57" s="16">
        <f>(Levels!U58/Levels!U57-1-Levels!$Y57)*$Y$2</f>
        <v>4.5815745328757094E-3</v>
      </c>
      <c r="V57" s="16">
        <f>(Levels!V58/Levels!V57-1-Levels!$Y57)</f>
        <v>2.7519012939527521E-3</v>
      </c>
    </row>
    <row r="58" spans="1:22" x14ac:dyDescent="0.35">
      <c r="A58" s="23">
        <v>41243</v>
      </c>
      <c r="B58" s="16">
        <f>Levels!B59/Levels!B58-1-Levels!$Y58</f>
        <v>3.8342728466809195E-3</v>
      </c>
      <c r="C58" s="16">
        <f>Levels!C59/Levels!C58-1-Levels!$Y58</f>
        <v>1.3249504560203906E-2</v>
      </c>
      <c r="D58" s="16">
        <f>Levels!D59/Levels!D58-1-Levels!$Y58</f>
        <v>1.6374107452289621E-2</v>
      </c>
      <c r="E58" s="16">
        <f>Levels!E59/Levels!E58-1-Levels!$Y58</f>
        <v>6.8313642635307037E-3</v>
      </c>
      <c r="F58" s="16">
        <f>Levels!F59/Levels!F58-1-Levels!$Y58</f>
        <v>2.0574731677440727E-3</v>
      </c>
      <c r="G58" s="16">
        <f>Levels!G59/Levels!G58-1-Levels!$Y58</f>
        <v>2.3347535301554423E-3</v>
      </c>
      <c r="H58" s="16">
        <f>Levels!H59/Levels!H58-1-Levels!$Y58</f>
        <v>9.943974367776498E-5</v>
      </c>
      <c r="I58" s="16">
        <f>Levels!I59/Levels!I58-1-Levels!$Y58</f>
        <v>-1.1699668717205514E-3</v>
      </c>
      <c r="J58" s="16">
        <f>Levels!J59/Levels!J58-1-Levels!$Y58</f>
        <v>7.6381147568556074E-3</v>
      </c>
      <c r="K58" s="16">
        <f>Levels!K59/Levels!K58-1-Levels!$Y58</f>
        <v>1.1660834790653496E-2</v>
      </c>
      <c r="L58" s="16" t="e">
        <f>Levels!L59/Levels!L58-1-Levels!$Y58</f>
        <v>#N/A</v>
      </c>
      <c r="M58" s="16">
        <f>Levels!M59/Levels!M58-1-Levels!$Y58</f>
        <v>-1.8109166771995699E-3</v>
      </c>
      <c r="N58" s="16">
        <f>Levels!N59/Levels!N58-1-Levels!$Y58</f>
        <v>3.1419706345996445E-3</v>
      </c>
      <c r="O58" s="16">
        <f>Levels!O59/Levels!O58-1-Levels!$Y58</f>
        <v>3.0139165917650867E-3</v>
      </c>
      <c r="P58" s="16">
        <f>Levels!P59/Levels!P58-1-Levels!$Y58</f>
        <v>8.7592212955136528E-3</v>
      </c>
      <c r="Q58" s="16">
        <f>Levels!Q59/Levels!Q58-1-Levels!$Y58</f>
        <v>1.0403183733887822E-2</v>
      </c>
      <c r="R58" s="16" t="e">
        <f>Levels!R59/Levels!R58-1-Levels!$Y58</f>
        <v>#N/A</v>
      </c>
      <c r="S58" s="16" t="e">
        <f>Levels!S59/Levels!S58-1-Levels!$Y58</f>
        <v>#N/A</v>
      </c>
      <c r="T58" s="16">
        <f>Levels!T59/Levels!T58-1-Levels!$Y58</f>
        <v>3.2361941974605735E-3</v>
      </c>
      <c r="U58" s="16">
        <f>(Levels!U59/Levels!U58-1-Levels!$Y58)*$Y$2</f>
        <v>3.993874762284335E-2</v>
      </c>
      <c r="V58" s="16">
        <f>(Levels!V59/Levels!V58-1-Levels!$Y58)</f>
        <v>2.0297605418842624E-2</v>
      </c>
    </row>
    <row r="59" spans="1:22" x14ac:dyDescent="0.35">
      <c r="A59" s="23">
        <v>41274</v>
      </c>
      <c r="B59" s="16">
        <f>Levels!B60/Levels!B59-1-Levels!$Y59</f>
        <v>-2.0489163756303164E-3</v>
      </c>
      <c r="C59" s="16">
        <f>Levels!C60/Levels!C59-1-Levels!$Y59</f>
        <v>-1.9699246175415186E-2</v>
      </c>
      <c r="D59" s="16">
        <f>Levels!D60/Levels!D59-1-Levels!$Y59</f>
        <v>-1.2420580454354124E-2</v>
      </c>
      <c r="E59" s="16">
        <f>Levels!E60/Levels!E59-1-Levels!$Y59</f>
        <v>1.7842344140757138E-3</v>
      </c>
      <c r="F59" s="16">
        <f>Levels!F60/Levels!F59-1-Levels!$Y59</f>
        <v>-1.8366557863207511E-3</v>
      </c>
      <c r="G59" s="16">
        <f>Levels!G60/Levels!G59-1-Levels!$Y59</f>
        <v>-2.5698891885829189E-3</v>
      </c>
      <c r="H59" s="16">
        <f>Levels!H60/Levels!H59-1-Levels!$Y59</f>
        <v>-2.2122570017517607E-3</v>
      </c>
      <c r="I59" s="16">
        <f>Levels!I60/Levels!I59-1-Levels!$Y59</f>
        <v>2.0009370100320112E-3</v>
      </c>
      <c r="J59" s="16">
        <f>Levels!J60/Levels!J59-1-Levels!$Y59</f>
        <v>1.5215300287709566E-2</v>
      </c>
      <c r="K59" s="16">
        <f>Levels!K60/Levels!K59-1-Levels!$Y59</f>
        <v>2.2075632476462381E-2</v>
      </c>
      <c r="L59" s="16" t="e">
        <f>Levels!L60/Levels!L59-1-Levels!$Y59</f>
        <v>#N/A</v>
      </c>
      <c r="M59" s="16">
        <f>Levels!M60/Levels!M59-1-Levels!$Y59</f>
        <v>1.3009645858421681E-3</v>
      </c>
      <c r="N59" s="16">
        <f>Levels!N60/Levels!N59-1-Levels!$Y59</f>
        <v>3.3554420333474777E-3</v>
      </c>
      <c r="O59" s="16">
        <f>Levels!O60/Levels!O59-1-Levels!$Y59</f>
        <v>-8.8695722004494826E-4</v>
      </c>
      <c r="P59" s="16">
        <f>Levels!P60/Levels!P59-1-Levels!$Y59</f>
        <v>7.4231387729710718E-3</v>
      </c>
      <c r="Q59" s="16">
        <f>Levels!Q60/Levels!Q59-1-Levels!$Y59</f>
        <v>9.9395847738563692E-3</v>
      </c>
      <c r="R59" s="16" t="e">
        <f>Levels!R60/Levels!R59-1-Levels!$Y59</f>
        <v>#N/A</v>
      </c>
      <c r="S59" s="16" t="e">
        <f>Levels!S60/Levels!S59-1-Levels!$Y59</f>
        <v>#N/A</v>
      </c>
      <c r="T59" s="16">
        <f>Levels!T60/Levels!T59-1-Levels!$Y59</f>
        <v>3.690261395330463E-3</v>
      </c>
      <c r="U59" s="16">
        <f>(Levels!U60/Levels!U59-1-Levels!$Y59)*$Y$2</f>
        <v>7.4434480053037877E-2</v>
      </c>
      <c r="V59" s="16">
        <f>(Levels!V60/Levels!V59-1-Levels!$Y59)</f>
        <v>2.0001327660557067E-4</v>
      </c>
    </row>
    <row r="60" spans="1:22" x14ac:dyDescent="0.35">
      <c r="A60" s="23">
        <v>41305</v>
      </c>
      <c r="B60" s="16">
        <f>Levels!B61/Levels!B60-1-Levels!$Y60</f>
        <v>-4.0891765142831993E-3</v>
      </c>
      <c r="C60" s="16">
        <f>Levels!C61/Levels!C60-1-Levels!$Y60</f>
        <v>-3.5050608842089215E-2</v>
      </c>
      <c r="D60" s="16">
        <f>Levels!D61/Levels!D60-1-Levels!$Y60</f>
        <v>4.1303028338441905E-3</v>
      </c>
      <c r="E60" s="16">
        <f>Levels!E61/Levels!E60-1-Levels!$Y60</f>
        <v>-6.3553962140747711E-3</v>
      </c>
      <c r="F60" s="16">
        <f>Levels!F61/Levels!F60-1-Levels!$Y60</f>
        <v>-6.4782027942368314E-3</v>
      </c>
      <c r="G60" s="16">
        <f>Levels!G61/Levels!G60-1-Levels!$Y60</f>
        <v>-6.325844043125417E-3</v>
      </c>
      <c r="H60" s="16">
        <f>Levels!H61/Levels!H60-1-Levels!$Y60</f>
        <v>-8.9123714999349568E-3</v>
      </c>
      <c r="I60" s="16">
        <f>Levels!I61/Levels!I60-1-Levels!$Y60</f>
        <v>-9.2466918132331211E-3</v>
      </c>
      <c r="J60" s="16">
        <f>Levels!J61/Levels!J60-1-Levels!$Y60</f>
        <v>1.340622942018288E-2</v>
      </c>
      <c r="K60" s="16">
        <f>Levels!K61/Levels!K60-1-Levels!$Y60</f>
        <v>1.2881709821482401E-2</v>
      </c>
      <c r="L60" s="16" t="e">
        <f>Levels!L61/Levels!L60-1-Levels!$Y60</f>
        <v>#N/A</v>
      </c>
      <c r="M60" s="16">
        <f>Levels!M61/Levels!M60-1-Levels!$Y60</f>
        <v>-5.038720729042101E-3</v>
      </c>
      <c r="N60" s="16">
        <f>Levels!N61/Levels!N60-1-Levels!$Y60</f>
        <v>-1.5820340993104587E-3</v>
      </c>
      <c r="O60" s="16">
        <f>Levels!O61/Levels!O60-1-Levels!$Y60</f>
        <v>-2.5329024813574019E-3</v>
      </c>
      <c r="P60" s="16">
        <f>Levels!P61/Levels!P60-1-Levels!$Y60</f>
        <v>1.3430747153968525E-3</v>
      </c>
      <c r="Q60" s="16">
        <f>Levels!Q61/Levels!Q60-1-Levels!$Y60</f>
        <v>3.4139638514598669E-3</v>
      </c>
      <c r="R60" s="16" t="e">
        <f>Levels!R61/Levels!R60-1-Levels!$Y60</f>
        <v>#N/A</v>
      </c>
      <c r="S60" s="16" t="e">
        <f>Levels!S61/Levels!S60-1-Levels!$Y60</f>
        <v>#N/A</v>
      </c>
      <c r="T60" s="16">
        <f>Levels!T61/Levels!T60-1-Levels!$Y60</f>
        <v>-7.0434210523417917E-4</v>
      </c>
      <c r="U60" s="16">
        <f>(Levels!U61/Levels!U60-1-Levels!$Y60)*$Y$2</f>
        <v>1.1955811252466119E-2</v>
      </c>
      <c r="V60" s="16">
        <f>(Levels!V61/Levels!V60-1-Levels!$Y60)</f>
        <v>4.3401994053122062E-2</v>
      </c>
    </row>
    <row r="61" spans="1:22" x14ac:dyDescent="0.35">
      <c r="A61" s="23">
        <v>41333</v>
      </c>
      <c r="B61" s="16">
        <f>Levels!B62/Levels!B61-1-Levels!$Y61</f>
        <v>4.1844094431300327E-3</v>
      </c>
      <c r="C61" s="16">
        <f>Levels!C62/Levels!C61-1-Levels!$Y61</f>
        <v>1.2528306624833618E-2</v>
      </c>
      <c r="D61" s="16">
        <f>Levels!D62/Levels!D61-1-Levels!$Y61</f>
        <v>2.9661248210401947E-3</v>
      </c>
      <c r="E61" s="16">
        <f>Levels!E62/Levels!E61-1-Levels!$Y61</f>
        <v>4.8715338839384614E-3</v>
      </c>
      <c r="F61" s="16">
        <f>Levels!F62/Levels!F61-1-Levels!$Y61</f>
        <v>4.2924452047723438E-3</v>
      </c>
      <c r="G61" s="16">
        <f>Levels!G62/Levels!G61-1-Levels!$Y61</f>
        <v>6.4668810624579631E-3</v>
      </c>
      <c r="H61" s="16">
        <f>Levels!H62/Levels!H61-1-Levels!$Y61</f>
        <v>7.4932992936731502E-3</v>
      </c>
      <c r="I61" s="16">
        <f>Levels!I62/Levels!I61-1-Levels!$Y61</f>
        <v>6.2779483154655757E-3</v>
      </c>
      <c r="J61" s="16">
        <f>Levels!J62/Levels!J61-1-Levels!$Y61</f>
        <v>5.262043566703456E-3</v>
      </c>
      <c r="K61" s="16">
        <f>Levels!K62/Levels!K61-1-Levels!$Y61</f>
        <v>1.4925187006111784E-3</v>
      </c>
      <c r="L61" s="16" t="e">
        <f>Levels!L62/Levels!L61-1-Levels!$Y61</f>
        <v>#N/A</v>
      </c>
      <c r="M61" s="16">
        <f>Levels!M62/Levels!M61-1-Levels!$Y61</f>
        <v>3.327750499183102E-3</v>
      </c>
      <c r="N61" s="16">
        <f>Levels!N62/Levels!N61-1-Levels!$Y61</f>
        <v>-6.164576127187793E-5</v>
      </c>
      <c r="O61" s="16">
        <f>Levels!O62/Levels!O61-1-Levels!$Y61</f>
        <v>2.9803721105832182E-3</v>
      </c>
      <c r="P61" s="16">
        <f>Levels!P62/Levels!P61-1-Levels!$Y61</f>
        <v>2.1908016094287497E-3</v>
      </c>
      <c r="Q61" s="16">
        <f>Levels!Q62/Levels!Q61-1-Levels!$Y61</f>
        <v>3.9124751418946335E-3</v>
      </c>
      <c r="R61" s="16" t="e">
        <f>Levels!R62/Levels!R61-1-Levels!$Y61</f>
        <v>#N/A</v>
      </c>
      <c r="S61" s="16" t="e">
        <f>Levels!S62/Levels!S61-1-Levels!$Y61</f>
        <v>#N/A</v>
      </c>
      <c r="T61" s="16">
        <f>Levels!T62/Levels!T61-1-Levels!$Y61</f>
        <v>-1.8650956207011404E-4</v>
      </c>
      <c r="U61" s="16">
        <f>(Levels!U62/Levels!U61-1-Levels!$Y61)*$Y$2</f>
        <v>5.3175358317367749E-2</v>
      </c>
      <c r="V61" s="16">
        <f>(Levels!V62/Levels!V61-1-Levels!$Y61)</f>
        <v>3.718965345586267E-2</v>
      </c>
    </row>
    <row r="62" spans="1:22" x14ac:dyDescent="0.35">
      <c r="A62" s="23">
        <v>41364</v>
      </c>
      <c r="B62" s="16">
        <f>Levels!B63/Levels!B62-1-Levels!$Y62</f>
        <v>1.1642590092619809E-3</v>
      </c>
      <c r="C62" s="16">
        <f>Levels!C63/Levels!C62-1-Levels!$Y62</f>
        <v>-1.0484367944753048E-3</v>
      </c>
      <c r="D62" s="16">
        <f>Levels!D63/Levels!D62-1-Levels!$Y62</f>
        <v>-4.4033395526178465E-3</v>
      </c>
      <c r="E62" s="16">
        <f>Levels!E63/Levels!E62-1-Levels!$Y62</f>
        <v>6.8874622428096721E-3</v>
      </c>
      <c r="F62" s="16">
        <f>Levels!F63/Levels!F62-1-Levels!$Y62</f>
        <v>9.4259833282572814E-4</v>
      </c>
      <c r="G62" s="16">
        <f>Levels!G63/Levels!G62-1-Levels!$Y62</f>
        <v>5.0559119908055727E-4</v>
      </c>
      <c r="H62" s="16">
        <f>Levels!H63/Levels!H62-1-Levels!$Y62</f>
        <v>-1.2863527176802947E-3</v>
      </c>
      <c r="I62" s="16">
        <f>Levels!I63/Levels!I62-1-Levels!$Y62</f>
        <v>1.3237455445702651E-3</v>
      </c>
      <c r="J62" s="16">
        <f>Levels!J63/Levels!J62-1-Levels!$Y62</f>
        <v>9.9236217975466889E-3</v>
      </c>
      <c r="K62" s="16">
        <f>Levels!K63/Levels!K62-1-Levels!$Y62</f>
        <v>1.2732779833829699E-2</v>
      </c>
      <c r="L62" s="16" t="e">
        <f>Levels!L63/Levels!L62-1-Levels!$Y62</f>
        <v>#N/A</v>
      </c>
      <c r="M62" s="16">
        <f>Levels!M63/Levels!M62-1-Levels!$Y62</f>
        <v>1.0783673823580031E-3</v>
      </c>
      <c r="N62" s="16">
        <f>Levels!N63/Levels!N62-1-Levels!$Y62</f>
        <v>2.8120404365843399E-3</v>
      </c>
      <c r="O62" s="16">
        <f>Levels!O63/Levels!O62-1-Levels!$Y62</f>
        <v>-1.4980855098778445E-4</v>
      </c>
      <c r="P62" s="16">
        <f>Levels!P63/Levels!P62-1-Levels!$Y62</f>
        <v>9.3243189804415039E-4</v>
      </c>
      <c r="Q62" s="16">
        <f>Levels!Q63/Levels!Q62-1-Levels!$Y62</f>
        <v>2.4266379716730846E-3</v>
      </c>
      <c r="R62" s="16" t="e">
        <f>Levels!R63/Levels!R62-1-Levels!$Y62</f>
        <v>#N/A</v>
      </c>
      <c r="S62" s="16" t="e">
        <f>Levels!S63/Levels!S62-1-Levels!$Y62</f>
        <v>#N/A</v>
      </c>
      <c r="T62" s="16">
        <f>Levels!T63/Levels!T62-1-Levels!$Y62</f>
        <v>3.0793114252525289E-3</v>
      </c>
      <c r="U62" s="16">
        <f>(Levels!U63/Levels!U62-1-Levels!$Y62)*$Y$2</f>
        <v>-5.2492937977478777E-3</v>
      </c>
      <c r="V62" s="16">
        <f>(Levels!V63/Levels!V62-1-Levels!$Y62)</f>
        <v>4.1696478972468087E-2</v>
      </c>
    </row>
    <row r="63" spans="1:22" x14ac:dyDescent="0.35">
      <c r="A63" s="23">
        <v>41394</v>
      </c>
      <c r="B63" s="16">
        <f>Levels!B64/Levels!B63-1-Levels!$Y63</f>
        <v>4.4890506931420937E-3</v>
      </c>
      <c r="C63" s="16">
        <f>Levels!C64/Levels!C63-1-Levels!$Y63</f>
        <v>3.9915355512349482E-2</v>
      </c>
      <c r="D63" s="16">
        <f>Levels!D64/Levels!D63-1-Levels!$Y63</f>
        <v>1.0899874345601912E-2</v>
      </c>
      <c r="E63" s="16">
        <f>Levels!E64/Levels!E63-1-Levels!$Y63</f>
        <v>1.5214138161625534E-2</v>
      </c>
      <c r="F63" s="16">
        <f>Levels!F64/Levels!F63-1-Levels!$Y63</f>
        <v>7.1043562327461895E-3</v>
      </c>
      <c r="G63" s="16">
        <f>Levels!G64/Levels!G63-1-Levels!$Y63</f>
        <v>1.140928234109273E-2</v>
      </c>
      <c r="H63" s="16">
        <f>Levels!H64/Levels!H63-1-Levels!$Y63</f>
        <v>1.7846683249675088E-2</v>
      </c>
      <c r="I63" s="16">
        <f>Levels!I64/Levels!I63-1-Levels!$Y63</f>
        <v>2.1369272974937736E-2</v>
      </c>
      <c r="J63" s="16">
        <f>Levels!J64/Levels!J63-1-Levels!$Y63</f>
        <v>1.7055666026740246E-2</v>
      </c>
      <c r="K63" s="16">
        <f>Levels!K64/Levels!K63-1-Levels!$Y63</f>
        <v>3.2316113352662157E-2</v>
      </c>
      <c r="L63" s="16" t="e">
        <f>Levels!L64/Levels!L63-1-Levels!$Y63</f>
        <v>#N/A</v>
      </c>
      <c r="M63" s="16">
        <f>Levels!M64/Levels!M63-1-Levels!$Y63</f>
        <v>5.2570792324848625E-3</v>
      </c>
      <c r="N63" s="16">
        <f>Levels!N64/Levels!N63-1-Levels!$Y63</f>
        <v>8.7675896982046808E-3</v>
      </c>
      <c r="O63" s="16">
        <f>Levels!O64/Levels!O63-1-Levels!$Y63</f>
        <v>3.9507389221604683E-3</v>
      </c>
      <c r="P63" s="16">
        <f>Levels!P64/Levels!P63-1-Levels!$Y63</f>
        <v>2.1607279520010625E-3</v>
      </c>
      <c r="Q63" s="16">
        <f>Levels!Q64/Levels!Q63-1-Levels!$Y63</f>
        <v>3.424599239492343E-3</v>
      </c>
      <c r="R63" s="16" t="e">
        <f>Levels!R64/Levels!R63-1-Levels!$Y63</f>
        <v>#N/A</v>
      </c>
      <c r="S63" s="16" t="e">
        <f>Levels!S64/Levels!S63-1-Levels!$Y63</f>
        <v>#N/A</v>
      </c>
      <c r="T63" s="16">
        <f>Levels!T64/Levels!T63-1-Levels!$Y63</f>
        <v>9.6537697587739668E-3</v>
      </c>
      <c r="U63" s="16">
        <f>(Levels!U64/Levels!U63-1-Levels!$Y63)*$Y$2</f>
        <v>4.6382867591698053E-2</v>
      </c>
      <c r="V63" s="16">
        <f>(Levels!V64/Levels!V63-1-Levels!$Y63)</f>
        <v>-6.4608186948833968E-2</v>
      </c>
    </row>
    <row r="64" spans="1:22" x14ac:dyDescent="0.35">
      <c r="A64" s="23">
        <v>41425</v>
      </c>
      <c r="B64" s="16">
        <f>Levels!B65/Levels!B64-1-Levels!$Y64</f>
        <v>-1.0591423102349506E-2</v>
      </c>
      <c r="C64" s="16">
        <f>Levels!C65/Levels!C64-1-Levels!$Y64</f>
        <v>-6.2414230208052812E-2</v>
      </c>
      <c r="D64" s="16">
        <f>Levels!D65/Levels!D64-1-Levels!$Y64</f>
        <v>-1.2253506999407748E-2</v>
      </c>
      <c r="E64" s="16">
        <f>Levels!E65/Levels!E64-1-Levels!$Y64</f>
        <v>-1.5768247316019446E-2</v>
      </c>
      <c r="F64" s="16">
        <f>Levels!F65/Levels!F64-1-Levels!$Y64</f>
        <v>-1.5785830465210871E-2</v>
      </c>
      <c r="G64" s="16">
        <f>Levels!G65/Levels!G64-1-Levels!$Y64</f>
        <v>-1.856986191156984E-2</v>
      </c>
      <c r="H64" s="16">
        <f>Levels!H65/Levels!H64-1-Levels!$Y64</f>
        <v>-2.3613890953281147E-2</v>
      </c>
      <c r="I64" s="16">
        <f>Levels!I65/Levels!I64-1-Levels!$Y64</f>
        <v>-2.5617378310591632E-2</v>
      </c>
      <c r="J64" s="16">
        <f>Levels!J65/Levels!J64-1-Levels!$Y64</f>
        <v>-5.8481199637394621E-3</v>
      </c>
      <c r="K64" s="16">
        <f>Levels!K65/Levels!K64-1-Levels!$Y64</f>
        <v>-5.7092965538992901E-3</v>
      </c>
      <c r="L64" s="16" t="e">
        <f>Levels!L65/Levels!L64-1-Levels!$Y64</f>
        <v>#N/A</v>
      </c>
      <c r="M64" s="16">
        <f>Levels!M65/Levels!M64-1-Levels!$Y64</f>
        <v>-1.5372648017564328E-2</v>
      </c>
      <c r="N64" s="16">
        <f>Levels!N65/Levels!N64-1-Levels!$Y64</f>
        <v>-8.7134605904529705E-3</v>
      </c>
      <c r="O64" s="16">
        <f>Levels!O65/Levels!O64-1-Levels!$Y64</f>
        <v>-6.3649227612744275E-3</v>
      </c>
      <c r="P64" s="16">
        <f>Levels!P65/Levels!P64-1-Levels!$Y64</f>
        <v>-1.8402487710349469E-3</v>
      </c>
      <c r="Q64" s="16">
        <f>Levels!Q65/Levels!Q64-1-Levels!$Y64</f>
        <v>-7.3091434628114182E-4</v>
      </c>
      <c r="R64" s="16" t="e">
        <f>Levels!R65/Levels!R64-1-Levels!$Y64</f>
        <v>#N/A</v>
      </c>
      <c r="S64" s="16" t="e">
        <f>Levels!S65/Levels!S64-1-Levels!$Y64</f>
        <v>#N/A</v>
      </c>
      <c r="T64" s="16">
        <f>Levels!T65/Levels!T64-1-Levels!$Y64</f>
        <v>-9.5579233339666558E-3</v>
      </c>
      <c r="U64" s="16">
        <f>(Levels!U65/Levels!U64-1-Levels!$Y64)*$Y$2</f>
        <v>-8.168785264970068E-3</v>
      </c>
      <c r="V64" s="16">
        <f>(Levels!V65/Levels!V64-1-Levels!$Y64)</f>
        <v>-3.4186186349522862E-2</v>
      </c>
    </row>
    <row r="65" spans="1:22" x14ac:dyDescent="0.35">
      <c r="A65" s="23">
        <v>41455</v>
      </c>
      <c r="B65" s="16">
        <f>Levels!B66/Levels!B65-1-Levels!$Y65</f>
        <v>-8.2189328100488179E-3</v>
      </c>
      <c r="C65" s="16">
        <f>Levels!C66/Levels!C65-1-Levels!$Y65</f>
        <v>-3.1740739604391055E-2</v>
      </c>
      <c r="D65" s="16">
        <f>Levels!D66/Levels!D65-1-Levels!$Y65</f>
        <v>-2.833229938527293E-2</v>
      </c>
      <c r="E65" s="16">
        <f>Levels!E66/Levels!E65-1-Levels!$Y65</f>
        <v>-1.5012464302870621E-2</v>
      </c>
      <c r="F65" s="16">
        <f>Levels!F66/Levels!F65-1-Levels!$Y65</f>
        <v>-1.0520863104927169E-2</v>
      </c>
      <c r="G65" s="16">
        <f>Levels!G66/Levels!G65-1-Levels!$Y65</f>
        <v>-2.0549690956066957E-2</v>
      </c>
      <c r="H65" s="16">
        <f>Levels!H66/Levels!H65-1-Levels!$Y65</f>
        <v>-2.68306254394024E-2</v>
      </c>
      <c r="I65" s="16">
        <f>Levels!I66/Levels!I65-1-Levels!$Y65</f>
        <v>-3.4149079124858983E-2</v>
      </c>
      <c r="J65" s="16">
        <f>Levels!J66/Levels!J65-1-Levels!$Y65</f>
        <v>-2.5247447956349811E-2</v>
      </c>
      <c r="K65" s="16">
        <f>Levels!K66/Levels!K65-1-Levels!$Y65</f>
        <v>-4.3469492445959212E-2</v>
      </c>
      <c r="L65" s="16" t="e">
        <f>Levels!L66/Levels!L65-1-Levels!$Y65</f>
        <v>#N/A</v>
      </c>
      <c r="M65" s="16">
        <f>Levels!M66/Levels!M65-1-Levels!$Y65</f>
        <v>-9.6420697048666959E-3</v>
      </c>
      <c r="N65" s="16">
        <f>Levels!N66/Levels!N65-1-Levels!$Y65</f>
        <v>-1.4513215132963331E-2</v>
      </c>
      <c r="O65" s="16">
        <f>Levels!O66/Levels!O65-1-Levels!$Y65</f>
        <v>-5.7235013445543492E-3</v>
      </c>
      <c r="P65" s="16">
        <f>Levels!P66/Levels!P65-1-Levels!$Y65</f>
        <v>-5.9017550669681063E-3</v>
      </c>
      <c r="Q65" s="16">
        <f>Levels!Q66/Levels!Q65-1-Levels!$Y65</f>
        <v>-6.7107780937388783E-3</v>
      </c>
      <c r="R65" s="16" t="e">
        <f>Levels!R66/Levels!R65-1-Levels!$Y65</f>
        <v>#N/A</v>
      </c>
      <c r="S65" s="16" t="e">
        <f>Levels!S66/Levels!S65-1-Levels!$Y65</f>
        <v>#N/A</v>
      </c>
      <c r="T65" s="16">
        <f>Levels!T66/Levels!T65-1-Levels!$Y65</f>
        <v>-1.6663665454773269E-2</v>
      </c>
      <c r="U65" s="16">
        <f>(Levels!U66/Levels!U65-1-Levels!$Y65)*$Y$2</f>
        <v>8.318189023998776E-2</v>
      </c>
      <c r="V65" s="16">
        <f>(Levels!V66/Levels!V65-1-Levels!$Y65)</f>
        <v>-1.0861637700156801E-2</v>
      </c>
    </row>
    <row r="66" spans="1:22" x14ac:dyDescent="0.35">
      <c r="A66" s="23">
        <v>41486</v>
      </c>
      <c r="B66" s="16">
        <f>Levels!B67/Levels!B66-1-Levels!$Y66</f>
        <v>1.1882050502036723E-3</v>
      </c>
      <c r="C66" s="16">
        <f>Levels!C67/Levels!C66-1-Levels!$Y66</f>
        <v>-1.8583058084596815E-2</v>
      </c>
      <c r="D66" s="16">
        <f>Levels!D67/Levels!D66-1-Levels!$Y66</f>
        <v>-8.7787843428198675E-3</v>
      </c>
      <c r="E66" s="16">
        <f>Levels!E67/Levels!E66-1-Levels!$Y66</f>
        <v>3.0321135361224272E-3</v>
      </c>
      <c r="F66" s="16">
        <f>Levels!F67/Levels!F66-1-Levels!$Y66</f>
        <v>-7.8981201213346175E-4</v>
      </c>
      <c r="G66" s="16">
        <f>Levels!G67/Levels!G66-1-Levels!$Y66</f>
        <v>3.3927940135709544E-3</v>
      </c>
      <c r="H66" s="16">
        <f>Levels!H67/Levels!H66-1-Levels!$Y66</f>
        <v>7.9314113610271519E-3</v>
      </c>
      <c r="I66" s="16">
        <f>Levels!I67/Levels!I66-1-Levels!$Y66</f>
        <v>8.0301283802051149E-3</v>
      </c>
      <c r="J66" s="16">
        <f>Levels!J67/Levels!J66-1-Levels!$Y66</f>
        <v>1.9738240245981808E-2</v>
      </c>
      <c r="K66" s="16">
        <f>Levels!K67/Levels!K66-1-Levels!$Y66</f>
        <v>4.0720835089140817E-3</v>
      </c>
      <c r="L66" s="16" t="e">
        <f>Levels!L67/Levels!L66-1-Levels!$Y66</f>
        <v>#N/A</v>
      </c>
      <c r="M66" s="16">
        <f>Levels!M67/Levels!M66-1-Levels!$Y66</f>
        <v>-9.2717119961027716E-4</v>
      </c>
      <c r="N66" s="16">
        <f>Levels!N67/Levels!N66-1-Levels!$Y66</f>
        <v>5.1145119518538618E-3</v>
      </c>
      <c r="O66" s="16">
        <f>Levels!O67/Levels!O66-1-Levels!$Y66</f>
        <v>-1.8747472587894443E-3</v>
      </c>
      <c r="P66" s="16">
        <f>Levels!P67/Levels!P66-1-Levels!$Y66</f>
        <v>-3.1623064048078575E-3</v>
      </c>
      <c r="Q66" s="16">
        <f>Levels!Q67/Levels!Q66-1-Levels!$Y66</f>
        <v>-3.9167561348674163E-3</v>
      </c>
      <c r="R66" s="16" t="e">
        <f>Levels!R67/Levels!R66-1-Levels!$Y66</f>
        <v>#N/A</v>
      </c>
      <c r="S66" s="16" t="e">
        <f>Levels!S67/Levels!S66-1-Levels!$Y66</f>
        <v>#N/A</v>
      </c>
      <c r="T66" s="16">
        <f>Levels!T67/Levels!T66-1-Levels!$Y66</f>
        <v>5.477609020669183E-3</v>
      </c>
      <c r="U66" s="16">
        <f>(Levels!U67/Levels!U66-1-Levels!$Y66)*$Y$2</f>
        <v>-3.9479639863713924E-2</v>
      </c>
      <c r="V66" s="16">
        <f>(Levels!V67/Levels!V66-1-Levels!$Y66)</f>
        <v>-3.9039664774930372E-2</v>
      </c>
    </row>
    <row r="67" spans="1:22" x14ac:dyDescent="0.35">
      <c r="A67" s="23">
        <v>41517</v>
      </c>
      <c r="B67" s="16">
        <f>Levels!B68/Levels!B67-1-Levels!$Y67</f>
        <v>-4.5563666173117356E-3</v>
      </c>
      <c r="C67" s="16">
        <f>Levels!C68/Levels!C67-1-Levels!$Y67</f>
        <v>-7.5170151107663008E-3</v>
      </c>
      <c r="D67" s="16">
        <f>Levels!D68/Levels!D67-1-Levels!$Y67</f>
        <v>-1.4295375936135502E-2</v>
      </c>
      <c r="E67" s="16">
        <f>Levels!E68/Levels!E67-1-Levels!$Y67</f>
        <v>-5.9694982920180939E-3</v>
      </c>
      <c r="F67" s="16">
        <f>Levels!F68/Levels!F67-1-Levels!$Y67</f>
        <v>-4.0368742872836094E-3</v>
      </c>
      <c r="G67" s="16">
        <f>Levels!G68/Levels!G67-1-Levels!$Y67</f>
        <v>-6.5600567850575553E-3</v>
      </c>
      <c r="H67" s="16">
        <f>Levels!H68/Levels!H67-1-Levels!$Y67</f>
        <v>-7.2837191691916825E-3</v>
      </c>
      <c r="I67" s="16">
        <f>Levels!I68/Levels!I67-1-Levels!$Y67</f>
        <v>-9.8172975824236675E-3</v>
      </c>
      <c r="J67" s="16">
        <f>Levels!J68/Levels!J67-1-Levels!$Y67</f>
        <v>-5.4648033199474755E-3</v>
      </c>
      <c r="K67" s="16">
        <f>Levels!K68/Levels!K67-1-Levels!$Y67</f>
        <v>-1.7867056426347894E-2</v>
      </c>
      <c r="L67" s="16" t="e">
        <f>Levels!L68/Levels!L67-1-Levels!$Y67</f>
        <v>#N/A</v>
      </c>
      <c r="M67" s="16">
        <f>Levels!M68/Levels!M67-1-Levels!$Y67</f>
        <v>-2.8904313933090231E-3</v>
      </c>
      <c r="N67" s="16">
        <f>Levels!N68/Levels!N67-1-Levels!$Y67</f>
        <v>-4.1082368291593951E-3</v>
      </c>
      <c r="O67" s="16">
        <f>Levels!O68/Levels!O67-1-Levels!$Y67</f>
        <v>-2.1056879555354513E-3</v>
      </c>
      <c r="P67" s="16">
        <f>Levels!P68/Levels!P67-1-Levels!$Y67</f>
        <v>-5.6242202986245271E-3</v>
      </c>
      <c r="Q67" s="16">
        <f>Levels!Q68/Levels!Q67-1-Levels!$Y67</f>
        <v>-6.589077033438584E-3</v>
      </c>
      <c r="R67" s="16" t="e">
        <f>Levels!R68/Levels!R67-1-Levels!$Y67</f>
        <v>#N/A</v>
      </c>
      <c r="S67" s="16" t="e">
        <f>Levels!S68/Levels!S67-1-Levels!$Y67</f>
        <v>#N/A</v>
      </c>
      <c r="T67" s="16">
        <f>Levels!T68/Levels!T67-1-Levels!$Y67</f>
        <v>-4.6486351605352638E-3</v>
      </c>
      <c r="U67" s="16">
        <f>(Levels!U68/Levels!U67-1-Levels!$Y67)*$Y$2</f>
        <v>7.461627509036424E-2</v>
      </c>
      <c r="V67" s="16">
        <f>(Levels!V68/Levels!V67-1-Levels!$Y67)</f>
        <v>2.6783981305372961E-2</v>
      </c>
    </row>
    <row r="68" spans="1:22" x14ac:dyDescent="0.35">
      <c r="A68" s="23">
        <v>41547</v>
      </c>
      <c r="B68" s="16">
        <f>Levels!B69/Levels!B68-1-Levels!$Y68</f>
        <v>7.3856004090153693E-3</v>
      </c>
      <c r="C68" s="16">
        <f>Levels!C69/Levels!C68-1-Levels!$Y68</f>
        <v>3.6844986727173623E-3</v>
      </c>
      <c r="D68" s="16">
        <f>Levels!D69/Levels!D68-1-Levels!$Y68</f>
        <v>2.150045743674589E-2</v>
      </c>
      <c r="E68" s="16">
        <f>Levels!E69/Levels!E68-1-Levels!$Y68</f>
        <v>7.6326035814735516E-3</v>
      </c>
      <c r="F68" s="16">
        <f>Levels!F69/Levels!F68-1-Levels!$Y68</f>
        <v>9.8426423940232155E-3</v>
      </c>
      <c r="G68" s="16">
        <f>Levels!G69/Levels!G68-1-Levels!$Y68</f>
        <v>7.7733452395427616E-3</v>
      </c>
      <c r="H68" s="16">
        <f>Levels!H69/Levels!H68-1-Levels!$Y68</f>
        <v>7.5679175704173041E-3</v>
      </c>
      <c r="I68" s="16">
        <f>Levels!I69/Levels!I68-1-Levels!$Y68</f>
        <v>9.6185643718931235E-3</v>
      </c>
      <c r="J68" s="16">
        <f>Levels!J69/Levels!J68-1-Levels!$Y68</f>
        <v>1.0004892498494566E-2</v>
      </c>
      <c r="K68" s="16">
        <f>Levels!K69/Levels!K68-1-Levels!$Y68</f>
        <v>8.0610342924249956E-3</v>
      </c>
      <c r="L68" s="16">
        <f>Levels!L69/Levels!L68-1-Levels!$Y68</f>
        <v>9.5854512041071427E-3</v>
      </c>
      <c r="M68" s="16">
        <f>Levels!M69/Levels!M68-1-Levels!$Y68</f>
        <v>1.4059978854159105E-2</v>
      </c>
      <c r="N68" s="16">
        <f>Levels!N69/Levels!N68-1-Levels!$Y68</f>
        <v>9.1304802028344678E-3</v>
      </c>
      <c r="O68" s="16">
        <f>Levels!O69/Levels!O68-1-Levels!$Y68</f>
        <v>5.5763589346577991E-3</v>
      </c>
      <c r="P68" s="16">
        <f>Levels!P69/Levels!P68-1-Levels!$Y68</f>
        <v>-4.2002947040544747E-3</v>
      </c>
      <c r="Q68" s="16">
        <f>Levels!Q69/Levels!Q68-1-Levels!$Y68</f>
        <v>-5.2925711001413633E-3</v>
      </c>
      <c r="R68" s="16" t="e">
        <f>Levels!R69/Levels!R68-1-Levels!$Y68</f>
        <v>#N/A</v>
      </c>
      <c r="S68" s="16" t="e">
        <f>Levels!S69/Levels!S68-1-Levels!$Y68</f>
        <v>#N/A</v>
      </c>
      <c r="T68" s="16">
        <f>Levels!T69/Levels!T68-1-Levels!$Y68</f>
        <v>9.7451218046213928E-3</v>
      </c>
      <c r="U68" s="16">
        <f>(Levels!U69/Levels!U68-1-Levels!$Y68)*$Y$2</f>
        <v>2.9435276388410345E-2</v>
      </c>
      <c r="V68" s="16">
        <f>(Levels!V69/Levels!V68-1-Levels!$Y68)</f>
        <v>2.215724118493112E-2</v>
      </c>
    </row>
    <row r="69" spans="1:22" x14ac:dyDescent="0.35">
      <c r="A69" s="23">
        <v>41578</v>
      </c>
      <c r="B69" s="16">
        <f>Levels!B70/Levels!B69-1-Levels!$Y69</f>
        <v>3.7684486588074328E-3</v>
      </c>
      <c r="C69" s="16">
        <f>Levels!C70/Levels!C69-1-Levels!$Y69</f>
        <v>1.3304843181172199E-2</v>
      </c>
      <c r="D69" s="16">
        <f>Levels!D70/Levels!D69-1-Levels!$Y69</f>
        <v>7.8895060170811604E-3</v>
      </c>
      <c r="E69" s="16">
        <f>Levels!E70/Levels!E69-1-Levels!$Y69</f>
        <v>7.7165352015911015E-3</v>
      </c>
      <c r="F69" s="16">
        <f>Levels!F70/Levels!F69-1-Levels!$Y69</f>
        <v>5.6503716916644908E-3</v>
      </c>
      <c r="G69" s="16">
        <f>Levels!G70/Levels!G69-1-Levels!$Y69</f>
        <v>8.5622891461438755E-3</v>
      </c>
      <c r="H69" s="16">
        <f>Levels!H70/Levels!H69-1-Levels!$Y69</f>
        <v>1.3597633208265902E-2</v>
      </c>
      <c r="I69" s="16">
        <f>Levels!I70/Levels!I69-1-Levels!$Y69</f>
        <v>1.7994544964803572E-2</v>
      </c>
      <c r="J69" s="16">
        <f>Levels!J70/Levels!J69-1-Levels!$Y69</f>
        <v>2.4464345500150975E-2</v>
      </c>
      <c r="K69" s="16">
        <f>Levels!K70/Levels!K69-1-Levels!$Y69</f>
        <v>3.6135037016839622E-2</v>
      </c>
      <c r="L69" s="16">
        <f>Levels!L70/Levels!L69-1-Levels!$Y69</f>
        <v>1.2227495943787581E-2</v>
      </c>
      <c r="M69" s="16">
        <f>Levels!M70/Levels!M69-1-Levels!$Y69</f>
        <v>6.8064189934708974E-3</v>
      </c>
      <c r="N69" s="16">
        <f>Levels!N70/Levels!N69-1-Levels!$Y69</f>
        <v>7.1512450582600362E-3</v>
      </c>
      <c r="O69" s="16">
        <f>Levels!O70/Levels!O69-1-Levels!$Y69</f>
        <v>3.2365768210085299E-3</v>
      </c>
      <c r="P69" s="16">
        <f>Levels!P70/Levels!P69-1-Levels!$Y69</f>
        <v>-4.9923158991349581E-3</v>
      </c>
      <c r="Q69" s="16">
        <f>Levels!Q70/Levels!Q69-1-Levels!$Y69</f>
        <v>-5.9871788207117582E-3</v>
      </c>
      <c r="R69" s="16" t="e">
        <f>Levels!R70/Levels!R69-1-Levels!$Y69</f>
        <v>#N/A</v>
      </c>
      <c r="S69" s="16" t="e">
        <f>Levels!S70/Levels!S69-1-Levels!$Y69</f>
        <v>#N/A</v>
      </c>
      <c r="T69" s="16">
        <f>Levels!T70/Levels!T69-1-Levels!$Y69</f>
        <v>8.0070085330894436E-3</v>
      </c>
      <c r="U69" s="16">
        <f>(Levels!U70/Levels!U69-1-Levels!$Y69)*$Y$2</f>
        <v>4.661109768912812E-2</v>
      </c>
      <c r="V69" s="16">
        <f>(Levels!V70/Levels!V69-1-Levels!$Y69)</f>
        <v>-3.7937615038343253E-2</v>
      </c>
    </row>
    <row r="70" spans="1:22" x14ac:dyDescent="0.35">
      <c r="A70" s="23">
        <v>41608</v>
      </c>
      <c r="B70" s="16">
        <f>Levels!B71/Levels!B70-1-Levels!$Y70</f>
        <v>-6.2908370116143697E-4</v>
      </c>
      <c r="C70" s="16">
        <f>Levels!C71/Levels!C70-1-Levels!$Y70</f>
        <v>-2.4689665355309143E-2</v>
      </c>
      <c r="D70" s="16">
        <f>Levels!D71/Levels!D70-1-Levels!$Y70</f>
        <v>-2.0936212829532064E-3</v>
      </c>
      <c r="E70" s="16">
        <f>Levels!E71/Levels!E70-1-Levels!$Y70</f>
        <v>-2.7093481826355736E-3</v>
      </c>
      <c r="F70" s="16">
        <f>Levels!F71/Levels!F70-1-Levels!$Y70</f>
        <v>-4.1798651689433086E-3</v>
      </c>
      <c r="G70" s="16">
        <f>Levels!G71/Levels!G70-1-Levels!$Y70</f>
        <v>-4.3215318579670203E-4</v>
      </c>
      <c r="H70" s="16">
        <f>Levels!H71/Levels!H70-1-Levels!$Y70</f>
        <v>-1.79912870312815E-3</v>
      </c>
      <c r="I70" s="16">
        <f>Levels!I71/Levels!I70-1-Levels!$Y70</f>
        <v>-4.4345361110788017E-3</v>
      </c>
      <c r="J70" s="16">
        <f>Levels!J71/Levels!J70-1-Levels!$Y70</f>
        <v>5.233802861594139E-3</v>
      </c>
      <c r="K70" s="16">
        <f>Levels!K71/Levels!K70-1-Levels!$Y70</f>
        <v>1.3079214035072173E-3</v>
      </c>
      <c r="L70" s="16">
        <f>Levels!L71/Levels!L70-1-Levels!$Y70</f>
        <v>-1.2653988067354849E-3</v>
      </c>
      <c r="M70" s="16">
        <f>Levels!M71/Levels!M70-1-Levels!$Y70</f>
        <v>-6.2551527019933939E-3</v>
      </c>
      <c r="N70" s="16">
        <f>Levels!N71/Levels!N70-1-Levels!$Y70</f>
        <v>1.0343948349536003E-3</v>
      </c>
      <c r="O70" s="16">
        <f>Levels!O71/Levels!O70-1-Levels!$Y70</f>
        <v>2.1235112610655804E-3</v>
      </c>
      <c r="P70" s="16">
        <f>Levels!P71/Levels!P70-1-Levels!$Y70</f>
        <v>-1.2505889614953247E-3</v>
      </c>
      <c r="Q70" s="16">
        <f>Levels!Q71/Levels!Q70-1-Levels!$Y70</f>
        <v>-2.3184915816389928E-3</v>
      </c>
      <c r="R70" s="16" t="e">
        <f>Levels!R71/Levels!R70-1-Levels!$Y70</f>
        <v>#N/A</v>
      </c>
      <c r="S70" s="16" t="e">
        <f>Levels!S71/Levels!S70-1-Levels!$Y70</f>
        <v>#N/A</v>
      </c>
      <c r="T70" s="16">
        <f>Levels!T71/Levels!T70-1-Levels!$Y70</f>
        <v>8.8598974427256394E-4</v>
      </c>
      <c r="U70" s="16">
        <f>(Levels!U71/Levels!U70-1-Levels!$Y70)*$Y$2</f>
        <v>2.1748880244110057E-2</v>
      </c>
      <c r="V70" s="16">
        <f>(Levels!V71/Levels!V70-1-Levels!$Y70)</f>
        <v>-1.4759144474305708E-2</v>
      </c>
    </row>
    <row r="71" spans="1:22" x14ac:dyDescent="0.35">
      <c r="A71" s="23">
        <v>41639</v>
      </c>
      <c r="B71" s="16">
        <f>Levels!B72/Levels!B71-1-Levels!$Y71</f>
        <v>-7.8593082492309785E-3</v>
      </c>
      <c r="C71" s="16">
        <f>Levels!C72/Levels!C71-1-Levels!$Y71</f>
        <v>-1.9412401858927009E-2</v>
      </c>
      <c r="D71" s="16">
        <f>Levels!D72/Levels!D71-1-Levels!$Y71</f>
        <v>-2.6015664417635698E-3</v>
      </c>
      <c r="E71" s="16">
        <f>Levels!E72/Levels!E71-1-Levels!$Y71</f>
        <v>-4.4311237685022986E-3</v>
      </c>
      <c r="F71" s="16">
        <f>Levels!F72/Levels!F71-1-Levels!$Y71</f>
        <v>-7.0223493322975061E-3</v>
      </c>
      <c r="G71" s="16">
        <f>Levels!G72/Levels!G71-1-Levels!$Y71</f>
        <v>-5.9436357171379628E-3</v>
      </c>
      <c r="H71" s="16">
        <f>Levels!H72/Levels!H71-1-Levels!$Y71</f>
        <v>-2.8702094951804646E-3</v>
      </c>
      <c r="I71" s="16">
        <f>Levels!I72/Levels!I71-1-Levels!$Y71</f>
        <v>-1.2003420831574463E-4</v>
      </c>
      <c r="J71" s="16">
        <f>Levels!J72/Levels!J71-1-Levels!$Y71</f>
        <v>5.1949007896854305E-3</v>
      </c>
      <c r="K71" s="16">
        <f>Levels!K72/Levels!K71-1-Levels!$Y71</f>
        <v>8.2634721497558683E-3</v>
      </c>
      <c r="L71" s="16">
        <f>Levels!L72/Levels!L71-1-Levels!$Y71</f>
        <v>-4.0577451513371665E-3</v>
      </c>
      <c r="M71" s="16">
        <f>Levels!M72/Levels!M71-1-Levels!$Y71</f>
        <v>-4.7666167555933114E-3</v>
      </c>
      <c r="N71" s="16">
        <f>Levels!N72/Levels!N71-1-Levels!$Y71</f>
        <v>-2.927550591240502E-3</v>
      </c>
      <c r="O71" s="16">
        <f>Levels!O72/Levels!O71-1-Levels!$Y71</f>
        <v>-2.2621092307844037E-3</v>
      </c>
      <c r="P71" s="16">
        <f>Levels!P72/Levels!P71-1-Levels!$Y71</f>
        <v>2.8024208430073028E-3</v>
      </c>
      <c r="Q71" s="16">
        <f>Levels!Q72/Levels!Q71-1-Levels!$Y71</f>
        <v>3.4763948142284562E-3</v>
      </c>
      <c r="R71" s="16" t="e">
        <f>Levels!R72/Levels!R71-1-Levels!$Y71</f>
        <v>#N/A</v>
      </c>
      <c r="S71" s="16" t="e">
        <f>Levels!S72/Levels!S71-1-Levels!$Y71</f>
        <v>#N/A</v>
      </c>
      <c r="T71" s="16">
        <f>Levels!T72/Levels!T71-1-Levels!$Y71</f>
        <v>-3.1350976957364995E-3</v>
      </c>
      <c r="U71" s="16">
        <f>(Levels!U72/Levels!U71-1-Levels!$Y71)*$Y$2</f>
        <v>-3.3841629013488903E-2</v>
      </c>
      <c r="V71" s="16">
        <f>(Levels!V72/Levels!V71-1-Levels!$Y71)</f>
        <v>1.768392263927443E-2</v>
      </c>
    </row>
    <row r="72" spans="1:22" x14ac:dyDescent="0.35">
      <c r="A72" s="23">
        <v>41670</v>
      </c>
      <c r="B72" s="16">
        <f>Levels!B73/Levels!B72-1-Levels!$Y72</f>
        <v>8.4642199432702903E-3</v>
      </c>
      <c r="C72" s="16">
        <f>Levels!C73/Levels!C72-1-Levels!$Y72</f>
        <v>5.5237156541189547E-2</v>
      </c>
      <c r="D72" s="16">
        <f>Levels!D73/Levels!D72-1-Levels!$Y72</f>
        <v>1.9428434617769108E-2</v>
      </c>
      <c r="E72" s="16">
        <f>Levels!E73/Levels!E72-1-Levels!$Y72</f>
        <v>1.2408911482850504E-2</v>
      </c>
      <c r="F72" s="16">
        <f>Levels!F73/Levels!F72-1-Levels!$Y72</f>
        <v>1.3957587671661553E-2</v>
      </c>
      <c r="G72" s="16">
        <f>Levels!G73/Levels!G72-1-Levels!$Y72</f>
        <v>1.5085706400311372E-2</v>
      </c>
      <c r="H72" s="16">
        <f>Levels!H73/Levels!H72-1-Levels!$Y72</f>
        <v>1.7671683025394902E-2</v>
      </c>
      <c r="I72" s="16">
        <f>Levels!I73/Levels!I72-1-Levels!$Y72</f>
        <v>1.6582126984862944E-2</v>
      </c>
      <c r="J72" s="16">
        <f>Levels!J73/Levels!J72-1-Levels!$Y72</f>
        <v>6.5226569669780687E-3</v>
      </c>
      <c r="K72" s="16">
        <f>Levels!K73/Levels!K72-1-Levels!$Y72</f>
        <v>1.4916815732795019E-2</v>
      </c>
      <c r="L72" s="16">
        <f>Levels!L73/Levels!L72-1-Levels!$Y72</f>
        <v>1.1369739173172855E-2</v>
      </c>
      <c r="M72" s="16">
        <f>Levels!M73/Levels!M72-1-Levels!$Y72</f>
        <v>1.5576768359154558E-2</v>
      </c>
      <c r="N72" s="16">
        <f>Levels!N73/Levels!N72-1-Levels!$Y72</f>
        <v>8.1313182349065372E-3</v>
      </c>
      <c r="O72" s="16">
        <f>Levels!O73/Levels!O72-1-Levels!$Y72</f>
        <v>4.3807519376470871E-3</v>
      </c>
      <c r="P72" s="16">
        <f>Levels!P73/Levels!P72-1-Levels!$Y72</f>
        <v>4.4441940239385858E-3</v>
      </c>
      <c r="Q72" s="16">
        <f>Levels!Q73/Levels!Q72-1-Levels!$Y72</f>
        <v>4.9248459972521808E-3</v>
      </c>
      <c r="R72" s="16" t="e">
        <f>Levels!R73/Levels!R72-1-Levels!$Y72</f>
        <v>#N/A</v>
      </c>
      <c r="S72" s="16" t="e">
        <f>Levels!S73/Levels!S72-1-Levels!$Y72</f>
        <v>#N/A</v>
      </c>
      <c r="T72" s="16">
        <f>Levels!T73/Levels!T72-1-Levels!$Y72</f>
        <v>8.7634880853335595E-3</v>
      </c>
      <c r="U72" s="16">
        <f>(Levels!U73/Levels!U72-1-Levels!$Y72)*$Y$2</f>
        <v>5.5269457516897803E-2</v>
      </c>
      <c r="V72" s="16">
        <f>(Levels!V73/Levels!V72-1-Levels!$Y72)</f>
        <v>1.397232527129133E-2</v>
      </c>
    </row>
    <row r="73" spans="1:22" x14ac:dyDescent="0.35">
      <c r="A73" s="23">
        <v>41698</v>
      </c>
      <c r="B73" s="16">
        <f>Levels!B74/Levels!B73-1-Levels!$Y73</f>
        <v>2.0006006055950376E-3</v>
      </c>
      <c r="C73" s="16">
        <f>Levels!C74/Levels!C73-1-Levels!$Y73</f>
        <v>8.2480194125507111E-3</v>
      </c>
      <c r="D73" s="16">
        <f>Levels!D74/Levels!D73-1-Levels!$Y73</f>
        <v>1.170610736974842E-2</v>
      </c>
      <c r="E73" s="16">
        <f>Levels!E74/Levels!E73-1-Levels!$Y73</f>
        <v>5.1820203657779729E-3</v>
      </c>
      <c r="F73" s="16">
        <f>Levels!F74/Levels!F73-1-Levels!$Y73</f>
        <v>3.0834082953259401E-3</v>
      </c>
      <c r="G73" s="16">
        <f>Levels!G74/Levels!G73-1-Levels!$Y73</f>
        <v>6.0211609072191585E-3</v>
      </c>
      <c r="H73" s="16">
        <f>Levels!H74/Levels!H73-1-Levels!$Y73</f>
        <v>9.3584762225900064E-3</v>
      </c>
      <c r="I73" s="16">
        <f>Levels!I74/Levels!I73-1-Levels!$Y73</f>
        <v>1.4795301797580374E-2</v>
      </c>
      <c r="J73" s="16">
        <f>Levels!J74/Levels!J73-1-Levels!$Y73</f>
        <v>1.9265527368812041E-2</v>
      </c>
      <c r="K73" s="16">
        <f>Levels!K74/Levels!K73-1-Levels!$Y73</f>
        <v>3.8262814811972801E-2</v>
      </c>
      <c r="L73" s="16">
        <f>Levels!L74/Levels!L73-1-Levels!$Y73</f>
        <v>7.6885225873966068E-3</v>
      </c>
      <c r="M73" s="16">
        <f>Levels!M74/Levels!M73-1-Levels!$Y73</f>
        <v>3.4232583100812786E-3</v>
      </c>
      <c r="N73" s="16">
        <f>Levels!N74/Levels!N73-1-Levels!$Y73</f>
        <v>5.7090211664541091E-3</v>
      </c>
      <c r="O73" s="16">
        <f>Levels!O74/Levels!O73-1-Levels!$Y73</f>
        <v>2.3159568429516053E-3</v>
      </c>
      <c r="P73" s="16">
        <f>Levels!P74/Levels!P73-1-Levels!$Y73</f>
        <v>7.2497961510737952E-3</v>
      </c>
      <c r="Q73" s="16">
        <f>Levels!Q74/Levels!Q73-1-Levels!$Y73</f>
        <v>9.0676413112718013E-3</v>
      </c>
      <c r="R73" s="16" t="e">
        <f>Levels!R74/Levels!R73-1-Levels!$Y73</f>
        <v>#N/A</v>
      </c>
      <c r="S73" s="16" t="e">
        <f>Levels!S74/Levels!S73-1-Levels!$Y73</f>
        <v>#N/A</v>
      </c>
      <c r="T73" s="16">
        <f>Levels!T74/Levels!T73-1-Levels!$Y73</f>
        <v>6.1221207757273799E-3</v>
      </c>
      <c r="U73" s="16">
        <f>(Levels!U74/Levels!U73-1-Levels!$Y73)*$Y$2</f>
        <v>-1.0156299351721064E-2</v>
      </c>
      <c r="V73" s="16">
        <f>(Levels!V74/Levels!V73-1-Levels!$Y73)</f>
        <v>-8.2100250977035216E-4</v>
      </c>
    </row>
    <row r="74" spans="1:22" x14ac:dyDescent="0.35">
      <c r="A74" s="23">
        <v>41729</v>
      </c>
      <c r="B74" s="16">
        <f>Levels!B75/Levels!B74-1-Levels!$Y74</f>
        <v>-4.0997693060149665E-3</v>
      </c>
      <c r="C74" s="16">
        <f>Levels!C75/Levels!C74-1-Levels!$Y74</f>
        <v>6.54410793452187E-3</v>
      </c>
      <c r="D74" s="16">
        <f>Levels!D75/Levels!D74-1-Levels!$Y74</f>
        <v>1.6380831523425954E-3</v>
      </c>
      <c r="E74" s="16">
        <f>Levels!E75/Levels!E74-1-Levels!$Y74</f>
        <v>3.3467774722308885E-3</v>
      </c>
      <c r="F74" s="16">
        <f>Levels!F75/Levels!F74-1-Levels!$Y74</f>
        <v>-2.9455148217930605E-3</v>
      </c>
      <c r="G74" s="16">
        <f>Levels!G75/Levels!G74-1-Levels!$Y74</f>
        <v>-7.1650490210029005E-4</v>
      </c>
      <c r="H74" s="16">
        <f>Levels!H75/Levels!H74-1-Levels!$Y74</f>
        <v>-5.5313026338321691E-4</v>
      </c>
      <c r="I74" s="16">
        <f>Levels!I75/Levels!I74-1-Levels!$Y74</f>
        <v>3.9918931239311117E-3</v>
      </c>
      <c r="J74" s="16">
        <f>Levels!J75/Levels!J74-1-Levels!$Y74</f>
        <v>2.182421146214697E-3</v>
      </c>
      <c r="K74" s="16">
        <f>Levels!K75/Levels!K74-1-Levels!$Y74</f>
        <v>4.983786385401201E-3</v>
      </c>
      <c r="L74" s="16">
        <f>Levels!L75/Levels!L74-1-Levels!$Y74</f>
        <v>1.8663652286572407E-3</v>
      </c>
      <c r="M74" s="16">
        <f>Levels!M75/Levels!M74-1-Levels!$Y74</f>
        <v>-3.2538785792036728E-3</v>
      </c>
      <c r="N74" s="16">
        <f>Levels!N75/Levels!N74-1-Levels!$Y74</f>
        <v>-1.093279803774494E-3</v>
      </c>
      <c r="O74" s="16">
        <f>Levels!O75/Levels!O74-1-Levels!$Y74</f>
        <v>-1.4566893515455259E-3</v>
      </c>
      <c r="P74" s="16">
        <f>Levels!P75/Levels!P74-1-Levels!$Y74</f>
        <v>5.8544054479627849E-3</v>
      </c>
      <c r="Q74" s="16">
        <f>Levels!Q75/Levels!Q74-1-Levels!$Y74</f>
        <v>8.0941770538593971E-3</v>
      </c>
      <c r="R74" s="16" t="e">
        <f>Levels!R75/Levels!R74-1-Levels!$Y74</f>
        <v>#N/A</v>
      </c>
      <c r="S74" s="16" t="e">
        <f>Levels!S75/Levels!S74-1-Levels!$Y74</f>
        <v>#N/A</v>
      </c>
      <c r="T74" s="16">
        <f>Levels!T75/Levels!T74-1-Levels!$Y74</f>
        <v>-9.8098802880386415E-4</v>
      </c>
      <c r="U74" s="16">
        <f>(Levels!U75/Levels!U74-1-Levels!$Y74)*$Y$2</f>
        <v>-4.7289345236731249E-2</v>
      </c>
      <c r="V74" s="16">
        <f>(Levels!V75/Levels!V74-1-Levels!$Y74)</f>
        <v>2.1665217920113555E-2</v>
      </c>
    </row>
    <row r="75" spans="1:22" x14ac:dyDescent="0.35">
      <c r="A75" s="23">
        <v>41759</v>
      </c>
      <c r="B75" s="16">
        <f>Levels!B76/Levels!B75-1-Levels!$Y75</f>
        <v>3.609842174381761E-3</v>
      </c>
      <c r="C75" s="16">
        <f>Levels!C76/Levels!C75-1-Levels!$Y75</f>
        <v>1.9944456211859141E-2</v>
      </c>
      <c r="D75" s="16">
        <f>Levels!D76/Levels!D75-1-Levels!$Y75</f>
        <v>1.1989597390855922E-2</v>
      </c>
      <c r="E75" s="16">
        <f>Levels!E76/Levels!E75-1-Levels!$Y75</f>
        <v>5.9523155219802781E-3</v>
      </c>
      <c r="F75" s="16">
        <f>Levels!F76/Levels!F75-1-Levels!$Y75</f>
        <v>6.9911474296875387E-3</v>
      </c>
      <c r="G75" s="16">
        <f>Levels!G76/Levels!G75-1-Levels!$Y75</f>
        <v>7.9833357053786802E-3</v>
      </c>
      <c r="H75" s="16">
        <f>Levels!H76/Levels!H75-1-Levels!$Y75</f>
        <v>1.056480852512176E-2</v>
      </c>
      <c r="I75" s="16">
        <f>Levels!I76/Levels!I75-1-Levels!$Y75</f>
        <v>1.5158287680307803E-2</v>
      </c>
      <c r="J75" s="16">
        <f>Levels!J76/Levels!J75-1-Levels!$Y75</f>
        <v>5.4601062808392609E-3</v>
      </c>
      <c r="K75" s="16">
        <f>Levels!K76/Levels!K75-1-Levels!$Y75</f>
        <v>2.2023655550116983E-2</v>
      </c>
      <c r="L75" s="16">
        <f>Levels!L76/Levels!L75-1-Levels!$Y75</f>
        <v>8.211524936339476E-3</v>
      </c>
      <c r="M75" s="16">
        <f>Levels!M76/Levels!M75-1-Levels!$Y75</f>
        <v>9.2157069839593486E-3</v>
      </c>
      <c r="N75" s="16">
        <f>Levels!N76/Levels!N75-1-Levels!$Y75</f>
        <v>4.7368264141316452E-3</v>
      </c>
      <c r="O75" s="16">
        <f>Levels!O76/Levels!O75-1-Levels!$Y75</f>
        <v>3.4089302753368411E-3</v>
      </c>
      <c r="P75" s="16">
        <f>Levels!P76/Levels!P75-1-Levels!$Y75</f>
        <v>5.4033678940199614E-3</v>
      </c>
      <c r="Q75" s="16">
        <f>Levels!Q76/Levels!Q75-1-Levels!$Y75</f>
        <v>7.7073064498844879E-3</v>
      </c>
      <c r="R75" s="16" t="e">
        <f>Levels!R76/Levels!R75-1-Levels!$Y75</f>
        <v>#N/A</v>
      </c>
      <c r="S75" s="16" t="e">
        <f>Levels!S76/Levels!S75-1-Levels!$Y75</f>
        <v>#N/A</v>
      </c>
      <c r="T75" s="16">
        <f>Levels!T76/Levels!T75-1-Levels!$Y75</f>
        <v>5.531192464466983E-3</v>
      </c>
      <c r="U75" s="16">
        <f>(Levels!U76/Levels!U75-1-Levels!$Y75)*$Y$2</f>
        <v>8.1028869986108799E-3</v>
      </c>
      <c r="V75" s="16">
        <f>(Levels!V76/Levels!V75-1-Levels!$Y75)</f>
        <v>4.4679867907633453E-2</v>
      </c>
    </row>
    <row r="76" spans="1:22" x14ac:dyDescent="0.35">
      <c r="A76" s="23">
        <v>41790</v>
      </c>
      <c r="B76" s="16">
        <f>Levels!B77/Levels!B76-1-Levels!$Y76</f>
        <v>6.8387074813105464E-3</v>
      </c>
      <c r="C76" s="16">
        <f>Levels!C77/Levels!C76-1-Levels!$Y76</f>
        <v>2.8737481899568484E-2</v>
      </c>
      <c r="D76" s="16">
        <f>Levels!D77/Levels!D76-1-Levels!$Y76</f>
        <v>1.2857322420271045E-2</v>
      </c>
      <c r="E76" s="16">
        <f>Levels!E77/Levels!E76-1-Levels!$Y76</f>
        <v>9.8189062655247294E-3</v>
      </c>
      <c r="F76" s="16">
        <f>Levels!F77/Levels!F76-1-Levels!$Y76</f>
        <v>1.0244568475100024E-2</v>
      </c>
      <c r="G76" s="16">
        <f>Levels!G77/Levels!G76-1-Levels!$Y76</f>
        <v>1.0862051348509372E-2</v>
      </c>
      <c r="H76" s="16">
        <f>Levels!H77/Levels!H76-1-Levels!$Y76</f>
        <v>1.3131749874479404E-2</v>
      </c>
      <c r="I76" s="16">
        <f>Levels!I77/Levels!I76-1-Levels!$Y76</f>
        <v>1.6572104779244423E-2</v>
      </c>
      <c r="J76" s="16">
        <f>Levels!J77/Levels!J76-1-Levels!$Y76</f>
        <v>8.1539054084405205E-3</v>
      </c>
      <c r="K76" s="16">
        <f>Levels!K77/Levels!K76-1-Levels!$Y76</f>
        <v>2.7683386818203592E-2</v>
      </c>
      <c r="L76" s="16">
        <f>Levels!L77/Levels!L76-1-Levels!$Y76</f>
        <v>1.2270742971246085E-2</v>
      </c>
      <c r="M76" s="16">
        <f>Levels!M77/Levels!M76-1-Levels!$Y76</f>
        <v>1.2009415543694946E-2</v>
      </c>
      <c r="N76" s="16">
        <f>Levels!N77/Levels!N76-1-Levels!$Y76</f>
        <v>6.4673999649014213E-3</v>
      </c>
      <c r="O76" s="16">
        <f>Levels!O77/Levels!O76-1-Levels!$Y76</f>
        <v>3.8726103417368041E-3</v>
      </c>
      <c r="P76" s="16">
        <f>Levels!P77/Levels!P76-1-Levels!$Y76</f>
        <v>7.9019379213740581E-3</v>
      </c>
      <c r="Q76" s="16">
        <f>Levels!Q77/Levels!Q76-1-Levels!$Y76</f>
        <v>1.1217089978268202E-2</v>
      </c>
      <c r="R76" s="16" t="e">
        <f>Levels!R77/Levels!R76-1-Levels!$Y76</f>
        <v>#N/A</v>
      </c>
      <c r="S76" s="16" t="e">
        <f>Levels!S77/Levels!S76-1-Levels!$Y76</f>
        <v>#N/A</v>
      </c>
      <c r="T76" s="16">
        <f>Levels!T77/Levels!T76-1-Levels!$Y76</f>
        <v>7.1296576447836824E-3</v>
      </c>
      <c r="U76" s="16">
        <f>(Levels!U77/Levels!U76-1-Levels!$Y76)*$Y$2</f>
        <v>6.180717327096321E-2</v>
      </c>
      <c r="V76" s="16">
        <f>(Levels!V77/Levels!V76-1-Levels!$Y76)</f>
        <v>4.6964371926323523E-3</v>
      </c>
    </row>
    <row r="77" spans="1:22" x14ac:dyDescent="0.35">
      <c r="A77" s="23">
        <v>41820</v>
      </c>
      <c r="B77" s="16">
        <f>Levels!B78/Levels!B77-1-Levels!$Y77</f>
        <v>-1.347672542075351E-3</v>
      </c>
      <c r="C77" s="16">
        <f>Levels!C78/Levels!C77-1-Levels!$Y77</f>
        <v>-2.2217469037185689E-3</v>
      </c>
      <c r="D77" s="16">
        <f>Levels!D78/Levels!D77-1-Levels!$Y77</f>
        <v>8.3834955299044722E-4</v>
      </c>
      <c r="E77" s="16">
        <f>Levels!E78/Levels!E77-1-Levels!$Y77</f>
        <v>5.7320310782233985E-3</v>
      </c>
      <c r="F77" s="16">
        <f>Levels!F78/Levels!F77-1-Levels!$Y77</f>
        <v>3.420874533335283E-4</v>
      </c>
      <c r="G77" s="16">
        <f>Levels!G78/Levels!G77-1-Levels!$Y77</f>
        <v>-4.7040241589613174E-4</v>
      </c>
      <c r="H77" s="16">
        <f>Levels!H78/Levels!H77-1-Levels!$Y77</f>
        <v>5.0032005631317489E-4</v>
      </c>
      <c r="I77" s="16">
        <f>Levels!I78/Levels!I77-1-Levels!$Y77</f>
        <v>1.8062176519462181E-3</v>
      </c>
      <c r="J77" s="16">
        <f>Levels!J78/Levels!J77-1-Levels!$Y77</f>
        <v>7.8457177784176935E-3</v>
      </c>
      <c r="K77" s="16">
        <f>Levels!K78/Levels!K77-1-Levels!$Y77</f>
        <v>1.6230365975336003E-2</v>
      </c>
      <c r="L77" s="16">
        <f>Levels!L78/Levels!L77-1-Levels!$Y77</f>
        <v>3.1331060404240496E-3</v>
      </c>
      <c r="M77" s="16">
        <f>Levels!M78/Levels!M77-1-Levels!$Y77</f>
        <v>2.5944642424011732E-3</v>
      </c>
      <c r="N77" s="16">
        <f>Levels!N78/Levels!N77-1-Levels!$Y77</f>
        <v>1.7874562746553746E-3</v>
      </c>
      <c r="O77" s="16">
        <f>Levels!O78/Levels!O77-1-Levels!$Y77</f>
        <v>3.1677055809775645E-4</v>
      </c>
      <c r="P77" s="16">
        <f>Levels!P78/Levels!P77-1-Levels!$Y77</f>
        <v>8.3848723211976672E-3</v>
      </c>
      <c r="Q77" s="16">
        <f>Levels!Q78/Levels!Q77-1-Levels!$Y77</f>
        <v>1.141547424495637E-2</v>
      </c>
      <c r="R77" s="16" t="e">
        <f>Levels!R78/Levels!R77-1-Levels!$Y77</f>
        <v>#N/A</v>
      </c>
      <c r="S77" s="16" t="e">
        <f>Levels!S78/Levels!S77-1-Levels!$Y77</f>
        <v>#N/A</v>
      </c>
      <c r="T77" s="16">
        <f>Levels!T78/Levels!T77-1-Levels!$Y77</f>
        <v>1.9199324016947461E-3</v>
      </c>
      <c r="U77" s="16">
        <f>(Levels!U78/Levels!U77-1-Levels!$Y77)*$Y$2</f>
        <v>-7.335313985958751E-2</v>
      </c>
      <c r="V77" s="16">
        <f>(Levels!V78/Levels!V77-1-Levels!$Y77)</f>
        <v>2.5105533424937043E-2</v>
      </c>
    </row>
    <row r="78" spans="1:22" x14ac:dyDescent="0.35">
      <c r="A78" s="23">
        <v>41851</v>
      </c>
      <c r="B78" s="16">
        <f>Levels!B79/Levels!B78-1-Levels!$Y78</f>
        <v>-2.6291129559427029E-3</v>
      </c>
      <c r="C78" s="16">
        <f>Levels!C79/Levels!C78-1-Levels!$Y78</f>
        <v>5.4918540589996567E-3</v>
      </c>
      <c r="D78" s="16">
        <f>Levels!D79/Levels!D78-1-Levels!$Y78</f>
        <v>1.7440345202588414E-3</v>
      </c>
      <c r="E78" s="16">
        <f>Levels!E79/Levels!E78-1-Levels!$Y78</f>
        <v>5.3696710428143835E-3</v>
      </c>
      <c r="F78" s="16">
        <f>Levels!F79/Levels!F78-1-Levels!$Y78</f>
        <v>-3.4057598867717198E-3</v>
      </c>
      <c r="G78" s="16">
        <f>Levels!G79/Levels!G78-1-Levels!$Y78</f>
        <v>-7.3920674124594576E-4</v>
      </c>
      <c r="H78" s="16">
        <f>Levels!H79/Levels!H78-1-Levels!$Y78</f>
        <v>-5.7307897439451416E-4</v>
      </c>
      <c r="I78" s="16">
        <f>Levels!I79/Levels!I78-1-Levels!$Y78</f>
        <v>-1.916464647733207E-5</v>
      </c>
      <c r="J78" s="16">
        <f>Levels!J79/Levels!J78-1-Levels!$Y78</f>
        <v>-1.3611661954526788E-2</v>
      </c>
      <c r="K78" s="16">
        <f>Levels!K79/Levels!K78-1-Levels!$Y78</f>
        <v>-8.8108355754278334E-3</v>
      </c>
      <c r="L78" s="16">
        <f>Levels!L79/Levels!L78-1-Levels!$Y78</f>
        <v>1.9585081939872406E-3</v>
      </c>
      <c r="M78" s="16">
        <f>Levels!M79/Levels!M78-1-Levels!$Y78</f>
        <v>-5.8863173944072589E-3</v>
      </c>
      <c r="N78" s="16">
        <f>Levels!N79/Levels!N78-1-Levels!$Y78</f>
        <v>-2.4090193278942795E-3</v>
      </c>
      <c r="O78" s="16">
        <f>Levels!O79/Levels!O78-1-Levels!$Y78</f>
        <v>-1.6147595530880965E-3</v>
      </c>
      <c r="P78" s="16">
        <f>Levels!P79/Levels!P78-1-Levels!$Y78</f>
        <v>5.3755710204066443E-3</v>
      </c>
      <c r="Q78" s="16">
        <f>Levels!Q79/Levels!Q78-1-Levels!$Y78</f>
        <v>8.6430985126204618E-3</v>
      </c>
      <c r="R78" s="16" t="e">
        <f>Levels!R79/Levels!R78-1-Levels!$Y78</f>
        <v>#N/A</v>
      </c>
      <c r="S78" s="16" t="e">
        <f>Levels!S79/Levels!S78-1-Levels!$Y78</f>
        <v>#N/A</v>
      </c>
      <c r="T78" s="16">
        <f>Levels!T79/Levels!T78-1-Levels!$Y78</f>
        <v>-2.4651127758814617E-3</v>
      </c>
      <c r="U78" s="16">
        <f>(Levels!U79/Levels!U78-1-Levels!$Y78)*$Y$2</f>
        <v>5.8130510687103593E-2</v>
      </c>
      <c r="V78" s="16">
        <f>(Levels!V79/Levels!V78-1-Levels!$Y78)</f>
        <v>2.9051141698241523E-2</v>
      </c>
    </row>
    <row r="79" spans="1:22" x14ac:dyDescent="0.35">
      <c r="A79" s="23">
        <v>41882</v>
      </c>
      <c r="B79" s="16">
        <f>Levels!B80/Levels!B79-1-Levels!$Y79</f>
        <v>6.3641876613282911E-3</v>
      </c>
      <c r="C79" s="16">
        <f>Levels!C80/Levels!C79-1-Levels!$Y79</f>
        <v>4.0550124239465912E-2</v>
      </c>
      <c r="D79" s="16">
        <f>Levels!D80/Levels!D79-1-Levels!$Y79</f>
        <v>1.2087581516359247E-2</v>
      </c>
      <c r="E79" s="16">
        <f>Levels!E80/Levels!E79-1-Levels!$Y79</f>
        <v>1.3584991144942826E-2</v>
      </c>
      <c r="F79" s="16">
        <f>Levels!F80/Levels!F79-1-Levels!$Y79</f>
        <v>9.649983665283246E-3</v>
      </c>
      <c r="G79" s="16">
        <f>Levels!G80/Levels!G79-1-Levels!$Y79</f>
        <v>1.1454382453265133E-2</v>
      </c>
      <c r="H79" s="16">
        <f>Levels!H80/Levels!H79-1-Levels!$Y79</f>
        <v>1.4258632191821885E-2</v>
      </c>
      <c r="I79" s="16">
        <f>Levels!I80/Levels!I79-1-Levels!$Y79</f>
        <v>1.5873692496379821E-2</v>
      </c>
      <c r="J79" s="16">
        <f>Levels!J80/Levels!J79-1-Levels!$Y79</f>
        <v>1.5324285167100493E-2</v>
      </c>
      <c r="K79" s="16">
        <f>Levels!K80/Levels!K79-1-Levels!$Y79</f>
        <v>2.5081887441932516E-2</v>
      </c>
      <c r="L79" s="16">
        <f>Levels!L80/Levels!L79-1-Levels!$Y79</f>
        <v>1.2601054348383656E-2</v>
      </c>
      <c r="M79" s="16">
        <f>Levels!M80/Levels!M79-1-Levels!$Y79</f>
        <v>9.3465894061126598E-3</v>
      </c>
      <c r="N79" s="16">
        <f>Levels!N80/Levels!N79-1-Levels!$Y79</f>
        <v>5.3515706419582365E-3</v>
      </c>
      <c r="O79" s="16">
        <f>Levels!O80/Levels!O79-1-Levels!$Y79</f>
        <v>3.2084613249439009E-3</v>
      </c>
      <c r="P79" s="16">
        <f>Levels!P80/Levels!P79-1-Levels!$Y79</f>
        <v>6.2216739800939891E-3</v>
      </c>
      <c r="Q79" s="16">
        <f>Levels!Q80/Levels!Q79-1-Levels!$Y79</f>
        <v>8.8783851284404136E-3</v>
      </c>
      <c r="R79" s="16" t="e">
        <f>Levels!R80/Levels!R79-1-Levels!$Y79</f>
        <v>#N/A</v>
      </c>
      <c r="S79" s="16" t="e">
        <f>Levels!S80/Levels!S79-1-Levels!$Y79</f>
        <v>#N/A</v>
      </c>
      <c r="T79" s="16">
        <f>Levels!T80/Levels!T79-1-Levels!$Y79</f>
        <v>5.5095725202853885E-3</v>
      </c>
      <c r="U79" s="16">
        <f>(Levels!U80/Levels!U79-1-Levels!$Y79)*$Y$2</f>
        <v>-7.4280246266537772E-2</v>
      </c>
      <c r="V79" s="16">
        <f>(Levels!V80/Levels!V79-1-Levels!$Y79)</f>
        <v>-2.5126970584529729E-2</v>
      </c>
    </row>
    <row r="80" spans="1:22" x14ac:dyDescent="0.35">
      <c r="A80" s="23">
        <v>41912</v>
      </c>
      <c r="B80" s="16">
        <f>Levels!B81/Levels!B80-1-Levels!$Y80</f>
        <v>-3.5930052588141193E-3</v>
      </c>
      <c r="C80" s="16">
        <f>Levels!C81/Levels!C80-1-Levels!$Y80</f>
        <v>-1.8594237173012007E-2</v>
      </c>
      <c r="D80" s="16">
        <f>Levels!D81/Levels!D80-1-Levels!$Y80</f>
        <v>9.9760951718974589E-4</v>
      </c>
      <c r="E80" s="16">
        <f>Levels!E81/Levels!E80-1-Levels!$Y80</f>
        <v>-1.5553444045474096E-3</v>
      </c>
      <c r="F80" s="16">
        <f>Levels!F81/Levels!F80-1-Levels!$Y80</f>
        <v>-3.7518779006688874E-3</v>
      </c>
      <c r="G80" s="16">
        <f>Levels!G81/Levels!G80-1-Levels!$Y80</f>
        <v>-8.1294202839270469E-3</v>
      </c>
      <c r="H80" s="16">
        <f>Levels!H81/Levels!H80-1-Levels!$Y80</f>
        <v>-1.3627615937068516E-2</v>
      </c>
      <c r="I80" s="16">
        <f>Levels!I81/Levels!I80-1-Levels!$Y80</f>
        <v>-1.7640890784638708E-2</v>
      </c>
      <c r="J80" s="16">
        <f>Levels!J81/Levels!J80-1-Levels!$Y80</f>
        <v>-2.1028918115225892E-2</v>
      </c>
      <c r="K80" s="16">
        <f>Levels!K81/Levels!K80-1-Levels!$Y80</f>
        <v>-1.9667584886643441E-2</v>
      </c>
      <c r="L80" s="16">
        <f>Levels!L81/Levels!L80-1-Levels!$Y80</f>
        <v>-4.6378307756992365E-3</v>
      </c>
      <c r="M80" s="16">
        <f>Levels!M81/Levels!M80-1-Levels!$Y80</f>
        <v>-1.6344484306796137E-3</v>
      </c>
      <c r="N80" s="16">
        <f>Levels!N81/Levels!N80-1-Levels!$Y80</f>
        <v>-5.2459133013582626E-3</v>
      </c>
      <c r="O80" s="16">
        <f>Levels!O81/Levels!O80-1-Levels!$Y80</f>
        <v>-1.4872264924868928E-3</v>
      </c>
      <c r="P80" s="16">
        <f>Levels!P81/Levels!P80-1-Levels!$Y80</f>
        <v>3.9581457029167488E-3</v>
      </c>
      <c r="Q80" s="16">
        <f>Levels!Q81/Levels!Q80-1-Levels!$Y80</f>
        <v>5.1465113084239178E-3</v>
      </c>
      <c r="R80" s="16" t="e">
        <f>Levels!R81/Levels!R80-1-Levels!$Y80</f>
        <v>#N/A</v>
      </c>
      <c r="S80" s="16" t="e">
        <f>Levels!S81/Levels!S80-1-Levels!$Y80</f>
        <v>#N/A</v>
      </c>
      <c r="T80" s="16">
        <f>Levels!T81/Levels!T80-1-Levels!$Y80</f>
        <v>-5.2202772545754117E-3</v>
      </c>
      <c r="U80" s="16">
        <f>(Levels!U81/Levels!U80-1-Levels!$Y80)*$Y$2</f>
        <v>7.8217507834146618E-2</v>
      </c>
      <c r="V80" s="16">
        <f>(Levels!V81/Levels!V80-1-Levels!$Y80)</f>
        <v>7.3444519278361264E-2</v>
      </c>
    </row>
    <row r="81" spans="1:22" x14ac:dyDescent="0.35">
      <c r="A81" s="23">
        <v>41943</v>
      </c>
      <c r="B81" s="16">
        <f>Levels!B82/Levels!B81-1-Levels!$Y81</f>
        <v>7.1752636000337322E-3</v>
      </c>
      <c r="C81" s="16">
        <f>Levels!C82/Levels!C81-1-Levels!$Y81</f>
        <v>2.7487515919858652E-2</v>
      </c>
      <c r="D81" s="16">
        <f>Levels!D82/Levels!D81-1-Levels!$Y81</f>
        <v>6.8415637250318628E-3</v>
      </c>
      <c r="E81" s="16">
        <f>Levels!E82/Levels!E81-1-Levels!$Y81</f>
        <v>8.3685621806828259E-3</v>
      </c>
      <c r="F81" s="16">
        <f>Levels!F82/Levels!F81-1-Levels!$Y81</f>
        <v>9.4438796846274542E-3</v>
      </c>
      <c r="G81" s="16">
        <f>Levels!G82/Levels!G81-1-Levels!$Y81</f>
        <v>8.9350302420814209E-3</v>
      </c>
      <c r="H81" s="16">
        <f>Levels!H82/Levels!H81-1-Levels!$Y81</f>
        <v>1.140709097858017E-2</v>
      </c>
      <c r="I81" s="16">
        <f>Levels!I82/Levels!I81-1-Levels!$Y81</f>
        <v>1.0787953597008793E-2</v>
      </c>
      <c r="J81" s="16">
        <f>Levels!J82/Levels!J81-1-Levels!$Y81</f>
        <v>1.1371727773735962E-2</v>
      </c>
      <c r="K81" s="16">
        <f>Levels!K82/Levels!K81-1-Levels!$Y81</f>
        <v>1.9784750210429358E-2</v>
      </c>
      <c r="L81" s="16">
        <f>Levels!L82/Levels!L81-1-Levels!$Y81</f>
        <v>7.0304498175817187E-3</v>
      </c>
      <c r="M81" s="16">
        <f>Levels!M82/Levels!M81-1-Levels!$Y81</f>
        <v>9.6665391183776705E-3</v>
      </c>
      <c r="N81" s="16">
        <f>Levels!N82/Levels!N81-1-Levels!$Y81</f>
        <v>9.1412367496432889E-3</v>
      </c>
      <c r="O81" s="16">
        <f>Levels!O82/Levels!O81-1-Levels!$Y81</f>
        <v>5.0838500862064873E-3</v>
      </c>
      <c r="P81" s="16">
        <f>Levels!P82/Levels!P81-1-Levels!$Y81</f>
        <v>4.1268257506272832E-3</v>
      </c>
      <c r="Q81" s="16">
        <f>Levels!Q82/Levels!Q81-1-Levels!$Y81</f>
        <v>4.4724289916329152E-3</v>
      </c>
      <c r="R81" s="16" t="e">
        <f>Levels!R82/Levels!R81-1-Levels!$Y81</f>
        <v>#N/A</v>
      </c>
      <c r="S81" s="16" t="e">
        <f>Levels!S82/Levels!S81-1-Levels!$Y81</f>
        <v>#N/A</v>
      </c>
      <c r="T81" s="16">
        <f>Levels!T82/Levels!T81-1-Levels!$Y81</f>
        <v>9.5120756897302261E-3</v>
      </c>
      <c r="U81" s="16">
        <f>(Levels!U82/Levels!U81-1-Levels!$Y81)*$Y$2</f>
        <v>-3.0431904077339312E-4</v>
      </c>
      <c r="V81" s="16">
        <f>(Levels!V82/Levels!V81-1-Levels!$Y81)</f>
        <v>1.1044948734883153E-2</v>
      </c>
    </row>
    <row r="82" spans="1:22" x14ac:dyDescent="0.35">
      <c r="A82" s="23">
        <v>41973</v>
      </c>
      <c r="B82" s="16">
        <f>Levels!B83/Levels!B82-1-Levels!$Y82</f>
        <v>5.1806954817794626E-3</v>
      </c>
      <c r="C82" s="16">
        <f>Levels!C83/Levels!C82-1-Levels!$Y82</f>
        <v>2.7666023415007013E-2</v>
      </c>
      <c r="D82" s="16">
        <f>Levels!D83/Levels!D82-1-Levels!$Y82</f>
        <v>1.7232040813732752E-3</v>
      </c>
      <c r="E82" s="16">
        <f>Levels!E83/Levels!E82-1-Levels!$Y82</f>
        <v>1.2782051302429709E-2</v>
      </c>
      <c r="F82" s="16">
        <f>Levels!F83/Levels!F82-1-Levels!$Y82</f>
        <v>7.2339785427790737E-3</v>
      </c>
      <c r="G82" s="16">
        <f>Levels!G83/Levels!G82-1-Levels!$Y82</f>
        <v>7.2486381636653885E-3</v>
      </c>
      <c r="H82" s="16">
        <f>Levels!H83/Levels!H82-1-Levels!$Y82</f>
        <v>7.7915704981137424E-3</v>
      </c>
      <c r="I82" s="16">
        <f>Levels!I83/Levels!I82-1-Levels!$Y82</f>
        <v>5.5472910490550476E-3</v>
      </c>
      <c r="J82" s="16">
        <f>Levels!J83/Levels!J82-1-Levels!$Y82</f>
        <v>-7.5247869865432415E-3</v>
      </c>
      <c r="K82" s="16">
        <f>Levels!K83/Levels!K82-1-Levels!$Y82</f>
        <v>-3.740921711031131E-3</v>
      </c>
      <c r="L82" s="16">
        <f>Levels!L83/Levels!L82-1-Levels!$Y82</f>
        <v>6.8712750170600856E-3</v>
      </c>
      <c r="M82" s="16">
        <f>Levels!M83/Levels!M82-1-Levels!$Y82</f>
        <v>6.5410928004301372E-3</v>
      </c>
      <c r="N82" s="16">
        <f>Levels!N83/Levels!N82-1-Levels!$Y82</f>
        <v>6.6929239456685607E-3</v>
      </c>
      <c r="O82" s="16">
        <f>Levels!O83/Levels!O82-1-Levels!$Y82</f>
        <v>2.5142635208110775E-3</v>
      </c>
      <c r="P82" s="16">
        <f>Levels!P83/Levels!P82-1-Levels!$Y82</f>
        <v>3.2729839819198858E-3</v>
      </c>
      <c r="Q82" s="16">
        <f>Levels!Q83/Levels!Q82-1-Levels!$Y82</f>
        <v>2.6848841110702626E-3</v>
      </c>
      <c r="R82" s="16" t="e">
        <f>Levels!R83/Levels!R82-1-Levels!$Y82</f>
        <v>#N/A</v>
      </c>
      <c r="S82" s="16" t="e">
        <f>Levels!S83/Levels!S82-1-Levels!$Y82</f>
        <v>#N/A</v>
      </c>
      <c r="T82" s="16">
        <f>Levels!T83/Levels!T82-1-Levels!$Y82</f>
        <v>6.9473879619335044E-3</v>
      </c>
      <c r="U82" s="16">
        <f>(Levels!U83/Levels!U82-1-Levels!$Y82)*$Y$2</f>
        <v>3.218006231014376E-2</v>
      </c>
      <c r="V82" s="16">
        <f>(Levels!V83/Levels!V82-1-Levels!$Y82)</f>
        <v>3.0751186646633899E-2</v>
      </c>
    </row>
    <row r="83" spans="1:22" x14ac:dyDescent="0.35">
      <c r="A83" s="23">
        <v>42004</v>
      </c>
      <c r="B83" s="16">
        <f>Levels!B84/Levels!B83-1-Levels!$Y83</f>
        <v>-2.6831825146723665E-3</v>
      </c>
      <c r="C83" s="16">
        <f>Levels!C84/Levels!C83-1-Levels!$Y83</f>
        <v>2.8631359618255026E-2</v>
      </c>
      <c r="D83" s="16">
        <f>Levels!D84/Levels!D83-1-Levels!$Y83</f>
        <v>5.0347308955254189E-3</v>
      </c>
      <c r="E83" s="16">
        <f>Levels!E84/Levels!E83-1-Levels!$Y83</f>
        <v>6.4127965615186078E-3</v>
      </c>
      <c r="F83" s="16">
        <f>Levels!F84/Levels!F83-1-Levels!$Y83</f>
        <v>1.2577428829581017E-3</v>
      </c>
      <c r="G83" s="16">
        <f>Levels!G84/Levels!G83-1-Levels!$Y83</f>
        <v>1.5928639687994295E-3</v>
      </c>
      <c r="H83" s="16">
        <f>Levels!H84/Levels!H83-1-Levels!$Y83</f>
        <v>3.1464354987400522E-3</v>
      </c>
      <c r="I83" s="16">
        <f>Levels!I84/Levels!I83-1-Levels!$Y83</f>
        <v>-3.5976648329585359E-3</v>
      </c>
      <c r="J83" s="16">
        <f>Levels!J84/Levels!J83-1-Levels!$Y83</f>
        <v>-1.4955171393382094E-2</v>
      </c>
      <c r="K83" s="16">
        <f>Levels!K84/Levels!K83-1-Levels!$Y83</f>
        <v>-7.0974159103308621E-3</v>
      </c>
      <c r="L83" s="16">
        <f>Levels!L84/Levels!L83-1-Levels!$Y83</f>
        <v>-2.6968617035860731E-4</v>
      </c>
      <c r="M83" s="16">
        <f>Levels!M84/Levels!M83-1-Levels!$Y83</f>
        <v>1.5353519489236245E-3</v>
      </c>
      <c r="N83" s="16">
        <f>Levels!N84/Levels!N83-1-Levels!$Y83</f>
        <v>-1.4559193931031889E-3</v>
      </c>
      <c r="O83" s="16">
        <f>Levels!O84/Levels!O83-1-Levels!$Y83</f>
        <v>-2.1839358792581365E-3</v>
      </c>
      <c r="P83" s="16">
        <f>Levels!P84/Levels!P83-1-Levels!$Y83</f>
        <v>3.7032647340529135E-3</v>
      </c>
      <c r="Q83" s="16">
        <f>Levels!Q84/Levels!Q83-1-Levels!$Y83</f>
        <v>1.7676254148060178E-3</v>
      </c>
      <c r="R83" s="16" t="e">
        <f>Levels!R84/Levels!R83-1-Levels!$Y83</f>
        <v>#N/A</v>
      </c>
      <c r="S83" s="16" t="e">
        <f>Levels!S84/Levels!S83-1-Levels!$Y83</f>
        <v>#N/A</v>
      </c>
      <c r="T83" s="16">
        <f>Levels!T84/Levels!T83-1-Levels!$Y83</f>
        <v>-1.6157080967843518E-3</v>
      </c>
      <c r="U83" s="16">
        <f>(Levels!U84/Levels!U83-1-Levels!$Y83)*$Y$2</f>
        <v>-3.9169635732495191E-2</v>
      </c>
      <c r="V83" s="16">
        <f>(Levels!V84/Levels!V83-1-Levels!$Y83)</f>
        <v>0.12375228459206689</v>
      </c>
    </row>
    <row r="84" spans="1:22" x14ac:dyDescent="0.35">
      <c r="A84" s="23">
        <v>42035</v>
      </c>
      <c r="B84" s="16">
        <f>Levels!B85/Levels!B84-1-Levels!$Y84</f>
        <v>1.6468043775319519E-2</v>
      </c>
      <c r="C84" s="16">
        <f>Levels!C85/Levels!C84-1-Levels!$Y84</f>
        <v>8.5555085457888591E-2</v>
      </c>
      <c r="D84" s="16">
        <f>Levels!D85/Levels!D84-1-Levels!$Y84</f>
        <v>1.7689631963307306E-2</v>
      </c>
      <c r="E84" s="16">
        <f>Levels!E85/Levels!E84-1-Levels!$Y84</f>
        <v>2.454819657949936E-2</v>
      </c>
      <c r="F84" s="16">
        <f>Levels!F85/Levels!F84-1-Levels!$Y84</f>
        <v>1.8005055438412576E-2</v>
      </c>
      <c r="G84" s="16">
        <f>Levels!G85/Levels!G84-1-Levels!$Y84</f>
        <v>2.5990969335030423E-2</v>
      </c>
      <c r="H84" s="16">
        <f>Levels!H85/Levels!H84-1-Levels!$Y84</f>
        <v>3.0613622431497234E-2</v>
      </c>
      <c r="I84" s="16">
        <f>Levels!I85/Levels!I84-1-Levels!$Y84</f>
        <v>2.6997044893367184E-2</v>
      </c>
      <c r="J84" s="16">
        <f>Levels!J85/Levels!J84-1-Levels!$Y84</f>
        <v>5.207737121598166E-3</v>
      </c>
      <c r="K84" s="16">
        <f>Levels!K85/Levels!K84-1-Levels!$Y84</f>
        <v>2.9113961298786961E-2</v>
      </c>
      <c r="L84" s="16">
        <f>Levels!L85/Levels!L84-1-Levels!$Y84</f>
        <v>1.7180354465758052E-2</v>
      </c>
      <c r="M84" s="16">
        <f>Levels!M85/Levels!M84-1-Levels!$Y84</f>
        <v>8.4516484938921277E-3</v>
      </c>
      <c r="N84" s="16">
        <f>Levels!N85/Levels!N84-1-Levels!$Y84</f>
        <v>1.7827062998386767E-2</v>
      </c>
      <c r="O84" s="16">
        <f>Levels!O85/Levels!O84-1-Levels!$Y84</f>
        <v>8.6460712249771809E-3</v>
      </c>
      <c r="P84" s="16">
        <f>Levels!P85/Levels!P84-1-Levels!$Y84</f>
        <v>8.9232182839975582E-3</v>
      </c>
      <c r="Q84" s="16">
        <f>Levels!Q85/Levels!Q84-1-Levels!$Y84</f>
        <v>6.258745930627807E-3</v>
      </c>
      <c r="R84" s="16" t="e">
        <f>Levels!R85/Levels!R84-1-Levels!$Y84</f>
        <v>#N/A</v>
      </c>
      <c r="S84" s="16" t="e">
        <f>Levels!S85/Levels!S84-1-Levels!$Y84</f>
        <v>#N/A</v>
      </c>
      <c r="T84" s="16">
        <f>Levels!T85/Levels!T84-1-Levels!$Y84</f>
        <v>1.839216249816289E-2</v>
      </c>
      <c r="U84" s="16">
        <f>(Levels!U85/Levels!U84-1-Levels!$Y84)*$Y$2</f>
        <v>6.9957892196168547E-2</v>
      </c>
      <c r="V84" s="16">
        <f>(Levels!V85/Levels!V84-1-Levels!$Y84)</f>
        <v>-1.7520418334573407E-3</v>
      </c>
    </row>
    <row r="85" spans="1:22" x14ac:dyDescent="0.35">
      <c r="A85" s="23">
        <v>42063</v>
      </c>
      <c r="B85" s="16">
        <f>Levels!B86/Levels!B85-1-Levels!$Y85</f>
        <v>-9.0111619289306999E-3</v>
      </c>
      <c r="C85" s="16">
        <f>Levels!C86/Levels!C85-1-Levels!$Y85</f>
        <v>-5.3480613674723898E-2</v>
      </c>
      <c r="D85" s="16">
        <f>Levels!D86/Levels!D85-1-Levels!$Y85</f>
        <v>-1.031789330065358E-2</v>
      </c>
      <c r="E85" s="16">
        <f>Levels!E86/Levels!E85-1-Levels!$Y85</f>
        <v>-6.5765724401056769E-3</v>
      </c>
      <c r="F85" s="16">
        <f>Levels!F86/Levels!F85-1-Levels!$Y85</f>
        <v>-9.2771236470289287E-3</v>
      </c>
      <c r="G85" s="16">
        <f>Levels!G86/Levels!G85-1-Levels!$Y85</f>
        <v>-1.1164158873793184E-2</v>
      </c>
      <c r="H85" s="16">
        <f>Levels!H86/Levels!H85-1-Levels!$Y85</f>
        <v>-1.1992187332650173E-2</v>
      </c>
      <c r="I85" s="16">
        <f>Levels!I86/Levels!I85-1-Levels!$Y85</f>
        <v>-6.7544621202326738E-3</v>
      </c>
      <c r="J85" s="16">
        <f>Levels!J86/Levels!J85-1-Levels!$Y85</f>
        <v>2.4332819538721129E-2</v>
      </c>
      <c r="K85" s="16">
        <f>Levels!K86/Levels!K85-1-Levels!$Y85</f>
        <v>2.0247534379751464E-2</v>
      </c>
      <c r="L85" s="16">
        <f>Levels!L86/Levels!L85-1-Levels!$Y85</f>
        <v>-1.284284354946208E-3</v>
      </c>
      <c r="M85" s="16">
        <f>Levels!M86/Levels!M85-1-Levels!$Y85</f>
        <v>-1.6289829353921537E-3</v>
      </c>
      <c r="N85" s="16">
        <f>Levels!N86/Levels!N85-1-Levels!$Y85</f>
        <v>-6.4379397830386376E-3</v>
      </c>
      <c r="O85" s="16">
        <f>Levels!O86/Levels!O85-1-Levels!$Y85</f>
        <v>-3.7963372932835471E-3</v>
      </c>
      <c r="P85" s="16">
        <f>Levels!P86/Levels!P85-1-Levels!$Y85</f>
        <v>4.4795245303621556E-3</v>
      </c>
      <c r="Q85" s="16">
        <f>Levels!Q86/Levels!Q85-1-Levels!$Y85</f>
        <v>2.4879179771202242E-3</v>
      </c>
      <c r="R85" s="16" t="e">
        <f>Levels!R86/Levels!R85-1-Levels!$Y85</f>
        <v>#N/A</v>
      </c>
      <c r="S85" s="16" t="e">
        <f>Levels!S86/Levels!S85-1-Levels!$Y85</f>
        <v>#N/A</v>
      </c>
      <c r="T85" s="16">
        <f>Levels!T86/Levels!T85-1-Levels!$Y85</f>
        <v>-6.3323730732020023E-3</v>
      </c>
      <c r="U85" s="16">
        <f>(Levels!U86/Levels!U85-1-Levels!$Y85)*$Y$2</f>
        <v>1.8872114564871721E-2</v>
      </c>
      <c r="V85" s="16">
        <f>(Levels!V86/Levels!V85-1-Levels!$Y85)</f>
        <v>3.8118197939921439E-2</v>
      </c>
    </row>
    <row r="86" spans="1:22" x14ac:dyDescent="0.35">
      <c r="A86" s="23">
        <v>42094</v>
      </c>
      <c r="B86" s="16">
        <f>Levels!B87/Levels!B86-1-Levels!$Y86</f>
        <v>5.4201773800144348E-3</v>
      </c>
      <c r="C86" s="16">
        <f>Levels!C87/Levels!C86-1-Levels!$Y86</f>
        <v>1.1725758322283175E-2</v>
      </c>
      <c r="D86" s="16">
        <f>Levels!D87/Levels!D86-1-Levels!$Y86</f>
        <v>2.8771973654411198E-3</v>
      </c>
      <c r="E86" s="16">
        <f>Levels!E87/Levels!E86-1-Levels!$Y86</f>
        <v>7.9570495041902944E-3</v>
      </c>
      <c r="F86" s="16">
        <f>Levels!F87/Levels!F86-1-Levels!$Y86</f>
        <v>5.1633859452677733E-3</v>
      </c>
      <c r="G86" s="16">
        <f>Levels!G87/Levels!G86-1-Levels!$Y86</f>
        <v>3.8141285275272718E-3</v>
      </c>
      <c r="H86" s="16">
        <f>Levels!H87/Levels!H86-1-Levels!$Y86</f>
        <v>3.5106508953985927E-3</v>
      </c>
      <c r="I86" s="16">
        <f>Levels!I87/Levels!I86-1-Levels!$Y86</f>
        <v>2.8901653420183582E-3</v>
      </c>
      <c r="J86" s="16">
        <f>Levels!J87/Levels!J86-1-Levels!$Y86</f>
        <v>-5.9182352329708587E-3</v>
      </c>
      <c r="K86" s="16">
        <f>Levels!K87/Levels!K86-1-Levels!$Y86</f>
        <v>1.8608682708409763E-3</v>
      </c>
      <c r="L86" s="16">
        <f>Levels!L87/Levels!L86-1-Levels!$Y86</f>
        <v>3.9268381515802364E-3</v>
      </c>
      <c r="M86" s="16">
        <f>Levels!M87/Levels!M86-1-Levels!$Y86</f>
        <v>3.6912831671416235E-3</v>
      </c>
      <c r="N86" s="16">
        <f>Levels!N87/Levels!N86-1-Levels!$Y86</f>
        <v>6.2780018065446974E-3</v>
      </c>
      <c r="O86" s="16">
        <f>Levels!O87/Levels!O86-1-Levels!$Y86</f>
        <v>4.1380310188301461E-3</v>
      </c>
      <c r="P86" s="16">
        <f>Levels!P87/Levels!P86-1-Levels!$Y86</f>
        <v>7.2914438032307682E-3</v>
      </c>
      <c r="Q86" s="16">
        <f>Levels!Q87/Levels!Q86-1-Levels!$Y86</f>
        <v>5.8979056592620704E-3</v>
      </c>
      <c r="R86" s="16" t="e">
        <f>Levels!R87/Levels!R86-1-Levels!$Y86</f>
        <v>#N/A</v>
      </c>
      <c r="S86" s="16" t="e">
        <f>Levels!S87/Levels!S86-1-Levels!$Y86</f>
        <v>#N/A</v>
      </c>
      <c r="T86" s="16">
        <f>Levels!T87/Levels!T86-1-Levels!$Y86</f>
        <v>6.4596290506868659E-3</v>
      </c>
      <c r="U86" s="16">
        <f>(Levels!U87/Levels!U86-1-Levels!$Y86)*$Y$2</f>
        <v>-3.1278115727312934E-2</v>
      </c>
      <c r="V86" s="16">
        <f>(Levels!V87/Levels!V86-1-Levels!$Y86)</f>
        <v>-5.8609101466073232E-2</v>
      </c>
    </row>
    <row r="87" spans="1:22" x14ac:dyDescent="0.35">
      <c r="A87" s="23">
        <v>42124</v>
      </c>
      <c r="B87" s="16">
        <f>Levels!B88/Levels!B87-1-Levels!$Y87</f>
        <v>-1.0409536056333879E-3</v>
      </c>
      <c r="C87" s="16">
        <f>Levels!C88/Levels!C87-1-Levels!$Y87</f>
        <v>-3.109926717403444E-2</v>
      </c>
      <c r="D87" s="16">
        <f>Levels!D88/Levels!D87-1-Levels!$Y87</f>
        <v>-5.2659838595543462E-3</v>
      </c>
      <c r="E87" s="16">
        <f>Levels!E88/Levels!E87-1-Levels!$Y87</f>
        <v>-1.0642958139030712E-2</v>
      </c>
      <c r="F87" s="16">
        <f>Levels!F88/Levels!F87-1-Levels!$Y87</f>
        <v>-2.7268532920378119E-3</v>
      </c>
      <c r="G87" s="16">
        <f>Levels!G88/Levels!G87-1-Levels!$Y87</f>
        <v>-4.6289330922126837E-3</v>
      </c>
      <c r="H87" s="16">
        <f>Levels!H88/Levels!H87-1-Levels!$Y87</f>
        <v>-6.7849620259931021E-3</v>
      </c>
      <c r="I87" s="16">
        <f>Levels!I88/Levels!I87-1-Levels!$Y87</f>
        <v>-5.3510588720575569E-3</v>
      </c>
      <c r="J87" s="16">
        <f>Levels!J88/Levels!J87-1-Levels!$Y87</f>
        <v>1.2122507661452175E-2</v>
      </c>
      <c r="K87" s="16">
        <f>Levels!K88/Levels!K87-1-Levels!$Y87</f>
        <v>1.0843300576699022E-2</v>
      </c>
      <c r="L87" s="16">
        <f>Levels!L88/Levels!L87-1-Levels!$Y87</f>
        <v>-3.2922199665522678E-3</v>
      </c>
      <c r="M87" s="16">
        <f>Levels!M88/Levels!M87-1-Levels!$Y87</f>
        <v>3.9792287657558489E-4</v>
      </c>
      <c r="N87" s="16">
        <f>Levels!N88/Levels!N87-1-Levels!$Y87</f>
        <v>-8.0503396763609292E-4</v>
      </c>
      <c r="O87" s="16">
        <f>Levels!O88/Levels!O87-1-Levels!$Y87</f>
        <v>7.8251270922069516E-4</v>
      </c>
      <c r="P87" s="16">
        <f>Levels!P88/Levels!P87-1-Levels!$Y87</f>
        <v>4.2444012449953661E-3</v>
      </c>
      <c r="Q87" s="16">
        <f>Levels!Q88/Levels!Q87-1-Levels!$Y87</f>
        <v>3.1997311813245499E-3</v>
      </c>
      <c r="R87" s="16" t="e">
        <f>Levels!R88/Levels!R87-1-Levels!$Y87</f>
        <v>#N/A</v>
      </c>
      <c r="S87" s="16" t="e">
        <f>Levels!S88/Levels!S87-1-Levels!$Y87</f>
        <v>#N/A</v>
      </c>
      <c r="T87" s="16">
        <f>Levels!T88/Levels!T87-1-Levels!$Y87</f>
        <v>-8.0761641688897878E-4</v>
      </c>
      <c r="U87" s="16">
        <f>(Levels!U88/Levels!U87-1-Levels!$Y87)*$Y$2</f>
        <v>2.5941448835675108E-2</v>
      </c>
      <c r="V87" s="16">
        <f>(Levels!V88/Levels!V87-1-Levels!$Y87)</f>
        <v>4.9007976887391891E-3</v>
      </c>
    </row>
    <row r="88" spans="1:22" x14ac:dyDescent="0.35">
      <c r="A88" s="23">
        <v>42155</v>
      </c>
      <c r="B88" s="16">
        <f>Levels!B89/Levels!B88-1-Levels!$Y88</f>
        <v>4.5639316203516245E-4</v>
      </c>
      <c r="C88" s="16">
        <f>Levels!C89/Levels!C88-1-Levels!$Y88</f>
        <v>-1.588384805630505E-2</v>
      </c>
      <c r="D88" s="16">
        <f>Levels!D89/Levels!D88-1-Levels!$Y88</f>
        <v>-2.765037359666267E-3</v>
      </c>
      <c r="E88" s="16">
        <f>Levels!E89/Levels!E88-1-Levels!$Y88</f>
        <v>-5.3422151933812945E-3</v>
      </c>
      <c r="F88" s="16">
        <f>Levels!F89/Levels!F88-1-Levels!$Y88</f>
        <v>-1.0467461690448765E-3</v>
      </c>
      <c r="G88" s="16">
        <f>Levels!G89/Levels!G88-1-Levels!$Y88</f>
        <v>-3.0542185650473952E-3</v>
      </c>
      <c r="H88" s="16">
        <f>Levels!H89/Levels!H88-1-Levels!$Y88</f>
        <v>-6.4331229481130459E-3</v>
      </c>
      <c r="I88" s="16">
        <f>Levels!I89/Levels!I88-1-Levels!$Y88</f>
        <v>-6.40468756057333E-3</v>
      </c>
      <c r="J88" s="16">
        <f>Levels!J89/Levels!J88-1-Levels!$Y88</f>
        <v>3.5207692417931202E-3</v>
      </c>
      <c r="K88" s="16">
        <f>Levels!K89/Levels!K88-1-Levels!$Y88</f>
        <v>-5.1825795282439691E-3</v>
      </c>
      <c r="L88" s="16">
        <f>Levels!L89/Levels!L88-1-Levels!$Y88</f>
        <v>-2.1547101654282308E-3</v>
      </c>
      <c r="M88" s="16">
        <f>Levels!M89/Levels!M88-1-Levels!$Y88</f>
        <v>-2.3356053363277063E-4</v>
      </c>
      <c r="N88" s="16">
        <f>Levels!N89/Levels!N88-1-Levels!$Y88</f>
        <v>3.7201784269624838E-4</v>
      </c>
      <c r="O88" s="16">
        <f>Levels!O89/Levels!O88-1-Levels!$Y88</f>
        <v>1.5071432656270645E-3</v>
      </c>
      <c r="P88" s="16">
        <f>Levels!P89/Levels!P88-1-Levels!$Y88</f>
        <v>1.9018095419260916E-3</v>
      </c>
      <c r="Q88" s="16">
        <f>Levels!Q89/Levels!Q88-1-Levels!$Y88</f>
        <v>1.2265446425303583E-3</v>
      </c>
      <c r="R88" s="16" t="e">
        <f>Levels!R89/Levels!R88-1-Levels!$Y88</f>
        <v>#N/A</v>
      </c>
      <c r="S88" s="16" t="e">
        <f>Levels!S89/Levels!S88-1-Levels!$Y88</f>
        <v>#N/A</v>
      </c>
      <c r="T88" s="16">
        <f>Levels!T89/Levels!T88-1-Levels!$Y88</f>
        <v>4.1663406018610516E-4</v>
      </c>
      <c r="U88" s="16">
        <f>(Levels!U89/Levels!U88-1-Levels!$Y88)*$Y$2</f>
        <v>7.1400290898882444E-3</v>
      </c>
      <c r="V88" s="16">
        <f>(Levels!V89/Levels!V88-1-Levels!$Y88)</f>
        <v>-5.8701462227566559E-2</v>
      </c>
    </row>
    <row r="89" spans="1:22" x14ac:dyDescent="0.35">
      <c r="A89" s="23">
        <v>42185</v>
      </c>
      <c r="B89" s="16">
        <f>Levels!B90/Levels!B89-1-Levels!$Y89</f>
        <v>-4.1030122533467495E-3</v>
      </c>
      <c r="C89" s="16">
        <f>Levels!C90/Levels!C89-1-Levels!$Y89</f>
        <v>-3.8332021140433437E-2</v>
      </c>
      <c r="D89" s="16">
        <f>Levels!D90/Levels!D89-1-Levels!$Y89</f>
        <v>-9.1370005403879073E-4</v>
      </c>
      <c r="E89" s="16">
        <f>Levels!E90/Levels!E89-1-Levels!$Y89</f>
        <v>-1.4312812279355214E-2</v>
      </c>
      <c r="F89" s="16">
        <f>Levels!F90/Levels!F89-1-Levels!$Y89</f>
        <v>-8.1860015485657467E-3</v>
      </c>
      <c r="G89" s="16">
        <f>Levels!G90/Levels!G89-1-Levels!$Y89</f>
        <v>-1.1011575740288659E-2</v>
      </c>
      <c r="H89" s="16">
        <f>Levels!H90/Levels!H89-1-Levels!$Y89</f>
        <v>-1.6861031559383566E-2</v>
      </c>
      <c r="I89" s="16">
        <f>Levels!I90/Levels!I89-1-Levels!$Y89</f>
        <v>-2.0774402200079423E-2</v>
      </c>
      <c r="J89" s="16">
        <f>Levels!J90/Levels!J89-1-Levels!$Y89</f>
        <v>-1.4356944375160108E-2</v>
      </c>
      <c r="K89" s="16">
        <f>Levels!K90/Levels!K89-1-Levels!$Y89</f>
        <v>-2.3305931060389695E-2</v>
      </c>
      <c r="L89" s="16">
        <f>Levels!L90/Levels!L89-1-Levels!$Y89</f>
        <v>-1.4773199958059369E-2</v>
      </c>
      <c r="M89" s="16">
        <f>Levels!M90/Levels!M89-1-Levels!$Y89</f>
        <v>-7.6292609535875133E-3</v>
      </c>
      <c r="N89" s="16">
        <f>Levels!N90/Levels!N89-1-Levels!$Y89</f>
        <v>-1.0185570610678374E-2</v>
      </c>
      <c r="O89" s="16">
        <f>Levels!O90/Levels!O89-1-Levels!$Y89</f>
        <v>-5.8698946019597464E-4</v>
      </c>
      <c r="P89" s="16">
        <f>Levels!P90/Levels!P89-1-Levels!$Y89</f>
        <v>-1.4079099474230139E-3</v>
      </c>
      <c r="Q89" s="16">
        <f>Levels!Q90/Levels!Q89-1-Levels!$Y89</f>
        <v>-1.6283513649804071E-3</v>
      </c>
      <c r="R89" s="16" t="e">
        <f>Levels!R90/Levels!R89-1-Levels!$Y89</f>
        <v>#N/A</v>
      </c>
      <c r="S89" s="16" t="e">
        <f>Levels!S90/Levels!S89-1-Levels!$Y89</f>
        <v>#N/A</v>
      </c>
      <c r="T89" s="16">
        <f>Levels!T90/Levels!T89-1-Levels!$Y89</f>
        <v>-1.0749865412111315E-2</v>
      </c>
      <c r="U89" s="16">
        <f>(Levels!U90/Levels!U89-1-Levels!$Y89)*$Y$2</f>
        <v>-1.4616022806551675E-2</v>
      </c>
      <c r="V89" s="16">
        <f>(Levels!V90/Levels!V89-1-Levels!$Y89)</f>
        <v>4.1567111215166319E-2</v>
      </c>
    </row>
    <row r="90" spans="1:22" x14ac:dyDescent="0.35">
      <c r="A90" s="23">
        <v>42216</v>
      </c>
      <c r="B90" s="16">
        <f>Levels!B91/Levels!B90-1-Levels!$Y90</f>
        <v>4.155121703906417E-3</v>
      </c>
      <c r="C90" s="16">
        <f>Levels!C91/Levels!C90-1-Levels!$Y90</f>
        <v>3.5012166972727687E-2</v>
      </c>
      <c r="D90" s="16">
        <f>Levels!D91/Levels!D90-1-Levels!$Y90</f>
        <v>7.2366097071958624E-3</v>
      </c>
      <c r="E90" s="16">
        <f>Levels!E91/Levels!E90-1-Levels!$Y90</f>
        <v>1.3258221786411672E-2</v>
      </c>
      <c r="F90" s="16">
        <f>Levels!F91/Levels!F90-1-Levels!$Y90</f>
        <v>7.2506209783917974E-3</v>
      </c>
      <c r="G90" s="16">
        <f>Levels!G91/Levels!G90-1-Levels!$Y90</f>
        <v>6.7809095986166579E-3</v>
      </c>
      <c r="H90" s="16">
        <f>Levels!H91/Levels!H90-1-Levels!$Y90</f>
        <v>8.9184200964611549E-3</v>
      </c>
      <c r="I90" s="16">
        <f>Levels!I91/Levels!I90-1-Levels!$Y90</f>
        <v>3.4729909653457014E-3</v>
      </c>
      <c r="J90" s="16">
        <f>Levels!J91/Levels!J90-1-Levels!$Y90</f>
        <v>-6.0604902468732735E-3</v>
      </c>
      <c r="K90" s="16">
        <f>Levels!K91/Levels!K90-1-Levels!$Y90</f>
        <v>-1.7171675306394407E-3</v>
      </c>
      <c r="L90" s="16">
        <f>Levels!L91/Levels!L90-1-Levels!$Y90</f>
        <v>7.5944239155443238E-3</v>
      </c>
      <c r="M90" s="16">
        <f>Levels!M91/Levels!M90-1-Levels!$Y90</f>
        <v>6.296556575163148E-3</v>
      </c>
      <c r="N90" s="16">
        <f>Levels!N91/Levels!N90-1-Levels!$Y90</f>
        <v>6.498874634537577E-3</v>
      </c>
      <c r="O90" s="16">
        <f>Levels!O91/Levels!O90-1-Levels!$Y90</f>
        <v>1.8709499284179643E-3</v>
      </c>
      <c r="P90" s="16">
        <f>Levels!P91/Levels!P90-1-Levels!$Y90</f>
        <v>-4.9961110126933717E-3</v>
      </c>
      <c r="Q90" s="16">
        <f>Levels!Q91/Levels!Q90-1-Levels!$Y90</f>
        <v>-5.5087446627302139E-3</v>
      </c>
      <c r="R90" s="16" t="e">
        <f>Levels!R91/Levels!R90-1-Levels!$Y90</f>
        <v>#N/A</v>
      </c>
      <c r="S90" s="16" t="e">
        <f>Levels!S91/Levels!S90-1-Levels!$Y90</f>
        <v>#N/A</v>
      </c>
      <c r="T90" s="16">
        <f>Levels!T91/Levels!T90-1-Levels!$Y90</f>
        <v>6.7628665701255919E-3</v>
      </c>
      <c r="U90" s="16">
        <f>(Levels!U91/Levels!U90-1-Levels!$Y90)*$Y$2</f>
        <v>-7.6763901150153649E-2</v>
      </c>
      <c r="V90" s="16">
        <f>(Levels!V91/Levels!V90-1-Levels!$Y90)</f>
        <v>-7.4580896595983104E-2</v>
      </c>
    </row>
    <row r="91" spans="1:22" x14ac:dyDescent="0.35">
      <c r="A91" s="23">
        <v>42247</v>
      </c>
      <c r="B91" s="16">
        <f>Levels!B92/Levels!B91-1-Levels!$Y91</f>
        <v>4.8823545705389826E-4</v>
      </c>
      <c r="C91" s="16">
        <f>Levels!C92/Levels!C91-1-Levels!$Y91</f>
        <v>-2.4708739394063706E-4</v>
      </c>
      <c r="D91" s="16">
        <f>Levels!D92/Levels!D91-1-Levels!$Y91</f>
        <v>1.9103018240782532E-3</v>
      </c>
      <c r="E91" s="16">
        <f>Levels!E92/Levels!E91-1-Levels!$Y91</f>
        <v>-3.0254714844348829E-3</v>
      </c>
      <c r="F91" s="16">
        <f>Levels!F92/Levels!F91-1-Levels!$Y91</f>
        <v>4.5491872434122449E-4</v>
      </c>
      <c r="G91" s="16">
        <f>Levels!G92/Levels!G91-1-Levels!$Y91</f>
        <v>-2.2106986348222613E-3</v>
      </c>
      <c r="H91" s="16">
        <f>Levels!H92/Levels!H91-1-Levels!$Y91</f>
        <v>-3.2255465084051194E-3</v>
      </c>
      <c r="I91" s="16">
        <f>Levels!I92/Levels!I91-1-Levels!$Y91</f>
        <v>-1.0456091768369036E-2</v>
      </c>
      <c r="J91" s="16">
        <f>Levels!J92/Levels!J91-1-Levels!$Y91</f>
        <v>-1.7656015451837703E-2</v>
      </c>
      <c r="K91" s="16">
        <f>Levels!K92/Levels!K91-1-Levels!$Y91</f>
        <v>-1.4007507379051876E-2</v>
      </c>
      <c r="L91" s="16">
        <f>Levels!L92/Levels!L91-1-Levels!$Y91</f>
        <v>-5.8633364192091086E-3</v>
      </c>
      <c r="M91" s="16">
        <f>Levels!M92/Levels!M91-1-Levels!$Y91</f>
        <v>7.9191003824896633E-4</v>
      </c>
      <c r="N91" s="16">
        <f>Levels!N92/Levels!N91-1-Levels!$Y91</f>
        <v>-3.2850639656222258E-3</v>
      </c>
      <c r="O91" s="16">
        <f>Levels!O92/Levels!O91-1-Levels!$Y91</f>
        <v>9.298154270864778E-4</v>
      </c>
      <c r="P91" s="16">
        <f>Levels!P92/Levels!P91-1-Levels!$Y91</f>
        <v>-3.5510873878114024E-3</v>
      </c>
      <c r="Q91" s="16">
        <f>Levels!Q92/Levels!Q91-1-Levels!$Y91</f>
        <v>-6.1474762746985823E-3</v>
      </c>
      <c r="R91" s="16" t="e">
        <f>Levels!R92/Levels!R91-1-Levels!$Y91</f>
        <v>#N/A</v>
      </c>
      <c r="S91" s="16" t="e">
        <f>Levels!S92/Levels!S91-1-Levels!$Y91</f>
        <v>#N/A</v>
      </c>
      <c r="T91" s="16">
        <f>Levels!T92/Levels!T91-1-Levels!$Y91</f>
        <v>-3.5081471821998278E-3</v>
      </c>
      <c r="U91" s="16">
        <f>(Levels!U92/Levels!U91-1-Levels!$Y91)*$Y$2</f>
        <v>-6.0879022848898054E-2</v>
      </c>
      <c r="V91" s="16">
        <f>(Levels!V92/Levels!V91-1-Levels!$Y91)</f>
        <v>1.2189662342101837E-2</v>
      </c>
    </row>
    <row r="92" spans="1:22" x14ac:dyDescent="0.35">
      <c r="A92" s="23">
        <v>42277</v>
      </c>
      <c r="B92" s="16">
        <f>Levels!B93/Levels!B92-1-Levels!$Y92</f>
        <v>7.6911247644346759E-3</v>
      </c>
      <c r="C92" s="16">
        <f>Levels!C93/Levels!C92-1-Levels!$Y92</f>
        <v>1.5399120141876832E-2</v>
      </c>
      <c r="D92" s="16">
        <f>Levels!D93/Levels!D92-1-Levels!$Y92</f>
        <v>7.2415256248954396E-3</v>
      </c>
      <c r="E92" s="16">
        <f>Levels!E93/Levels!E92-1-Levels!$Y92</f>
        <v>7.7571765527404413E-3</v>
      </c>
      <c r="F92" s="16">
        <f>Levels!F93/Levels!F92-1-Levels!$Y92</f>
        <v>7.5872926597253532E-3</v>
      </c>
      <c r="G92" s="16">
        <f>Levels!G93/Levels!G92-1-Levels!$Y92</f>
        <v>7.4295307354175222E-3</v>
      </c>
      <c r="H92" s="16">
        <f>Levels!H93/Levels!H92-1-Levels!$Y92</f>
        <v>9.3892363413263791E-3</v>
      </c>
      <c r="I92" s="16">
        <f>Levels!I93/Levels!I92-1-Levels!$Y92</f>
        <v>-3.843508191746503E-4</v>
      </c>
      <c r="J92" s="16">
        <f>Levels!J93/Levels!J92-1-Levels!$Y92</f>
        <v>-2.566448770349361E-2</v>
      </c>
      <c r="K92" s="16">
        <f>Levels!K93/Levels!K92-1-Levels!$Y92</f>
        <v>-3.2890523876100364E-2</v>
      </c>
      <c r="L92" s="16">
        <f>Levels!L93/Levels!L92-1-Levels!$Y92</f>
        <v>-2.8676812700866305E-3</v>
      </c>
      <c r="M92" s="16">
        <f>Levels!M93/Levels!M92-1-Levels!$Y92</f>
        <v>5.8437482309852129E-3</v>
      </c>
      <c r="N92" s="16">
        <f>Levels!N93/Levels!N92-1-Levels!$Y92</f>
        <v>1.2136991080557324E-2</v>
      </c>
      <c r="O92" s="16">
        <f>Levels!O93/Levels!O92-1-Levels!$Y92</f>
        <v>4.5400248187579262E-3</v>
      </c>
      <c r="P92" s="16">
        <f>Levels!P93/Levels!P92-1-Levels!$Y92</f>
        <v>-2.5548727745183797E-3</v>
      </c>
      <c r="Q92" s="16">
        <f>Levels!Q93/Levels!Q92-1-Levels!$Y92</f>
        <v>-6.6881006055644621E-3</v>
      </c>
      <c r="R92" s="16" t="e">
        <f>Levels!R93/Levels!R92-1-Levels!$Y92</f>
        <v>#N/A</v>
      </c>
      <c r="S92" s="16" t="e">
        <f>Levels!S93/Levels!S92-1-Levels!$Y92</f>
        <v>#N/A</v>
      </c>
      <c r="T92" s="16">
        <f>Levels!T93/Levels!T92-1-Levels!$Y92</f>
        <v>1.2244285410104805E-2</v>
      </c>
      <c r="U92" s="16">
        <f>(Levels!U93/Levels!U92-1-Levels!$Y92)*$Y$2</f>
        <v>6.6686076893041957E-2</v>
      </c>
      <c r="V92" s="16">
        <f>(Levels!V93/Levels!V92-1-Levels!$Y92)</f>
        <v>6.6659745676689752E-2</v>
      </c>
    </row>
    <row r="93" spans="1:22" x14ac:dyDescent="0.35">
      <c r="A93" s="23">
        <v>42308</v>
      </c>
      <c r="B93" s="16">
        <f>Levels!B94/Levels!B93-1-Levels!$Y93</f>
        <v>-3.3527678139471107E-3</v>
      </c>
      <c r="C93" s="16">
        <f>Levels!C94/Levels!C93-1-Levels!$Y93</f>
        <v>-5.4451190814334138E-3</v>
      </c>
      <c r="D93" s="16">
        <f>Levels!D94/Levels!D93-1-Levels!$Y93</f>
        <v>3.9883171177235166E-3</v>
      </c>
      <c r="E93" s="16">
        <f>Levels!E94/Levels!E93-1-Levels!$Y93</f>
        <v>4.7708936766355237E-3</v>
      </c>
      <c r="F93" s="16">
        <f>Levels!F94/Levels!F93-1-Levels!$Y93</f>
        <v>-1.7965145616577471E-3</v>
      </c>
      <c r="G93" s="16">
        <f>Levels!G94/Levels!G93-1-Levels!$Y93</f>
        <v>1.9171605691981064E-3</v>
      </c>
      <c r="H93" s="16">
        <f>Levels!H94/Levels!H93-1-Levels!$Y93</f>
        <v>3.0114243228296367E-3</v>
      </c>
      <c r="I93" s="16">
        <f>Levels!I94/Levels!I93-1-Levels!$Y93</f>
        <v>8.2816063130222162E-3</v>
      </c>
      <c r="J93" s="16">
        <f>Levels!J94/Levels!J93-1-Levels!$Y93</f>
        <v>2.7279674189958358E-2</v>
      </c>
      <c r="K93" s="16">
        <f>Levels!K94/Levels!K93-1-Levels!$Y93</f>
        <v>3.1569569217293925E-2</v>
      </c>
      <c r="L93" s="16">
        <f>Levels!L94/Levels!L93-1-Levels!$Y93</f>
        <v>7.8166640678993815E-3</v>
      </c>
      <c r="M93" s="16">
        <f>Levels!M94/Levels!M93-1-Levels!$Y93</f>
        <v>6.7219080518277075E-4</v>
      </c>
      <c r="N93" s="16">
        <f>Levels!N94/Levels!N93-1-Levels!$Y93</f>
        <v>-1.6636640751723775E-3</v>
      </c>
      <c r="O93" s="16">
        <f>Levels!O94/Levels!O93-1-Levels!$Y93</f>
        <v>-2.1873830355593205E-3</v>
      </c>
      <c r="P93" s="16">
        <f>Levels!P94/Levels!P93-1-Levels!$Y93</f>
        <v>-8.961886987566281E-4</v>
      </c>
      <c r="Q93" s="16">
        <f>Levels!Q94/Levels!Q93-1-Levels!$Y93</f>
        <v>-4.44624374719782E-3</v>
      </c>
      <c r="R93" s="16" t="e">
        <f>Levels!R94/Levels!R93-1-Levels!$Y93</f>
        <v>#N/A</v>
      </c>
      <c r="S93" s="16" t="e">
        <f>Levels!S94/Levels!S93-1-Levels!$Y93</f>
        <v>#N/A</v>
      </c>
      <c r="T93" s="16">
        <f>Levels!T94/Levels!T93-1-Levels!$Y93</f>
        <v>-1.8898383325152146E-3</v>
      </c>
      <c r="U93" s="16">
        <f>(Levels!U94/Levels!U93-1-Levels!$Y93)*$Y$2</f>
        <v>3.7454967980895135E-2</v>
      </c>
      <c r="V93" s="16">
        <f>(Levels!V94/Levels!V93-1-Levels!$Y93)</f>
        <v>2.0423689710777904E-2</v>
      </c>
    </row>
    <row r="94" spans="1:22" x14ac:dyDescent="0.35">
      <c r="A94" s="23">
        <v>42338</v>
      </c>
      <c r="B94" s="16">
        <f>Levels!B95/Levels!B94-1-Levels!$Y94</f>
        <v>-3.4547759100856945E-3</v>
      </c>
      <c r="C94" s="16">
        <f>Levels!C95/Levels!C94-1-Levels!$Y94</f>
        <v>-8.263012555781879E-3</v>
      </c>
      <c r="D94" s="16">
        <f>Levels!D95/Levels!D94-1-Levels!$Y94</f>
        <v>3.9142629707875631E-3</v>
      </c>
      <c r="E94" s="16">
        <f>Levels!E95/Levels!E94-1-Levels!$Y94</f>
        <v>3.288580873761493E-4</v>
      </c>
      <c r="F94" s="16">
        <f>Levels!F95/Levels!F94-1-Levels!$Y94</f>
        <v>-2.8840706699143626E-3</v>
      </c>
      <c r="G94" s="16">
        <f>Levels!G95/Levels!G94-1-Levels!$Y94</f>
        <v>-2.2229693402542328E-4</v>
      </c>
      <c r="H94" s="16">
        <f>Levels!H95/Levels!H94-1-Levels!$Y94</f>
        <v>-1.1275613412198293E-4</v>
      </c>
      <c r="I94" s="16">
        <f>Levels!I95/Levels!I94-1-Levels!$Y94</f>
        <v>-4.8308731018704698E-3</v>
      </c>
      <c r="J94" s="16">
        <f>Levels!J95/Levels!J94-1-Levels!$Y94</f>
        <v>-2.2083954116891458E-2</v>
      </c>
      <c r="K94" s="16">
        <f>Levels!K95/Levels!K94-1-Levels!$Y94</f>
        <v>-2.6230536830127549E-2</v>
      </c>
      <c r="L94" s="16">
        <f>Levels!L95/Levels!L94-1-Levels!$Y94</f>
        <v>1.69850174184627E-3</v>
      </c>
      <c r="M94" s="16">
        <f>Levels!M95/Levels!M94-1-Levels!$Y94</f>
        <v>-1.4201106958957599E-3</v>
      </c>
      <c r="N94" s="16">
        <f>Levels!N95/Levels!N94-1-Levels!$Y94</f>
        <v>-2.0017994811434292E-3</v>
      </c>
      <c r="O94" s="16">
        <f>Levels!O95/Levels!O94-1-Levels!$Y94</f>
        <v>-1.6233323828230839E-3</v>
      </c>
      <c r="P94" s="16">
        <f>Levels!P95/Levels!P94-1-Levels!$Y94</f>
        <v>1.0567086613977317E-4</v>
      </c>
      <c r="Q94" s="16">
        <f>Levels!Q95/Levels!Q94-1-Levels!$Y94</f>
        <v>-4.2397998780152601E-3</v>
      </c>
      <c r="R94" s="16" t="e">
        <f>Levels!R95/Levels!R94-1-Levels!$Y94</f>
        <v>#N/A</v>
      </c>
      <c r="S94" s="16" t="e">
        <f>Levels!S95/Levels!S94-1-Levels!$Y94</f>
        <v>#N/A</v>
      </c>
      <c r="T94" s="16">
        <f>Levels!T95/Levels!T94-1-Levels!$Y94</f>
        <v>-2.0473801200993069E-3</v>
      </c>
      <c r="U94" s="16">
        <f>(Levels!U95/Levels!U94-1-Levels!$Y94)*$Y$2</f>
        <v>-6.2392126001489641E-2</v>
      </c>
      <c r="V94" s="16">
        <f>(Levels!V95/Levels!V94-1-Levels!$Y94)</f>
        <v>-2.3139037509839033E-2</v>
      </c>
    </row>
    <row r="95" spans="1:22" x14ac:dyDescent="0.35">
      <c r="A95" s="23">
        <v>42369</v>
      </c>
      <c r="B95" s="16">
        <f>Levels!B96/Levels!B95-1-Levels!$Y95</f>
        <v>-2.0287549079456291E-3</v>
      </c>
      <c r="C95" s="16">
        <f>Levels!C96/Levels!C95-1-Levels!$Y95</f>
        <v>-3.0784715325304912E-4</v>
      </c>
      <c r="D95" s="16">
        <f>Levels!D96/Levels!D95-1-Levels!$Y95</f>
        <v>6.8839224222685402E-3</v>
      </c>
      <c r="E95" s="16">
        <f>Levels!E96/Levels!E95-1-Levels!$Y95</f>
        <v>-3.4555506670936875E-3</v>
      </c>
      <c r="F95" s="16">
        <f>Levels!F96/Levels!F95-1-Levels!$Y95</f>
        <v>-1.452484780101404E-3</v>
      </c>
      <c r="G95" s="16">
        <f>Levels!G96/Levels!G95-1-Levels!$Y95</f>
        <v>-3.3283166208392112E-3</v>
      </c>
      <c r="H95" s="16">
        <f>Levels!H96/Levels!H95-1-Levels!$Y95</f>
        <v>-4.0772562690115643E-3</v>
      </c>
      <c r="I95" s="16">
        <f>Levels!I96/Levels!I95-1-Levels!$Y95</f>
        <v>-1.3644478678684346E-2</v>
      </c>
      <c r="J95" s="16">
        <f>Levels!J96/Levels!J95-1-Levels!$Y95</f>
        <v>-2.5308910653350059E-2</v>
      </c>
      <c r="K95" s="16">
        <f>Levels!K96/Levels!K95-1-Levels!$Y95</f>
        <v>-2.5631421414348265E-2</v>
      </c>
      <c r="L95" s="16">
        <f>Levels!L96/Levels!L95-1-Levels!$Y95</f>
        <v>-6.4119024570972183E-3</v>
      </c>
      <c r="M95" s="16">
        <f>Levels!M96/Levels!M95-1-Levels!$Y95</f>
        <v>-4.6663117165723911E-4</v>
      </c>
      <c r="N95" s="16">
        <f>Levels!N96/Levels!N95-1-Levels!$Y95</f>
        <v>-9.0013694885731077E-3</v>
      </c>
      <c r="O95" s="16">
        <f>Levels!O96/Levels!O95-1-Levels!$Y95</f>
        <v>-2.0430469276775387E-3</v>
      </c>
      <c r="P95" s="16">
        <f>Levels!P96/Levels!P95-1-Levels!$Y95</f>
        <v>2.1919056124395375E-3</v>
      </c>
      <c r="Q95" s="16">
        <f>Levels!Q96/Levels!Q95-1-Levels!$Y95</f>
        <v>-3.0405283500140046E-3</v>
      </c>
      <c r="R95" s="16" t="e">
        <f>Levels!R96/Levels!R95-1-Levels!$Y95</f>
        <v>#N/A</v>
      </c>
      <c r="S95" s="16" t="e">
        <f>Levels!S96/Levels!S95-1-Levels!$Y95</f>
        <v>#N/A</v>
      </c>
      <c r="T95" s="16">
        <f>Levels!T96/Levels!T95-1-Levels!$Y95</f>
        <v>-9.4610407765537419E-3</v>
      </c>
      <c r="U95" s="16">
        <f>(Levels!U96/Levels!U95-1-Levels!$Y95)*$Y$2</f>
        <v>-0.10635268468347787</v>
      </c>
      <c r="V95" s="16">
        <f>(Levels!V96/Levels!V95-1-Levels!$Y95)</f>
        <v>-4.0257654176055313E-2</v>
      </c>
    </row>
    <row r="96" spans="1:22" x14ac:dyDescent="0.35">
      <c r="A96" s="23">
        <v>42400</v>
      </c>
      <c r="B96" s="16">
        <f>Levels!B97/Levels!B96-1-Levels!$Y96</f>
        <v>1.6166320724275485E-2</v>
      </c>
      <c r="C96" s="16">
        <f>Levels!C97/Levels!C96-1-Levels!$Y96</f>
        <v>5.0102858372290893E-2</v>
      </c>
      <c r="D96" s="16">
        <f>Levels!D97/Levels!D96-1-Levels!$Y96</f>
        <v>1.1794488216042565E-2</v>
      </c>
      <c r="E96" s="16">
        <f>Levels!E97/Levels!E96-1-Levels!$Y96</f>
        <v>1.7217241172726272E-2</v>
      </c>
      <c r="F96" s="16">
        <f>Levels!F97/Levels!F96-1-Levels!$Y96</f>
        <v>1.719553943574903E-2</v>
      </c>
      <c r="G96" s="16">
        <f>Levels!G97/Levels!G96-1-Levels!$Y96</f>
        <v>1.2730991699621885E-2</v>
      </c>
      <c r="H96" s="16">
        <f>Levels!H97/Levels!H96-1-Levels!$Y96</f>
        <v>9.4584986792516368E-3</v>
      </c>
      <c r="I96" s="16">
        <f>Levels!I97/Levels!I96-1-Levels!$Y96</f>
        <v>-2.1349445883597218E-3</v>
      </c>
      <c r="J96" s="16">
        <f>Levels!J97/Levels!J96-1-Levels!$Y96</f>
        <v>-1.6044161067773621E-2</v>
      </c>
      <c r="K96" s="16">
        <f>Levels!K97/Levels!K96-1-Levels!$Y96</f>
        <v>-1.9008201878562225E-2</v>
      </c>
      <c r="L96" s="16">
        <f>Levels!L97/Levels!L96-1-Levels!$Y96</f>
        <v>6.6766433815459436E-3</v>
      </c>
      <c r="M96" s="16">
        <f>Levels!M97/Levels!M96-1-Levels!$Y96</f>
        <v>1.2839806222192607E-2</v>
      </c>
      <c r="N96" s="16">
        <f>Levels!N97/Levels!N96-1-Levels!$Y96</f>
        <v>1.4987259704105638E-2</v>
      </c>
      <c r="O96" s="16">
        <f>Levels!O97/Levels!O96-1-Levels!$Y96</f>
        <v>1.0064177129560425E-2</v>
      </c>
      <c r="P96" s="16">
        <f>Levels!P97/Levels!P96-1-Levels!$Y96</f>
        <v>2.3232969772462031E-3</v>
      </c>
      <c r="Q96" s="16">
        <f>Levels!Q97/Levels!Q96-1-Levels!$Y96</f>
        <v>-3.9566290646860791E-3</v>
      </c>
      <c r="R96" s="16" t="e">
        <f>Levels!R97/Levels!R96-1-Levels!$Y96</f>
        <v>#N/A</v>
      </c>
      <c r="S96" s="16" t="e">
        <f>Levels!S97/Levels!S96-1-Levels!$Y96</f>
        <v>#N/A</v>
      </c>
      <c r="T96" s="16">
        <f>Levels!T97/Levels!T96-1-Levels!$Y96</f>
        <v>1.4047071390283605E-2</v>
      </c>
      <c r="U96" s="16">
        <f>(Levels!U97/Levels!U96-1-Levels!$Y96)*$Y$2</f>
        <v>-1.8801876026384168E-3</v>
      </c>
      <c r="V96" s="16">
        <f>(Levels!V97/Levels!V96-1-Levels!$Y96)</f>
        <v>-2.0066203970372509E-3</v>
      </c>
    </row>
    <row r="97" spans="1:22" x14ac:dyDescent="0.35">
      <c r="A97" s="23">
        <v>42428</v>
      </c>
      <c r="B97" s="16">
        <f>Levels!B98/Levels!B97-1-Levels!$Y97</f>
        <v>4.8910948214420102E-3</v>
      </c>
      <c r="C97" s="16">
        <f>Levels!C98/Levels!C97-1-Levels!$Y97</f>
        <v>2.9537556260201603E-2</v>
      </c>
      <c r="D97" s="16">
        <f>Levels!D98/Levels!D97-1-Levels!$Y97</f>
        <v>1.3124567711231272E-3</v>
      </c>
      <c r="E97" s="16">
        <f>Levels!E98/Levels!E97-1-Levels!$Y97</f>
        <v>1.0419979777245292E-2</v>
      </c>
      <c r="F97" s="16">
        <f>Levels!F98/Levels!F97-1-Levels!$Y97</f>
        <v>6.3669117385831697E-3</v>
      </c>
      <c r="G97" s="16">
        <f>Levels!G98/Levels!G97-1-Levels!$Y97</f>
        <v>6.8213925288749255E-3</v>
      </c>
      <c r="H97" s="16">
        <f>Levels!H98/Levels!H97-1-Levels!$Y97</f>
        <v>8.1768574469562871E-3</v>
      </c>
      <c r="I97" s="16">
        <f>Levels!I98/Levels!I97-1-Levels!$Y97</f>
        <v>8.1551339752414798E-3</v>
      </c>
      <c r="J97" s="16">
        <f>Levels!J98/Levels!J97-1-Levels!$Y97</f>
        <v>4.8890817004152431E-3</v>
      </c>
      <c r="K97" s="16">
        <f>Levels!K98/Levels!K97-1-Levels!$Y97</f>
        <v>1.5749716701086713E-2</v>
      </c>
      <c r="L97" s="16">
        <f>Levels!L98/Levels!L97-1-Levels!$Y97</f>
        <v>5.0447477394151008E-3</v>
      </c>
      <c r="M97" s="16">
        <f>Levels!M98/Levels!M97-1-Levels!$Y97</f>
        <v>3.4731868825375045E-3</v>
      </c>
      <c r="N97" s="16">
        <f>Levels!N98/Levels!N97-1-Levels!$Y97</f>
        <v>7.8394137789477014E-3</v>
      </c>
      <c r="O97" s="16">
        <f>Levels!O98/Levels!O97-1-Levels!$Y97</f>
        <v>1.8687529068632802E-3</v>
      </c>
      <c r="P97" s="16">
        <f>Levels!P98/Levels!P97-1-Levels!$Y97</f>
        <v>4.1365706175215955E-3</v>
      </c>
      <c r="Q97" s="16">
        <f>Levels!Q98/Levels!Q97-1-Levels!$Y97</f>
        <v>-9.5070751908343798E-4</v>
      </c>
      <c r="R97" s="16" t="e">
        <f>Levels!R98/Levels!R97-1-Levels!$Y97</f>
        <v>#N/A</v>
      </c>
      <c r="S97" s="16" t="e">
        <f>Levels!S98/Levels!S97-1-Levels!$Y97</f>
        <v>#N/A</v>
      </c>
      <c r="T97" s="16">
        <f>Levels!T98/Levels!T97-1-Levels!$Y97</f>
        <v>7.0263353258108729E-3</v>
      </c>
      <c r="U97" s="16">
        <f>(Levels!U98/Levels!U97-1-Levels!$Y97)*$Y$2</f>
        <v>9.2690639926749169E-2</v>
      </c>
      <c r="V97" s="16">
        <f>(Levels!V98/Levels!V97-1-Levels!$Y97)</f>
        <v>4.0353633613303908E-2</v>
      </c>
    </row>
    <row r="98" spans="1:22" x14ac:dyDescent="0.35">
      <c r="A98" s="23">
        <v>42460</v>
      </c>
      <c r="B98" s="16">
        <f>Levels!B99/Levels!B98-1-Levels!$Y98</f>
        <v>1.6025211601971012E-3</v>
      </c>
      <c r="C98" s="16">
        <f>Levels!C99/Levels!C98-1-Levels!$Y98</f>
        <v>-2.6741054375789552E-4</v>
      </c>
      <c r="D98" s="16">
        <f>Levels!D99/Levels!D98-1-Levels!$Y98</f>
        <v>2.9028113624824936E-3</v>
      </c>
      <c r="E98" s="16">
        <f>Levels!E99/Levels!E98-1-Levels!$Y98</f>
        <v>4.3167298717861069E-3</v>
      </c>
      <c r="F98" s="16">
        <f>Levels!F99/Levels!F98-1-Levels!$Y98</f>
        <v>2.2115703819258759E-3</v>
      </c>
      <c r="G98" s="16">
        <f>Levels!G99/Levels!G98-1-Levels!$Y98</f>
        <v>1.2008555672418542E-2</v>
      </c>
      <c r="H98" s="16">
        <f>Levels!H99/Levels!H98-1-Levels!$Y98</f>
        <v>1.9921368670758E-2</v>
      </c>
      <c r="I98" s="16">
        <f>Levels!I99/Levels!I98-1-Levels!$Y98</f>
        <v>3.6274540994125637E-2</v>
      </c>
      <c r="J98" s="16">
        <f>Levels!J99/Levels!J98-1-Levels!$Y98</f>
        <v>4.1944422437464102E-2</v>
      </c>
      <c r="K98" s="16">
        <f>Levels!K99/Levels!K98-1-Levels!$Y98</f>
        <v>8.3806924920037051E-2</v>
      </c>
      <c r="L98" s="16">
        <f>Levels!L99/Levels!L98-1-Levels!$Y98</f>
        <v>1.475605187011042E-2</v>
      </c>
      <c r="M98" s="16">
        <f>Levels!M99/Levels!M98-1-Levels!$Y98</f>
        <v>2.6924950644773293E-3</v>
      </c>
      <c r="N98" s="16">
        <f>Levels!N99/Levels!N98-1-Levels!$Y98</f>
        <v>1.219300007940638E-2</v>
      </c>
      <c r="O98" s="16">
        <f>Levels!O99/Levels!O98-1-Levels!$Y98</f>
        <v>9.1914069044984892E-4</v>
      </c>
      <c r="P98" s="16">
        <f>Levels!P99/Levels!P98-1-Levels!$Y98</f>
        <v>5.9747863361157005E-3</v>
      </c>
      <c r="Q98" s="16">
        <f>Levels!Q99/Levels!Q98-1-Levels!$Y98</f>
        <v>5.1898558304159792E-3</v>
      </c>
      <c r="R98" s="16" t="e">
        <f>Levels!R99/Levels!R98-1-Levels!$Y98</f>
        <v>#N/A</v>
      </c>
      <c r="S98" s="16" t="e">
        <f>Levels!S99/Levels!S98-1-Levels!$Y98</f>
        <v>#N/A</v>
      </c>
      <c r="T98" s="16">
        <f>Levels!T99/Levels!T98-1-Levels!$Y98</f>
        <v>1.3461691813286158E-2</v>
      </c>
      <c r="U98" s="16">
        <f>(Levels!U99/Levels!U98-1-Levels!$Y98)*$Y$2</f>
        <v>1.7789694846276748E-2</v>
      </c>
      <c r="V98" s="16">
        <f>(Levels!V99/Levels!V98-1-Levels!$Y98)</f>
        <v>-8.266731762212931E-3</v>
      </c>
    </row>
    <row r="99" spans="1:22" x14ac:dyDescent="0.35">
      <c r="A99" s="23">
        <v>42490</v>
      </c>
      <c r="B99" s="16">
        <f>Levels!B100/Levels!B99-1-Levels!$Y99</f>
        <v>-4.8605807518387056E-4</v>
      </c>
      <c r="C99" s="16">
        <f>Levels!C100/Levels!C99-1-Levels!$Y99</f>
        <v>-5.1721969592246619E-3</v>
      </c>
      <c r="D99" s="16">
        <f>Levels!D100/Levels!D99-1-Levels!$Y99</f>
        <v>7.1857897671474547E-3</v>
      </c>
      <c r="E99" s="16">
        <f>Levels!E100/Levels!E99-1-Levels!$Y99</f>
        <v>-3.759585410064159E-3</v>
      </c>
      <c r="F99" s="16">
        <f>Levels!F100/Levels!F99-1-Levels!$Y99</f>
        <v>9.41907847593626E-5</v>
      </c>
      <c r="G99" s="16">
        <f>Levels!G100/Levels!G99-1-Levels!$Y99</f>
        <v>5.1142984460967877E-3</v>
      </c>
      <c r="H99" s="16">
        <f>Levels!H100/Levels!H99-1-Levels!$Y99</f>
        <v>9.4418631426802513E-3</v>
      </c>
      <c r="I99" s="16">
        <f>Levels!I100/Levels!I99-1-Levels!$Y99</f>
        <v>1.7849887987387181E-2</v>
      </c>
      <c r="J99" s="16">
        <f>Levels!J100/Levels!J99-1-Levels!$Y99</f>
        <v>3.7527018102959664E-2</v>
      </c>
      <c r="K99" s="16">
        <f>Levels!K100/Levels!K99-1-Levels!$Y99</f>
        <v>6.2593023363680667E-2</v>
      </c>
      <c r="L99" s="16">
        <f>Levels!L100/Levels!L99-1-Levels!$Y99</f>
        <v>5.6455991482591283E-3</v>
      </c>
      <c r="M99" s="16">
        <f>Levels!M100/Levels!M99-1-Levels!$Y99</f>
        <v>1.4515709089941708E-3</v>
      </c>
      <c r="N99" s="16">
        <f>Levels!N100/Levels!N99-1-Levels!$Y99</f>
        <v>3.582199069642078E-3</v>
      </c>
      <c r="O99" s="16">
        <f>Levels!O100/Levels!O99-1-Levels!$Y99</f>
        <v>2.2883157758988304E-3</v>
      </c>
      <c r="P99" s="16">
        <f>Levels!P100/Levels!P99-1-Levels!$Y99</f>
        <v>7.1822720580900778E-3</v>
      </c>
      <c r="Q99" s="16">
        <f>Levels!Q100/Levels!Q99-1-Levels!$Y99</f>
        <v>6.9749778868941625E-3</v>
      </c>
      <c r="R99" s="16" t="e">
        <f>Levels!R100/Levels!R99-1-Levels!$Y99</f>
        <v>#N/A</v>
      </c>
      <c r="S99" s="16" t="e">
        <f>Levels!S100/Levels!S99-1-Levels!$Y99</f>
        <v>#N/A</v>
      </c>
      <c r="T99" s="16">
        <f>Levels!T100/Levels!T99-1-Levels!$Y99</f>
        <v>3.8301636502917624E-3</v>
      </c>
      <c r="U99" s="16">
        <f>(Levels!U100/Levels!U99-1-Levels!$Y99)*$Y$2</f>
        <v>2.5213920882305719E-2</v>
      </c>
      <c r="V99" s="16">
        <f>(Levels!V100/Levels!V99-1-Levels!$Y99)</f>
        <v>2.54830079680326E-2</v>
      </c>
    </row>
    <row r="100" spans="1:22" x14ac:dyDescent="0.35">
      <c r="A100" s="23">
        <v>42521</v>
      </c>
      <c r="B100" s="16">
        <f>Levels!B101/Levels!B100-1-Levels!$Y100</f>
        <v>-1.677870896995004E-3</v>
      </c>
      <c r="C100" s="16">
        <f>Levels!C101/Levels!C100-1-Levels!$Y100</f>
        <v>7.7543544958238453E-3</v>
      </c>
      <c r="D100" s="16">
        <f>Levels!D101/Levels!D100-1-Levels!$Y100</f>
        <v>2.5290686639558579E-3</v>
      </c>
      <c r="E100" s="16">
        <f>Levels!E101/Levels!E100-1-Levels!$Y100</f>
        <v>5.7264445556397536E-3</v>
      </c>
      <c r="F100" s="16">
        <f>Levels!F101/Levels!F100-1-Levels!$Y100</f>
        <v>3.7632509487761645E-4</v>
      </c>
      <c r="G100" s="16">
        <f>Levels!G101/Levels!G100-1-Levels!$Y100</f>
        <v>2.1795308515126788E-3</v>
      </c>
      <c r="H100" s="16">
        <f>Levels!H101/Levels!H100-1-Levels!$Y100</f>
        <v>-1.267290644246799E-4</v>
      </c>
      <c r="I100" s="16">
        <f>Levels!I101/Levels!I100-1-Levels!$Y100</f>
        <v>-2.0352736398446813E-3</v>
      </c>
      <c r="J100" s="16">
        <f>Levels!J101/Levels!J100-1-Levels!$Y100</f>
        <v>6.7258764187154707E-3</v>
      </c>
      <c r="K100" s="16">
        <f>Levels!K101/Levels!K100-1-Levels!$Y100</f>
        <v>-4.2873331921392532E-3</v>
      </c>
      <c r="L100" s="16">
        <f>Levels!L101/Levels!L100-1-Levels!$Y100</f>
        <v>2.7300950140254354E-3</v>
      </c>
      <c r="M100" s="16">
        <f>Levels!M101/Levels!M100-1-Levels!$Y100</f>
        <v>1.1173765969048066E-3</v>
      </c>
      <c r="N100" s="16">
        <f>Levels!N101/Levels!N100-1-Levels!$Y100</f>
        <v>1.0936941882753182E-3</v>
      </c>
      <c r="O100" s="16">
        <f>Levels!O101/Levels!O100-1-Levels!$Y100</f>
        <v>7.6185538486495119E-4</v>
      </c>
      <c r="P100" s="16">
        <f>Levels!P101/Levels!P100-1-Levels!$Y100</f>
        <v>7.1371040555108234E-3</v>
      </c>
      <c r="Q100" s="16">
        <f>Levels!Q101/Levels!Q100-1-Levels!$Y100</f>
        <v>7.3868103019156806E-3</v>
      </c>
      <c r="R100" s="16" t="e">
        <f>Levels!R101/Levels!R100-1-Levels!$Y100</f>
        <v>#N/A</v>
      </c>
      <c r="S100" s="16" t="e">
        <f>Levels!S101/Levels!S100-1-Levels!$Y100</f>
        <v>#N/A</v>
      </c>
      <c r="T100" s="16">
        <f>Levels!T101/Levels!T100-1-Levels!$Y100</f>
        <v>9.3867371657574417E-4</v>
      </c>
      <c r="U100" s="16">
        <f>(Levels!U101/Levels!U100-1-Levels!$Y100)*$Y$2</f>
        <v>-3.1931566492398476E-3</v>
      </c>
      <c r="V100" s="16">
        <f>(Levels!V101/Levels!V100-1-Levels!$Y100)</f>
        <v>3.4178423834595018E-2</v>
      </c>
    </row>
    <row r="101" spans="1:22" x14ac:dyDescent="0.35">
      <c r="A101" s="23">
        <v>42551</v>
      </c>
      <c r="B101" s="16">
        <f>Levels!B102/Levels!B101-1-Levels!$Y101</f>
        <v>1.4416175150849142E-2</v>
      </c>
      <c r="C101" s="16">
        <f>Levels!C102/Levels!C101-1-Levels!$Y101</f>
        <v>6.1146485471537115E-2</v>
      </c>
      <c r="D101" s="16">
        <f>Levels!D102/Levels!D101-1-Levels!$Y101</f>
        <v>1.5669717891279022E-2</v>
      </c>
      <c r="E101" s="16">
        <f>Levels!E102/Levels!E101-1-Levels!$Y101</f>
        <v>2.3614362547105472E-2</v>
      </c>
      <c r="F101" s="16">
        <f>Levels!F102/Levels!F101-1-Levels!$Y101</f>
        <v>1.5585769893436074E-2</v>
      </c>
      <c r="G101" s="16">
        <f>Levels!G102/Levels!G101-1-Levels!$Y101</f>
        <v>1.8119483492044397E-2</v>
      </c>
      <c r="H101" s="16">
        <f>Levels!H102/Levels!H101-1-Levels!$Y101</f>
        <v>2.0948728405216999E-2</v>
      </c>
      <c r="I101" s="16">
        <f>Levels!I102/Levels!I101-1-Levels!$Y101</f>
        <v>2.6186827812060498E-2</v>
      </c>
      <c r="J101" s="16">
        <f>Levels!J102/Levels!J101-1-Levels!$Y101</f>
        <v>8.2135552638353815E-3</v>
      </c>
      <c r="K101" s="16">
        <f>Levels!K102/Levels!K101-1-Levels!$Y101</f>
        <v>2.0247752372357208E-2</v>
      </c>
      <c r="L101" s="16">
        <f>Levels!L102/Levels!L101-1-Levels!$Y101</f>
        <v>1.5059492260726337E-2</v>
      </c>
      <c r="M101" s="16">
        <f>Levels!M102/Levels!M101-1-Levels!$Y101</f>
        <v>7.8860189581972939E-3</v>
      </c>
      <c r="N101" s="16">
        <f>Levels!N102/Levels!N101-1-Levels!$Y101</f>
        <v>1.700252667184099E-2</v>
      </c>
      <c r="O101" s="16">
        <f>Levels!O102/Levels!O101-1-Levels!$Y101</f>
        <v>8.0398433158122007E-3</v>
      </c>
      <c r="P101" s="16">
        <f>Levels!P102/Levels!P101-1-Levels!$Y101</f>
        <v>1.1266739895348987E-2</v>
      </c>
      <c r="Q101" s="16">
        <f>Levels!Q102/Levels!Q101-1-Levels!$Y101</f>
        <v>1.4025679560632831E-2</v>
      </c>
      <c r="R101" s="16" t="e">
        <f>Levels!R102/Levels!R101-1-Levels!$Y101</f>
        <v>#N/A</v>
      </c>
      <c r="S101" s="16" t="e">
        <f>Levels!S102/Levels!S101-1-Levels!$Y101</f>
        <v>#N/A</v>
      </c>
      <c r="T101" s="16">
        <f>Levels!T102/Levels!T101-1-Levels!$Y101</f>
        <v>1.6789877586078861E-2</v>
      </c>
      <c r="U101" s="16">
        <f>(Levels!U102/Levels!U101-1-Levels!$Y101)*$Y$2</f>
        <v>7.0572464270422935E-2</v>
      </c>
      <c r="V101" s="16">
        <f>(Levels!V102/Levels!V101-1-Levels!$Y101)</f>
        <v>4.1753017837791173E-2</v>
      </c>
    </row>
    <row r="102" spans="1:22" x14ac:dyDescent="0.35">
      <c r="A102" s="23">
        <v>42582</v>
      </c>
      <c r="B102" s="16">
        <f>Levels!B103/Levels!B102-1-Levels!$Y102</f>
        <v>1.7744536291752766E-4</v>
      </c>
      <c r="C102" s="16">
        <f>Levels!C103/Levels!C102-1-Levels!$Y102</f>
        <v>2.2209690981197738E-2</v>
      </c>
      <c r="D102" s="16">
        <f>Levels!D103/Levels!D102-1-Levels!$Y102</f>
        <v>3.9346784120608547E-4</v>
      </c>
      <c r="E102" s="16">
        <f>Levels!E103/Levels!E102-1-Levels!$Y102</f>
        <v>6.065764869427559E-3</v>
      </c>
      <c r="F102" s="16">
        <f>Levels!F103/Levels!F102-1-Levels!$Y102</f>
        <v>3.0698828040784942E-3</v>
      </c>
      <c r="G102" s="16">
        <f>Levels!G103/Levels!G102-1-Levels!$Y102</f>
        <v>7.8963500150333044E-3</v>
      </c>
      <c r="H102" s="16">
        <f>Levels!H103/Levels!H102-1-Levels!$Y102</f>
        <v>1.3199468345222565E-2</v>
      </c>
      <c r="I102" s="16">
        <f>Levels!I103/Levels!I102-1-Levels!$Y102</f>
        <v>1.5638886266540641E-2</v>
      </c>
      <c r="J102" s="16">
        <f>Levels!J103/Levels!J102-1-Levels!$Y102</f>
        <v>2.5666566407139157E-2</v>
      </c>
      <c r="K102" s="16">
        <f>Levels!K103/Levels!K102-1-Levels!$Y102</f>
        <v>4.4726438626579545E-2</v>
      </c>
      <c r="L102" s="16">
        <f>Levels!L103/Levels!L102-1-Levels!$Y102</f>
        <v>1.3708943082042291E-2</v>
      </c>
      <c r="M102" s="16">
        <f>Levels!M103/Levels!M102-1-Levels!$Y102</f>
        <v>1.8303591593815671E-3</v>
      </c>
      <c r="N102" s="16">
        <f>Levels!N103/Levels!N102-1-Levels!$Y102</f>
        <v>9.4679897755547415E-3</v>
      </c>
      <c r="O102" s="16">
        <f>Levels!O103/Levels!O102-1-Levels!$Y102</f>
        <v>-1.0263259817799852E-3</v>
      </c>
      <c r="P102" s="16">
        <f>Levels!P103/Levels!P102-1-Levels!$Y102</f>
        <v>1.1922927244499837E-2</v>
      </c>
      <c r="Q102" s="16">
        <f>Levels!Q103/Levels!Q102-1-Levels!$Y102</f>
        <v>1.692281851725741E-2</v>
      </c>
      <c r="R102" s="16" t="e">
        <f>Levels!R103/Levels!R102-1-Levels!$Y102</f>
        <v>#N/A</v>
      </c>
      <c r="S102" s="16" t="e">
        <f>Levels!S103/Levels!S102-1-Levels!$Y102</f>
        <v>#N/A</v>
      </c>
      <c r="T102" s="16">
        <f>Levels!T103/Levels!T102-1-Levels!$Y102</f>
        <v>9.9215037464939204E-3</v>
      </c>
      <c r="U102" s="16">
        <f>(Levels!U103/Levels!U102-1-Levels!$Y102)*$Y$2</f>
        <v>1.9382900730578533E-2</v>
      </c>
      <c r="V102" s="16">
        <f>(Levels!V103/Levels!V102-1-Levels!$Y102)</f>
        <v>-2.4412805711397478E-2</v>
      </c>
    </row>
    <row r="103" spans="1:22" x14ac:dyDescent="0.35">
      <c r="A103" s="23">
        <v>42613</v>
      </c>
      <c r="B103" s="16">
        <f>Levels!B104/Levels!B103-1-Levels!$Y103</f>
        <v>-4.8941273356370996E-3</v>
      </c>
      <c r="C103" s="16">
        <f>Levels!C104/Levels!C103-1-Levels!$Y103</f>
        <v>-9.7059169196213047E-3</v>
      </c>
      <c r="D103" s="16">
        <f>Levels!D104/Levels!D103-1-Levels!$Y103</f>
        <v>1.1361245772767425E-3</v>
      </c>
      <c r="E103" s="16">
        <f>Levels!E104/Levels!E103-1-Levels!$Y103</f>
        <v>6.2687249023540836E-4</v>
      </c>
      <c r="F103" s="16">
        <f>Levels!F104/Levels!F103-1-Levels!$Y103</f>
        <v>-2.862656080430015E-3</v>
      </c>
      <c r="G103" s="16">
        <f>Levels!G104/Levels!G103-1-Levels!$Y103</f>
        <v>-1.3197232698916039E-3</v>
      </c>
      <c r="H103" s="16">
        <f>Levels!H104/Levels!H103-1-Levels!$Y103</f>
        <v>-9.4877326693998398E-5</v>
      </c>
      <c r="I103" s="16">
        <f>Levels!I104/Levels!I103-1-Levels!$Y103</f>
        <v>5.2088631301088206E-3</v>
      </c>
      <c r="J103" s="16">
        <f>Levels!J104/Levels!J103-1-Levels!$Y103</f>
        <v>2.0096528248165324E-2</v>
      </c>
      <c r="K103" s="16">
        <f>Levels!K104/Levels!K103-1-Levels!$Y103</f>
        <v>2.9711118863299246E-2</v>
      </c>
      <c r="L103" s="16">
        <f>Levels!L104/Levels!L103-1-Levels!$Y103</f>
        <v>5.8590096930337676E-3</v>
      </c>
      <c r="M103" s="16">
        <f>Levels!M104/Levels!M103-1-Levels!$Y103</f>
        <v>9.3936406741157441E-4</v>
      </c>
      <c r="N103" s="16">
        <f>Levels!N104/Levels!N103-1-Levels!$Y103</f>
        <v>-1.9058468671672157E-3</v>
      </c>
      <c r="O103" s="16">
        <f>Levels!O104/Levels!O103-1-Levels!$Y103</f>
        <v>-9.3121818573127513E-5</v>
      </c>
      <c r="P103" s="16">
        <f>Levels!P104/Levels!P103-1-Levels!$Y103</f>
        <v>1.045190264326501E-2</v>
      </c>
      <c r="Q103" s="16">
        <f>Levels!Q104/Levels!Q103-1-Levels!$Y103</f>
        <v>1.6260106176660516E-2</v>
      </c>
      <c r="R103" s="16" t="e">
        <f>Levels!R104/Levels!R103-1-Levels!$Y103</f>
        <v>#N/A</v>
      </c>
      <c r="S103" s="16" t="e">
        <f>Levels!S104/Levels!S103-1-Levels!$Y103</f>
        <v>#N/A</v>
      </c>
      <c r="T103" s="16">
        <f>Levels!T104/Levels!T103-1-Levels!$Y103</f>
        <v>-1.2118342193447873E-3</v>
      </c>
      <c r="U103" s="16">
        <f>(Levels!U104/Levels!U103-1-Levels!$Y103)*$Y$2</f>
        <v>1.1106414875188353E-2</v>
      </c>
      <c r="V103" s="16">
        <f>(Levels!V104/Levels!V103-1-Levels!$Y103)</f>
        <v>-2.1730402961928186E-2</v>
      </c>
    </row>
    <row r="104" spans="1:22" x14ac:dyDescent="0.35">
      <c r="A104" s="23">
        <v>42643</v>
      </c>
      <c r="B104" s="16">
        <f>Levels!B105/Levels!B104-1-Levels!$Y104</f>
        <v>1.4217827587639231E-3</v>
      </c>
      <c r="C104" s="16">
        <f>Levels!C105/Levels!C104-1-Levels!$Y104</f>
        <v>-1.637289910255757E-2</v>
      </c>
      <c r="D104" s="16">
        <f>Levels!D105/Levels!D104-1-Levels!$Y104</f>
        <v>-5.2672026097669855E-3</v>
      </c>
      <c r="E104" s="16">
        <f>Levels!E105/Levels!E104-1-Levels!$Y104</f>
        <v>-4.5990169754972499E-4</v>
      </c>
      <c r="F104" s="16">
        <f>Levels!F105/Levels!F104-1-Levels!$Y104</f>
        <v>1.2367345295460908E-4</v>
      </c>
      <c r="G104" s="16">
        <f>Levels!G105/Levels!G104-1-Levels!$Y104</f>
        <v>-3.448771490023872E-3</v>
      </c>
      <c r="H104" s="16">
        <f>Levels!H105/Levels!H104-1-Levels!$Y104</f>
        <v>-4.3656943693961558E-3</v>
      </c>
      <c r="I104" s="16">
        <f>Levels!I105/Levels!I104-1-Levels!$Y104</f>
        <v>-2.1555234499791576E-3</v>
      </c>
      <c r="J104" s="16">
        <f>Levels!J105/Levels!J104-1-Levels!$Y104</f>
        <v>6.2365703056357358E-3</v>
      </c>
      <c r="K104" s="16">
        <f>Levels!K105/Levels!K104-1-Levels!$Y104</f>
        <v>8.6613422751415925E-3</v>
      </c>
      <c r="L104" s="16">
        <f>Levels!L105/Levels!L104-1-Levels!$Y104</f>
        <v>-1.50208886724712E-3</v>
      </c>
      <c r="M104" s="16">
        <f>Levels!M105/Levels!M104-1-Levels!$Y104</f>
        <v>2.4758029641758217E-3</v>
      </c>
      <c r="N104" s="16">
        <f>Levels!N105/Levels!N104-1-Levels!$Y104</f>
        <v>-2.3251373359685079E-3</v>
      </c>
      <c r="O104" s="16">
        <f>Levels!O105/Levels!O104-1-Levels!$Y104</f>
        <v>2.3625923478369781E-3</v>
      </c>
      <c r="P104" s="16">
        <f>Levels!P105/Levels!P104-1-Levels!$Y104</f>
        <v>6.3577529863769744E-3</v>
      </c>
      <c r="Q104" s="16">
        <f>Levels!Q105/Levels!Q104-1-Levels!$Y104</f>
        <v>9.9232524089383212E-3</v>
      </c>
      <c r="R104" s="16" t="e">
        <f>Levels!R105/Levels!R104-1-Levels!$Y104</f>
        <v>#N/A</v>
      </c>
      <c r="S104" s="16" t="e">
        <f>Levels!S105/Levels!S104-1-Levels!$Y104</f>
        <v>#N/A</v>
      </c>
      <c r="T104" s="16">
        <f>Levels!T105/Levels!T104-1-Levels!$Y104</f>
        <v>-2.3939817440030708E-3</v>
      </c>
      <c r="U104" s="16">
        <f>(Levels!U105/Levels!U104-1-Levels!$Y104)*$Y$2</f>
        <v>-5.8104835067916832E-2</v>
      </c>
      <c r="V104" s="16">
        <f>(Levels!V105/Levels!V104-1-Levels!$Y104)</f>
        <v>-3.4610832994653284E-2</v>
      </c>
    </row>
    <row r="105" spans="1:22" x14ac:dyDescent="0.35">
      <c r="A105" s="23">
        <v>42674</v>
      </c>
      <c r="B105" s="16">
        <f>Levels!B106/Levels!B105-1-Levels!$Y105</f>
        <v>-5.2189076540309909E-3</v>
      </c>
      <c r="C105" s="16">
        <f>Levels!C106/Levels!C105-1-Levels!$Y105</f>
        <v>-4.1018975128521928E-2</v>
      </c>
      <c r="D105" s="16">
        <f>Levels!D106/Levels!D105-1-Levels!$Y105</f>
        <v>-1.0720705074501069E-2</v>
      </c>
      <c r="E105" s="16">
        <f>Levels!E106/Levels!E105-1-Levels!$Y105</f>
        <v>-1.5650743438919812E-2</v>
      </c>
      <c r="F105" s="16">
        <f>Levels!F106/Levels!F105-1-Levels!$Y105</f>
        <v>-7.5396093364327177E-3</v>
      </c>
      <c r="G105" s="16">
        <f>Levels!G106/Levels!G105-1-Levels!$Y105</f>
        <v>-9.9543875109885382E-3</v>
      </c>
      <c r="H105" s="16">
        <f>Levels!H106/Levels!H105-1-Levels!$Y105</f>
        <v>-9.8188482010186373E-3</v>
      </c>
      <c r="I105" s="16">
        <f>Levels!I106/Levels!I105-1-Levels!$Y105</f>
        <v>-7.3925935437565427E-3</v>
      </c>
      <c r="J105" s="16">
        <f>Levels!J106/Levels!J105-1-Levels!$Y105</f>
        <v>3.0532992708061091E-3</v>
      </c>
      <c r="K105" s="16">
        <f>Levels!K106/Levels!K105-1-Levels!$Y105</f>
        <v>1.1854161540273633E-2</v>
      </c>
      <c r="L105" s="16">
        <f>Levels!L106/Levels!L105-1-Levels!$Y105</f>
        <v>-7.3440147415876345E-3</v>
      </c>
      <c r="M105" s="16">
        <f>Levels!M106/Levels!M105-1-Levels!$Y105</f>
        <v>-2.8584452607246513E-3</v>
      </c>
      <c r="N105" s="16">
        <f>Levels!N106/Levels!N105-1-Levels!$Y105</f>
        <v>-8.1235148717462291E-3</v>
      </c>
      <c r="O105" s="16">
        <f>Levels!O106/Levels!O105-1-Levels!$Y105</f>
        <v>-5.8860416662942505E-4</v>
      </c>
      <c r="P105" s="16">
        <f>Levels!P106/Levels!P105-1-Levels!$Y105</f>
        <v>3.1913209834748546E-3</v>
      </c>
      <c r="Q105" s="16">
        <f>Levels!Q106/Levels!Q105-1-Levels!$Y105</f>
        <v>5.7754098978402002E-3</v>
      </c>
      <c r="R105" s="16" t="e">
        <f>Levels!R106/Levels!R105-1-Levels!$Y105</f>
        <v>#N/A</v>
      </c>
      <c r="S105" s="16" t="e">
        <f>Levels!S106/Levels!S105-1-Levels!$Y105</f>
        <v>#N/A</v>
      </c>
      <c r="T105" s="16">
        <f>Levels!T106/Levels!T105-1-Levels!$Y105</f>
        <v>-7.9835086071634587E-3</v>
      </c>
      <c r="U105" s="16">
        <f>(Levels!U106/Levels!U105-1-Levels!$Y105)*$Y$2</f>
        <v>0.13162070488244629</v>
      </c>
      <c r="V105" s="16">
        <f>(Levels!V106/Levels!V105-1-Levels!$Y105)</f>
        <v>2.944621663032887E-3</v>
      </c>
    </row>
    <row r="106" spans="1:22" x14ac:dyDescent="0.35">
      <c r="A106" s="23">
        <v>42704</v>
      </c>
      <c r="B106" s="16">
        <f>Levels!B107/Levels!B106-1-Levels!$Y106</f>
        <v>-1.7615658407522328E-2</v>
      </c>
      <c r="C106" s="16">
        <f>Levels!C107/Levels!C106-1-Levels!$Y106</f>
        <v>-7.4440514491450838E-2</v>
      </c>
      <c r="D106" s="16">
        <f>Levels!D107/Levels!D106-1-Levels!$Y106</f>
        <v>-3.7546966866476739E-2</v>
      </c>
      <c r="E106" s="16">
        <f>Levels!E107/Levels!E106-1-Levels!$Y106</f>
        <v>-1.7314475585215927E-2</v>
      </c>
      <c r="F106" s="16">
        <f>Levels!F107/Levels!F106-1-Levels!$Y106</f>
        <v>-2.2256208964248403E-2</v>
      </c>
      <c r="G106" s="16">
        <f>Levels!G107/Levels!G106-1-Levels!$Y106</f>
        <v>-2.3615685778648698E-2</v>
      </c>
      <c r="H106" s="16">
        <f>Levels!H107/Levels!H106-1-Levels!$Y106</f>
        <v>-2.7787446675807459E-2</v>
      </c>
      <c r="I106" s="16">
        <f>Levels!I107/Levels!I106-1-Levels!$Y106</f>
        <v>-2.9439371675606951E-2</v>
      </c>
      <c r="J106" s="16">
        <f>Levels!J107/Levels!J106-1-Levels!$Y106</f>
        <v>-3.8141304113763486E-3</v>
      </c>
      <c r="K106" s="16">
        <f>Levels!K107/Levels!K106-1-Levels!$Y106</f>
        <v>-2.0801616391063704E-2</v>
      </c>
      <c r="L106" s="16">
        <f>Levels!L107/Levels!L106-1-Levels!$Y106</f>
        <v>-1.6778308937352882E-2</v>
      </c>
      <c r="M106" s="16">
        <f>Levels!M107/Levels!M106-1-Levels!$Y106</f>
        <v>-1.7380718008908391E-2</v>
      </c>
      <c r="N106" s="16">
        <f>Levels!N107/Levels!N106-1-Levels!$Y106</f>
        <v>-1.8840536528927365E-2</v>
      </c>
      <c r="O106" s="16">
        <f>Levels!O107/Levels!O106-1-Levels!$Y106</f>
        <v>-5.3973218608860396E-3</v>
      </c>
      <c r="P106" s="16">
        <f>Levels!P107/Levels!P106-1-Levels!$Y106</f>
        <v>-1.426276072893029E-3</v>
      </c>
      <c r="Q106" s="16">
        <f>Levels!Q107/Levels!Q106-1-Levels!$Y106</f>
        <v>1.1296580525583799E-3</v>
      </c>
      <c r="R106" s="16" t="e">
        <f>Levels!R107/Levels!R106-1-Levels!$Y106</f>
        <v>#N/A</v>
      </c>
      <c r="S106" s="16" t="e">
        <f>Levels!S107/Levels!S106-1-Levels!$Y106</f>
        <v>#N/A</v>
      </c>
      <c r="T106" s="16">
        <f>Levels!T107/Levels!T106-1-Levels!$Y106</f>
        <v>-1.8309006306803766E-2</v>
      </c>
      <c r="U106" s="16">
        <f>(Levels!U107/Levels!U106-1-Levels!$Y106)*$Y$2</f>
        <v>3.1269722626693496E-2</v>
      </c>
      <c r="V106" s="16">
        <f>(Levels!V107/Levels!V106-1-Levels!$Y106)</f>
        <v>3.1144857300499318E-2</v>
      </c>
    </row>
    <row r="107" spans="1:22" x14ac:dyDescent="0.35">
      <c r="A107" s="23">
        <v>42735</v>
      </c>
      <c r="B107" s="16">
        <f>Levels!B108/Levels!B107-1-Levels!$Y107</f>
        <v>-6.6164730093909441E-4</v>
      </c>
      <c r="C107" s="16">
        <f>Levels!C108/Levels!C107-1-Levels!$Y107</f>
        <v>-5.7275560407967774E-3</v>
      </c>
      <c r="D107" s="16">
        <f>Levels!D108/Levels!D107-1-Levels!$Y107</f>
        <v>1.1341045793469506E-2</v>
      </c>
      <c r="E107" s="16">
        <f>Levels!E108/Levels!E107-1-Levels!$Y107</f>
        <v>3.7026636637942367E-3</v>
      </c>
      <c r="F107" s="16">
        <f>Levels!F108/Levels!F107-1-Levels!$Y107</f>
        <v>-1.0755932774921817E-3</v>
      </c>
      <c r="G107" s="16">
        <f>Levels!G108/Levels!G107-1-Levels!$Y107</f>
        <v>1.8991875303884242E-3</v>
      </c>
      <c r="H107" s="16">
        <f>Levels!H108/Levels!H107-1-Levels!$Y107</f>
        <v>4.8007393049271929E-3</v>
      </c>
      <c r="I107" s="16">
        <f>Levels!I108/Levels!I107-1-Levels!$Y107</f>
        <v>8.5823410982455162E-3</v>
      </c>
      <c r="J107" s="16">
        <f>Levels!J108/Levels!J107-1-Levels!$Y107</f>
        <v>1.8063006977014906E-2</v>
      </c>
      <c r="K107" s="16">
        <f>Levels!K108/Levels!K107-1-Levels!$Y107</f>
        <v>1.7976028664394184E-2</v>
      </c>
      <c r="L107" s="16">
        <f>Levels!L108/Levels!L107-1-Levels!$Y107</f>
        <v>5.4523638652901329E-3</v>
      </c>
      <c r="M107" s="16">
        <f>Levels!M108/Levels!M107-1-Levels!$Y107</f>
        <v>-4.138837809871676E-4</v>
      </c>
      <c r="N107" s="16">
        <f>Levels!N108/Levels!N107-1-Levels!$Y107</f>
        <v>-4.4709615607757547E-3</v>
      </c>
      <c r="O107" s="16">
        <f>Levels!O108/Levels!O107-1-Levels!$Y107</f>
        <v>-1.8727182624553862E-3</v>
      </c>
      <c r="P107" s="16">
        <f>Levels!P108/Levels!P107-1-Levels!$Y107</f>
        <v>-4.1873337763538299E-3</v>
      </c>
      <c r="Q107" s="16">
        <f>Levels!Q108/Levels!Q107-1-Levels!$Y107</f>
        <v>-1.8161197587274192E-3</v>
      </c>
      <c r="R107" s="16" t="e">
        <f>Levels!R108/Levels!R107-1-Levels!$Y107</f>
        <v>#N/A</v>
      </c>
      <c r="S107" s="16" t="e">
        <f>Levels!S108/Levels!S107-1-Levels!$Y107</f>
        <v>#N/A</v>
      </c>
      <c r="T107" s="16">
        <f>Levels!T108/Levels!T107-1-Levels!$Y107</f>
        <v>-3.8895040844161288E-3</v>
      </c>
      <c r="U107" s="16">
        <f>(Levels!U108/Levels!U107-1-Levels!$Y107)*$Y$2</f>
        <v>3.6680394285548701E-3</v>
      </c>
      <c r="V107" s="16">
        <f>(Levels!V108/Levels!V107-1-Levels!$Y107)</f>
        <v>-2.0163804761673565E-2</v>
      </c>
    </row>
    <row r="108" spans="1:22" x14ac:dyDescent="0.35">
      <c r="A108" s="23">
        <v>42766</v>
      </c>
      <c r="B108" s="16">
        <f>Levels!B109/Levels!B108-1-Levels!$Y108</f>
        <v>1.5373246756000825E-3</v>
      </c>
      <c r="C108" s="16">
        <f>Levels!C109/Levels!C108-1-Levels!$Y108</f>
        <v>3.5177094129787978E-3</v>
      </c>
      <c r="D108" s="16">
        <f>Levels!D109/Levels!D108-1-Levels!$Y108</f>
        <v>6.1769648169012203E-3</v>
      </c>
      <c r="E108" s="16">
        <f>Levels!E109/Levels!E108-1-Levels!$Y108</f>
        <v>-8.5662366289830372E-3</v>
      </c>
      <c r="F108" s="16">
        <f>Levels!F109/Levels!F108-1-Levels!$Y108</f>
        <v>8.4984715309310843E-4</v>
      </c>
      <c r="G108" s="16">
        <f>Levels!G109/Levels!G108-1-Levels!$Y108</f>
        <v>2.1378979962956013E-3</v>
      </c>
      <c r="H108" s="16">
        <f>Levels!H109/Levels!H108-1-Levels!$Y108</f>
        <v>1.594631081868858E-3</v>
      </c>
      <c r="I108" s="16">
        <f>Levels!I109/Levels!I108-1-Levels!$Y108</f>
        <v>4.9083592293450717E-3</v>
      </c>
      <c r="J108" s="16">
        <f>Levels!J109/Levels!J108-1-Levels!$Y108</f>
        <v>1.2625460185381465E-2</v>
      </c>
      <c r="K108" s="16">
        <f>Levels!K109/Levels!K108-1-Levels!$Y108</f>
        <v>3.5164212026023156E-2</v>
      </c>
      <c r="L108" s="16">
        <f>Levels!L109/Levels!L108-1-Levels!$Y108</f>
        <v>4.3664532479592566E-4</v>
      </c>
      <c r="M108" s="16">
        <f>Levels!M109/Levels!M108-1-Levels!$Y108</f>
        <v>-7.5522496606694745E-4</v>
      </c>
      <c r="N108" s="16">
        <f>Levels!N109/Levels!N108-1-Levels!$Y108</f>
        <v>5.7170149501166723E-3</v>
      </c>
      <c r="O108" s="16">
        <f>Levels!O109/Levels!O108-1-Levels!$Y108</f>
        <v>1.7828816676344061E-3</v>
      </c>
      <c r="P108" s="16">
        <f>Levels!P109/Levels!P108-1-Levels!$Y108</f>
        <v>-6.1316474063312087E-3</v>
      </c>
      <c r="Q108" s="16">
        <f>Levels!Q109/Levels!Q108-1-Levels!$Y108</f>
        <v>-3.5851775206809933E-3</v>
      </c>
      <c r="R108" s="16" t="e">
        <f>Levels!R109/Levels!R108-1-Levels!$Y108</f>
        <v>#N/A</v>
      </c>
      <c r="S108" s="16" t="e">
        <f>Levels!S109/Levels!S108-1-Levels!$Y108</f>
        <v>#N/A</v>
      </c>
      <c r="T108" s="16">
        <f>Levels!T109/Levels!T108-1-Levels!$Y108</f>
        <v>6.6291123889654635E-3</v>
      </c>
      <c r="U108" s="16">
        <f>(Levels!U109/Levels!U108-1-Levels!$Y108)*$Y$2</f>
        <v>2.140712095003847E-2</v>
      </c>
      <c r="V108" s="16">
        <f>(Levels!V109/Levels!V108-1-Levels!$Y108)</f>
        <v>4.6404956073243131E-2</v>
      </c>
    </row>
    <row r="109" spans="1:22" x14ac:dyDescent="0.35">
      <c r="A109" s="23">
        <v>42794</v>
      </c>
      <c r="B109" s="16">
        <f>Levels!B110/Levels!B109-1-Levels!$Y109</f>
        <v>2.5202620716480162E-3</v>
      </c>
      <c r="C109" s="16">
        <f>Levels!C110/Levels!C109-1-Levels!$Y109</f>
        <v>1.5154714351723886E-2</v>
      </c>
      <c r="D109" s="16">
        <f>Levels!D110/Levels!D109-1-Levels!$Y109</f>
        <v>6.5157029844149505E-3</v>
      </c>
      <c r="E109" s="16">
        <f>Levels!E110/Levels!E109-1-Levels!$Y109</f>
        <v>9.3469876683227593E-3</v>
      </c>
      <c r="F109" s="16">
        <f>Levels!F110/Levels!F109-1-Levels!$Y109</f>
        <v>4.3925367344435085E-3</v>
      </c>
      <c r="G109" s="16">
        <f>Levels!G110/Levels!G109-1-Levels!$Y109</f>
        <v>7.8369502373367705E-3</v>
      </c>
      <c r="H109" s="16">
        <f>Levels!H110/Levels!H109-1-Levels!$Y109</f>
        <v>1.028848807881122E-2</v>
      </c>
      <c r="I109" s="16">
        <f>Levels!I110/Levels!I109-1-Levels!$Y109</f>
        <v>1.2570817340897156E-2</v>
      </c>
      <c r="J109" s="16">
        <f>Levels!J110/Levels!J109-1-Levels!$Y109</f>
        <v>1.356559754185982E-2</v>
      </c>
      <c r="K109" s="16">
        <f>Levels!K110/Levels!K109-1-Levels!$Y109</f>
        <v>2.2578793872438663E-2</v>
      </c>
      <c r="L109" s="16">
        <f>Levels!L110/Levels!L109-1-Levels!$Y109</f>
        <v>1.0183100893935482E-2</v>
      </c>
      <c r="M109" s="16">
        <f>Levels!M110/Levels!M109-1-Levels!$Y109</f>
        <v>4.3561316572533482E-3</v>
      </c>
      <c r="N109" s="16">
        <f>Levels!N110/Levels!N109-1-Levels!$Y109</f>
        <v>1.7850351009078835E-3</v>
      </c>
      <c r="O109" s="16">
        <f>Levels!O110/Levels!O109-1-Levels!$Y109</f>
        <v>9.2416902558212222E-4</v>
      </c>
      <c r="P109" s="16">
        <f>Levels!P110/Levels!P109-1-Levels!$Y109</f>
        <v>-4.4337930459923403E-3</v>
      </c>
      <c r="Q109" s="16">
        <f>Levels!Q110/Levels!Q109-1-Levels!$Y109</f>
        <v>-2.3712092643731753E-3</v>
      </c>
      <c r="R109" s="16" t="e">
        <f>Levels!R110/Levels!R109-1-Levels!$Y109</f>
        <v>#N/A</v>
      </c>
      <c r="S109" s="16" t="e">
        <f>Levels!S110/Levels!S109-1-Levels!$Y109</f>
        <v>#N/A</v>
      </c>
      <c r="T109" s="16">
        <f>Levels!T110/Levels!T109-1-Levels!$Y109</f>
        <v>1.5424726492738738E-3</v>
      </c>
      <c r="U109" s="16">
        <f>(Levels!U110/Levels!U109-1-Levels!$Y109)*$Y$2</f>
        <v>-1.1714743539553928E-3</v>
      </c>
      <c r="V109" s="16">
        <f>(Levels!V110/Levels!V109-1-Levels!$Y109)</f>
        <v>-2.6319169082414495E-2</v>
      </c>
    </row>
    <row r="110" spans="1:22" x14ac:dyDescent="0.35">
      <c r="A110" s="23">
        <v>42825</v>
      </c>
      <c r="B110" s="16">
        <f>Levels!B111/Levels!B110-1-Levels!$Y110</f>
        <v>-3.5849567483481337E-6</v>
      </c>
      <c r="C110" s="16">
        <f>Levels!C111/Levels!C110-1-Levels!$Y110</f>
        <v>-6.0190566686115776E-3</v>
      </c>
      <c r="D110" s="16">
        <f>Levels!D111/Levels!D110-1-Levels!$Y110</f>
        <v>1.6665616366167146E-3</v>
      </c>
      <c r="E110" s="16">
        <f>Levels!E111/Levels!E110-1-Levels!$Y110</f>
        <v>-3.1932343945162422E-4</v>
      </c>
      <c r="F110" s="16">
        <f>Levels!F111/Levels!F110-1-Levels!$Y110</f>
        <v>-5.6293840009424834E-4</v>
      </c>
      <c r="G110" s="16">
        <f>Levels!G111/Levels!G110-1-Levels!$Y110</f>
        <v>-1.7417681291773679E-3</v>
      </c>
      <c r="H110" s="16">
        <f>Levels!H111/Levels!H110-1-Levels!$Y110</f>
        <v>-3.0220426705999115E-3</v>
      </c>
      <c r="I110" s="16">
        <f>Levels!I111/Levels!I110-1-Levels!$Y110</f>
        <v>-1.7649183334909058E-3</v>
      </c>
      <c r="J110" s="16">
        <f>Levels!J111/Levels!J110-1-Levels!$Y110</f>
        <v>-2.6663865604541481E-3</v>
      </c>
      <c r="K110" s="16">
        <f>Levels!K111/Levels!K110-1-Levels!$Y110</f>
        <v>-3.7911969031276804E-3</v>
      </c>
      <c r="L110" s="16">
        <f>Levels!L111/Levels!L110-1-Levels!$Y110</f>
        <v>3.4346255337691645E-4</v>
      </c>
      <c r="M110" s="16">
        <f>Levels!M111/Levels!M110-1-Levels!$Y110</f>
        <v>-2.2030857882704424E-4</v>
      </c>
      <c r="N110" s="16">
        <f>Levels!N111/Levels!N110-1-Levels!$Y110</f>
        <v>-2.1481776858900403E-4</v>
      </c>
      <c r="O110" s="16">
        <f>Levels!O111/Levels!O110-1-Levels!$Y110</f>
        <v>1.3262458543401578E-3</v>
      </c>
      <c r="P110" s="16">
        <f>Levels!P111/Levels!P110-1-Levels!$Y110</f>
        <v>-4.2472822874923821E-3</v>
      </c>
      <c r="Q110" s="16">
        <f>Levels!Q111/Levels!Q110-1-Levels!$Y110</f>
        <v>-2.343687465185873E-3</v>
      </c>
      <c r="R110" s="16" t="e">
        <f>Levels!R111/Levels!R110-1-Levels!$Y110</f>
        <v>#N/A</v>
      </c>
      <c r="S110" s="16" t="e">
        <f>Levels!S111/Levels!S110-1-Levels!$Y110</f>
        <v>#N/A</v>
      </c>
      <c r="T110" s="16">
        <f>Levels!T111/Levels!T110-1-Levels!$Y110</f>
        <v>-2.0618903719138437E-4</v>
      </c>
      <c r="U110" s="16">
        <f>(Levels!U111/Levels!U110-1-Levels!$Y110)*$Y$2</f>
        <v>1.1958177932933455E-2</v>
      </c>
      <c r="V110" s="16">
        <f>(Levels!V111/Levels!V110-1-Levels!$Y110)</f>
        <v>-9.45465536691803E-3</v>
      </c>
    </row>
    <row r="111" spans="1:22" x14ac:dyDescent="0.35">
      <c r="A111" s="23">
        <v>42855</v>
      </c>
      <c r="B111" s="16">
        <f>Levels!B112/Levels!B111-1-Levels!$Y111</f>
        <v>4.7225851674588259E-3</v>
      </c>
      <c r="C111" s="16">
        <f>Levels!C112/Levels!C111-1-Levels!$Y111</f>
        <v>1.4805626662305116E-2</v>
      </c>
      <c r="D111" s="16">
        <f>Levels!D112/Levels!D111-1-Levels!$Y111</f>
        <v>6.6298281683265792E-3</v>
      </c>
      <c r="E111" s="16">
        <f>Levels!E112/Levels!E111-1-Levels!$Y111</f>
        <v>4.7550298058234297E-3</v>
      </c>
      <c r="F111" s="16">
        <f>Levels!F112/Levels!F111-1-Levels!$Y111</f>
        <v>6.1025152922900006E-3</v>
      </c>
      <c r="G111" s="16">
        <f>Levels!G112/Levels!G111-1-Levels!$Y111</f>
        <v>6.9619035596848455E-3</v>
      </c>
      <c r="H111" s="16">
        <f>Levels!H112/Levels!H111-1-Levels!$Y111</f>
        <v>9.4454209321719329E-3</v>
      </c>
      <c r="I111" s="16">
        <f>Levels!I112/Levels!I111-1-Levels!$Y111</f>
        <v>1.0649767512993957E-2</v>
      </c>
      <c r="J111" s="16">
        <f>Levels!J112/Levels!J111-1-Levels!$Y111</f>
        <v>1.0491033415187312E-2</v>
      </c>
      <c r="K111" s="16">
        <f>Levels!K112/Levels!K111-1-Levels!$Y111</f>
        <v>1.7372614717190871E-2</v>
      </c>
      <c r="L111" s="16">
        <f>Levels!L112/Levels!L111-1-Levels!$Y111</f>
        <v>6.6605784741278207E-3</v>
      </c>
      <c r="M111" s="16">
        <f>Levels!M112/Levels!M111-1-Levels!$Y111</f>
        <v>5.8970040544494839E-3</v>
      </c>
      <c r="N111" s="16">
        <f>Levels!N112/Levels!N111-1-Levels!$Y111</f>
        <v>7.2997080307048989E-3</v>
      </c>
      <c r="O111" s="16">
        <f>Levels!O112/Levels!O111-1-Levels!$Y111</f>
        <v>2.5192353836771542E-3</v>
      </c>
      <c r="P111" s="16">
        <f>Levels!P112/Levels!P111-1-Levels!$Y111</f>
        <v>-1.0602863835298404E-3</v>
      </c>
      <c r="Q111" s="16">
        <f>Levels!Q112/Levels!Q111-1-Levels!$Y111</f>
        <v>6.4281909150487593E-4</v>
      </c>
      <c r="R111" s="16" t="e">
        <f>Levels!R112/Levels!R111-1-Levels!$Y111</f>
        <v>#N/A</v>
      </c>
      <c r="S111" s="16" t="e">
        <f>Levels!S112/Levels!S111-1-Levels!$Y111</f>
        <v>#N/A</v>
      </c>
      <c r="T111" s="16">
        <f>Levels!T112/Levels!T111-1-Levels!$Y111</f>
        <v>7.3530746734942198E-3</v>
      </c>
      <c r="U111" s="16">
        <f>(Levels!U112/Levels!U111-1-Levels!$Y111)*$Y$2</f>
        <v>-2.66463104934354E-2</v>
      </c>
      <c r="V111" s="16">
        <f>(Levels!V112/Levels!V111-1-Levels!$Y111)</f>
        <v>-2.6660680697434214E-2</v>
      </c>
    </row>
    <row r="112" spans="1:22" x14ac:dyDescent="0.35">
      <c r="A112" s="23">
        <v>42886</v>
      </c>
      <c r="B112" s="16">
        <f>Levels!B113/Levels!B112-1-Levels!$Y112</f>
        <v>3.3395987046354048E-3</v>
      </c>
      <c r="C112" s="16">
        <f>Levels!C113/Levels!C112-1-Levels!$Y112</f>
        <v>1.9116942687209759E-2</v>
      </c>
      <c r="D112" s="16">
        <f>Levels!D113/Levels!D112-1-Levels!$Y112</f>
        <v>1.5210724762161787E-2</v>
      </c>
      <c r="E112" s="16">
        <f>Levels!E113/Levels!E112-1-Levels!$Y112</f>
        <v>5.0866366857360568E-3</v>
      </c>
      <c r="F112" s="16">
        <f>Levels!F113/Levels!F112-1-Levels!$Y112</f>
        <v>5.733020473512207E-3</v>
      </c>
      <c r="G112" s="16">
        <f>Levels!G113/Levels!G112-1-Levels!$Y112</f>
        <v>6.8964478120663308E-3</v>
      </c>
      <c r="H112" s="16">
        <f>Levels!H113/Levels!H112-1-Levels!$Y112</f>
        <v>1.0464361188503801E-2</v>
      </c>
      <c r="I112" s="16">
        <f>Levels!I113/Levels!I112-1-Levels!$Y112</f>
        <v>1.1472149430955536E-2</v>
      </c>
      <c r="J112" s="16">
        <f>Levels!J113/Levels!J112-1-Levels!$Y112</f>
        <v>7.8822376514795511E-3</v>
      </c>
      <c r="K112" s="16">
        <f>Levels!K113/Levels!K112-1-Levels!$Y112</f>
        <v>1.040519814619234E-2</v>
      </c>
      <c r="L112" s="16">
        <f>Levels!L113/Levels!L112-1-Levels!$Y112</f>
        <v>6.2419928885129039E-3</v>
      </c>
      <c r="M112" s="16">
        <f>Levels!M113/Levels!M112-1-Levels!$Y112</f>
        <v>5.5483318299383022E-3</v>
      </c>
      <c r="N112" s="16">
        <f>Levels!N113/Levels!N112-1-Levels!$Y112</f>
        <v>7.9574960489190438E-3</v>
      </c>
      <c r="O112" s="16">
        <f>Levels!O113/Levels!O112-1-Levels!$Y112</f>
        <v>2.8636572811859828E-3</v>
      </c>
      <c r="P112" s="16">
        <f>Levels!P113/Levels!P112-1-Levels!$Y112</f>
        <v>5.4485505040626769E-3</v>
      </c>
      <c r="Q112" s="16">
        <f>Levels!Q113/Levels!Q112-1-Levels!$Y112</f>
        <v>7.5831004606254915E-3</v>
      </c>
      <c r="R112" s="16" t="e">
        <f>Levels!R113/Levels!R112-1-Levels!$Y112</f>
        <v>#N/A</v>
      </c>
      <c r="S112" s="16" t="e">
        <f>Levels!S113/Levels!S112-1-Levels!$Y112</f>
        <v>#N/A</v>
      </c>
      <c r="T112" s="16">
        <f>Levels!T113/Levels!T112-1-Levels!$Y112</f>
        <v>8.1540405895064172E-3</v>
      </c>
      <c r="U112" s="16">
        <f>(Levels!U113/Levels!U112-1-Levels!$Y112)*$Y$2</f>
        <v>3.8749266320168639E-2</v>
      </c>
      <c r="V112" s="16">
        <f>(Levels!V113/Levels!V112-1-Levels!$Y112)</f>
        <v>-1.1334151056643482E-2</v>
      </c>
    </row>
    <row r="113" spans="1:22" x14ac:dyDescent="0.35">
      <c r="A113" s="23">
        <v>42916</v>
      </c>
      <c r="B113" s="16">
        <f>Levels!B114/Levels!B113-1-Levels!$Y113</f>
        <v>-3.5241768669617146E-3</v>
      </c>
      <c r="C113" s="16">
        <f>Levels!C114/Levels!C113-1-Levels!$Y113</f>
        <v>3.1720792365732553E-3</v>
      </c>
      <c r="D113" s="16">
        <f>Levels!D114/Levels!D113-1-Levels!$Y113</f>
        <v>-4.3938489367200129E-3</v>
      </c>
      <c r="E113" s="16">
        <f>Levels!E114/Levels!E113-1-Levels!$Y113</f>
        <v>-5.5952148720253003E-3</v>
      </c>
      <c r="F113" s="16">
        <f>Levels!F114/Levels!F113-1-Levels!$Y113</f>
        <v>-3.3193671866987851E-3</v>
      </c>
      <c r="G113" s="16">
        <f>Levels!G114/Levels!G113-1-Levels!$Y113</f>
        <v>3.6223202929819287E-4</v>
      </c>
      <c r="H113" s="16">
        <f>Levels!H114/Levels!H113-1-Levels!$Y113</f>
        <v>2.1393183179672093E-3</v>
      </c>
      <c r="I113" s="16">
        <f>Levels!I114/Levels!I113-1-Levels!$Y113</f>
        <v>2.3865506268174741E-3</v>
      </c>
      <c r="J113" s="16">
        <f>Levels!J114/Levels!J113-1-Levels!$Y113</f>
        <v>6.1219359204378598E-4</v>
      </c>
      <c r="K113" s="16">
        <f>Levels!K114/Levels!K113-1-Levels!$Y113</f>
        <v>-5.5169207407868015E-4</v>
      </c>
      <c r="L113" s="16">
        <f>Levels!L114/Levels!L113-1-Levels!$Y113</f>
        <v>-2.8723848411239539E-3</v>
      </c>
      <c r="M113" s="16">
        <f>Levels!M114/Levels!M113-1-Levels!$Y113</f>
        <v>-4.8255566235518854E-3</v>
      </c>
      <c r="N113" s="16">
        <f>Levels!N114/Levels!N113-1-Levels!$Y113</f>
        <v>-4.2604258618264002E-3</v>
      </c>
      <c r="O113" s="16">
        <f>Levels!O114/Levels!O113-1-Levels!$Y113</f>
        <v>-1.5214191121549758E-3</v>
      </c>
      <c r="P113" s="16">
        <f>Levels!P114/Levels!P113-1-Levels!$Y113</f>
        <v>4.9133394836404776E-3</v>
      </c>
      <c r="Q113" s="16">
        <f>Levels!Q114/Levels!Q113-1-Levels!$Y113</f>
        <v>6.4559323582558115E-3</v>
      </c>
      <c r="R113" s="16" t="e">
        <f>Levels!R114/Levels!R113-1-Levels!$Y113</f>
        <v>#N/A</v>
      </c>
      <c r="S113" s="16" t="e">
        <f>Levels!S114/Levels!S113-1-Levels!$Y113</f>
        <v>#N/A</v>
      </c>
      <c r="T113" s="16">
        <f>Levels!T114/Levels!T113-1-Levels!$Y113</f>
        <v>-4.1022607874828809E-3</v>
      </c>
      <c r="U113" s="16">
        <f>(Levels!U114/Levels!U113-1-Levels!$Y113)*$Y$2</f>
        <v>7.3231957276161273E-3</v>
      </c>
      <c r="V113" s="16">
        <f>(Levels!V114/Levels!V113-1-Levels!$Y113)</f>
        <v>-1.7282601322974767E-2</v>
      </c>
    </row>
    <row r="114" spans="1:22" x14ac:dyDescent="0.35">
      <c r="A114" s="23">
        <v>42947</v>
      </c>
      <c r="B114" s="16">
        <f>Levels!B115/Levels!B114-1-Levels!$Y114</f>
        <v>2.3751354840817474E-3</v>
      </c>
      <c r="C114" s="16">
        <f>Levels!C115/Levels!C114-1-Levels!$Y114</f>
        <v>-7.0213998563285474E-3</v>
      </c>
      <c r="D114" s="16">
        <f>Levels!D115/Levels!D114-1-Levels!$Y114</f>
        <v>7.24949179183354E-3</v>
      </c>
      <c r="E114" s="16">
        <f>Levels!E115/Levels!E114-1-Levels!$Y114</f>
        <v>5.7114726282025963E-4</v>
      </c>
      <c r="F114" s="16">
        <f>Levels!F115/Levels!F114-1-Levels!$Y114</f>
        <v>2.140520062005713E-3</v>
      </c>
      <c r="G114" s="16">
        <f>Levels!G115/Levels!G114-1-Levels!$Y114</f>
        <v>4.3138028477758272E-3</v>
      </c>
      <c r="H114" s="16">
        <f>Levels!H115/Levels!H114-1-Levels!$Y114</f>
        <v>5.9587218179009138E-3</v>
      </c>
      <c r="I114" s="16">
        <f>Levels!I115/Levels!I114-1-Levels!$Y114</f>
        <v>8.2060315852108268E-3</v>
      </c>
      <c r="J114" s="16">
        <f>Levels!J115/Levels!J114-1-Levels!$Y114</f>
        <v>9.7665847242027759E-3</v>
      </c>
      <c r="K114" s="16">
        <f>Levels!K115/Levels!K114-1-Levels!$Y114</f>
        <v>1.8094152952255138E-2</v>
      </c>
      <c r="L114" s="16">
        <f>Levels!L115/Levels!L114-1-Levels!$Y114</f>
        <v>5.3611674599456371E-3</v>
      </c>
      <c r="M114" s="16">
        <f>Levels!M115/Levels!M114-1-Levels!$Y114</f>
        <v>3.678933731808387E-3</v>
      </c>
      <c r="N114" s="16">
        <f>Levels!N115/Levels!N114-1-Levels!$Y114</f>
        <v>5.3390183405050973E-3</v>
      </c>
      <c r="O114" s="16">
        <f>Levels!O115/Levels!O114-1-Levels!$Y114</f>
        <v>1.8985463246166123E-3</v>
      </c>
      <c r="P114" s="16">
        <f>Levels!P115/Levels!P114-1-Levels!$Y114</f>
        <v>5.6692610957995715E-3</v>
      </c>
      <c r="Q114" s="16">
        <f>Levels!Q115/Levels!Q114-1-Levels!$Y114</f>
        <v>7.0398365172190669E-3</v>
      </c>
      <c r="R114" s="16" t="e">
        <f>Levels!R115/Levels!R114-1-Levels!$Y114</f>
        <v>#N/A</v>
      </c>
      <c r="S114" s="16" t="e">
        <f>Levels!S115/Levels!S114-1-Levels!$Y114</f>
        <v>#N/A</v>
      </c>
      <c r="T114" s="16">
        <f>Levels!T115/Levels!T114-1-Levels!$Y114</f>
        <v>5.5864784409958013E-3</v>
      </c>
      <c r="U114" s="16">
        <f>(Levels!U115/Levels!U114-1-Levels!$Y114)*$Y$2</f>
        <v>-1.7731885348010224E-2</v>
      </c>
      <c r="V114" s="16">
        <f>(Levels!V115/Levels!V114-1-Levels!$Y114)</f>
        <v>-9.9590434683025642E-3</v>
      </c>
    </row>
    <row r="115" spans="1:22" x14ac:dyDescent="0.35">
      <c r="A115" s="23">
        <v>42978</v>
      </c>
      <c r="B115" s="16">
        <f>Levels!B116/Levels!B115-1-Levels!$Y115</f>
        <v>5.326423855887219E-3</v>
      </c>
      <c r="C115" s="16">
        <f>Levels!C116/Levels!C115-1-Levels!$Y115</f>
        <v>3.3455455024237191E-2</v>
      </c>
      <c r="D115" s="16">
        <f>Levels!D116/Levels!D115-1-Levels!$Y115</f>
        <v>6.7185254992234711E-3</v>
      </c>
      <c r="E115" s="16">
        <f>Levels!E116/Levels!E115-1-Levels!$Y115</f>
        <v>7.7564263201215233E-3</v>
      </c>
      <c r="F115" s="16">
        <f>Levels!F116/Levels!F115-1-Levels!$Y115</f>
        <v>8.2865693665268303E-3</v>
      </c>
      <c r="G115" s="16">
        <f>Levels!G116/Levels!G115-1-Levels!$Y115</f>
        <v>8.1781004926240186E-3</v>
      </c>
      <c r="H115" s="16">
        <f>Levels!H116/Levels!H115-1-Levels!$Y115</f>
        <v>8.4039803763058529E-3</v>
      </c>
      <c r="I115" s="16">
        <f>Levels!I116/Levels!I115-1-Levels!$Y115</f>
        <v>6.6967128998072223E-3</v>
      </c>
      <c r="J115" s="16">
        <f>Levels!J116/Levels!J115-1-Levels!$Y115</f>
        <v>-1.7046295789339139E-3</v>
      </c>
      <c r="K115" s="16">
        <f>Levels!K116/Levels!K115-1-Levels!$Y115</f>
        <v>5.7333312995120345E-3</v>
      </c>
      <c r="L115" s="16">
        <f>Levels!L116/Levels!L115-1-Levels!$Y115</f>
        <v>7.8310804177492699E-3</v>
      </c>
      <c r="M115" s="16">
        <f>Levels!M116/Levels!M115-1-Levels!$Y115</f>
        <v>6.4163226743534363E-3</v>
      </c>
      <c r="N115" s="16">
        <f>Levels!N116/Levels!N115-1-Levels!$Y115</f>
        <v>1.0434262284423124E-2</v>
      </c>
      <c r="O115" s="16">
        <f>Levels!O116/Levels!O115-1-Levels!$Y115</f>
        <v>2.9098155417990323E-3</v>
      </c>
      <c r="P115" s="16">
        <f>Levels!P116/Levels!P115-1-Levels!$Y115</f>
        <v>5.405428297736492E-3</v>
      </c>
      <c r="Q115" s="16">
        <f>Levels!Q116/Levels!Q115-1-Levels!$Y115</f>
        <v>6.1103110503868407E-3</v>
      </c>
      <c r="R115" s="16" t="e">
        <f>Levels!R116/Levels!R115-1-Levels!$Y115</f>
        <v>#N/A</v>
      </c>
      <c r="S115" s="16" t="e">
        <f>Levels!S116/Levels!S115-1-Levels!$Y115</f>
        <v>#N/A</v>
      </c>
      <c r="T115" s="16">
        <f>Levels!T116/Levels!T115-1-Levels!$Y115</f>
        <v>1.0227101769671787E-2</v>
      </c>
      <c r="U115" s="16">
        <f>(Levels!U116/Levels!U115-1-Levels!$Y115)*$Y$2</f>
        <v>7.2008935232418816E-2</v>
      </c>
      <c r="V115" s="16">
        <f>(Levels!V116/Levels!V115-1-Levels!$Y115)</f>
        <v>-1.5144655574886867E-3</v>
      </c>
    </row>
    <row r="116" spans="1:22" x14ac:dyDescent="0.35">
      <c r="A116" s="23">
        <v>43008</v>
      </c>
      <c r="B116" s="16">
        <f>Levels!B117/Levels!B116-1-Levels!$Y116</f>
        <v>-6.7791317531155082E-3</v>
      </c>
      <c r="C116" s="16">
        <f>Levels!C117/Levels!C116-1-Levels!$Y116</f>
        <v>-2.2422355849280207E-2</v>
      </c>
      <c r="D116" s="16">
        <f>Levels!D117/Levels!D116-1-Levels!$Y116</f>
        <v>-5.9087799464363489E-3</v>
      </c>
      <c r="E116" s="16">
        <f>Levels!E117/Levels!E116-1-Levels!$Y116</f>
        <v>-6.3288724747739833E-3</v>
      </c>
      <c r="F116" s="16">
        <f>Levels!F117/Levels!F116-1-Levels!$Y116</f>
        <v>-6.6588223527690449E-3</v>
      </c>
      <c r="G116" s="16">
        <f>Levels!G117/Levels!G116-1-Levels!$Y116</f>
        <v>-5.4062267606700409E-3</v>
      </c>
      <c r="H116" s="16">
        <f>Levels!H117/Levels!H116-1-Levels!$Y116</f>
        <v>-4.3219836435671732E-3</v>
      </c>
      <c r="I116" s="16">
        <f>Levels!I117/Levels!I116-1-Levels!$Y116</f>
        <v>-1.181315709605002E-3</v>
      </c>
      <c r="J116" s="16">
        <f>Levels!J117/Levels!J116-1-Levels!$Y116</f>
        <v>7.5680938190023639E-3</v>
      </c>
      <c r="K116" s="16">
        <f>Levels!K117/Levels!K116-1-Levels!$Y116</f>
        <v>1.7739413830842654E-2</v>
      </c>
      <c r="L116" s="16">
        <f>Levels!L117/Levels!L116-1-Levels!$Y116</f>
        <v>-3.8702532480623386E-3</v>
      </c>
      <c r="M116" s="16">
        <f>Levels!M117/Levels!M116-1-Levels!$Y116</f>
        <v>-3.0653050148830019E-3</v>
      </c>
      <c r="N116" s="16">
        <f>Levels!N117/Levels!N116-1-Levels!$Y116</f>
        <v>-1.0373468756034065E-2</v>
      </c>
      <c r="O116" s="16">
        <f>Levels!O117/Levels!O116-1-Levels!$Y116</f>
        <v>-3.1322074125564869E-3</v>
      </c>
      <c r="P116" s="16">
        <f>Levels!P117/Levels!P116-1-Levels!$Y116</f>
        <v>5.2507122681413332E-3</v>
      </c>
      <c r="Q116" s="16">
        <f>Levels!Q117/Levels!Q116-1-Levels!$Y116</f>
        <v>6.2733492272473157E-3</v>
      </c>
      <c r="R116" s="16" t="e">
        <f>Levels!R117/Levels!R116-1-Levels!$Y116</f>
        <v>#N/A</v>
      </c>
      <c r="S116" s="16" t="e">
        <f>Levels!S117/Levels!S116-1-Levels!$Y116</f>
        <v>#N/A</v>
      </c>
      <c r="T116" s="16">
        <f>Levels!T117/Levels!T116-1-Levels!$Y116</f>
        <v>-1.0332481666392002E-2</v>
      </c>
      <c r="U116" s="16">
        <f>(Levels!U117/Levels!U116-1-Levels!$Y116)*$Y$2</f>
        <v>8.596913157849162E-3</v>
      </c>
      <c r="V116" s="16">
        <f>(Levels!V117/Levels!V116-1-Levels!$Y116)</f>
        <v>7.7793866196624872E-3</v>
      </c>
    </row>
    <row r="117" spans="1:22" x14ac:dyDescent="0.35">
      <c r="A117" s="23">
        <v>43039</v>
      </c>
      <c r="B117" s="16">
        <f>Levels!B118/Levels!B117-1-Levels!$Y117</f>
        <v>-2.1736181519874664E-3</v>
      </c>
      <c r="C117" s="16">
        <f>Levels!C118/Levels!C117-1-Levels!$Y117</f>
        <v>-1.6272027988534221E-3</v>
      </c>
      <c r="D117" s="16">
        <f>Levels!D118/Levels!D117-1-Levels!$Y117</f>
        <v>1.5707983860488994E-3</v>
      </c>
      <c r="E117" s="16">
        <f>Levels!E118/Levels!E117-1-Levels!$Y117</f>
        <v>3.6887536957102007E-3</v>
      </c>
      <c r="F117" s="16">
        <f>Levels!F118/Levels!F117-1-Levels!$Y117</f>
        <v>-1.5316337231203736E-3</v>
      </c>
      <c r="G117" s="16">
        <f>Levels!G118/Levels!G117-1-Levels!$Y117</f>
        <v>1.5697074873837202E-3</v>
      </c>
      <c r="H117" s="16">
        <f>Levels!H118/Levels!H117-1-Levels!$Y117</f>
        <v>2.9204573042005411E-3</v>
      </c>
      <c r="I117" s="16">
        <f>Levels!I118/Levels!I117-1-Levels!$Y117</f>
        <v>3.0752898223793679E-3</v>
      </c>
      <c r="J117" s="16">
        <f>Levels!J118/Levels!J117-1-Levels!$Y117</f>
        <v>3.2049708241428387E-3</v>
      </c>
      <c r="K117" s="16">
        <f>Levels!K118/Levels!K117-1-Levels!$Y117</f>
        <v>5.6983585525081093E-3</v>
      </c>
      <c r="L117" s="16">
        <f>Levels!L118/Levels!L117-1-Levels!$Y117</f>
        <v>5.6755360440534641E-3</v>
      </c>
      <c r="M117" s="16">
        <f>Levels!M118/Levels!M117-1-Levels!$Y117</f>
        <v>-1.1825698447579525E-3</v>
      </c>
      <c r="N117" s="16">
        <f>Levels!N118/Levels!N117-1-Levels!$Y117</f>
        <v>3.0643648021000391E-3</v>
      </c>
      <c r="O117" s="16">
        <f>Levels!O118/Levels!O117-1-Levels!$Y117</f>
        <v>-2.7692465399220545E-4</v>
      </c>
      <c r="P117" s="16">
        <f>Levels!P118/Levels!P117-1-Levels!$Y117</f>
        <v>4.1726800891592752E-3</v>
      </c>
      <c r="Q117" s="16">
        <f>Levels!Q118/Levels!Q117-1-Levels!$Y117</f>
        <v>5.0205466434698476E-3</v>
      </c>
      <c r="R117" s="16" t="e">
        <f>Levels!R118/Levels!R117-1-Levels!$Y117</f>
        <v>#N/A</v>
      </c>
      <c r="S117" s="16" t="e">
        <f>Levels!S118/Levels!S117-1-Levels!$Y117</f>
        <v>#N/A</v>
      </c>
      <c r="T117" s="16">
        <f>Levels!T118/Levels!T117-1-Levels!$Y117</f>
        <v>3.3412234175200783E-3</v>
      </c>
      <c r="U117" s="16">
        <f>(Levels!U118/Levels!U117-1-Levels!$Y117)*$Y$2</f>
        <v>3.1991005334941036E-2</v>
      </c>
      <c r="V117" s="16">
        <f>(Levels!V118/Levels!V117-1-Levels!$Y117)</f>
        <v>9.0087484707912502E-4</v>
      </c>
    </row>
    <row r="118" spans="1:22" x14ac:dyDescent="0.35">
      <c r="A118" s="23">
        <v>43069</v>
      </c>
      <c r="B118" s="16">
        <f>Levels!B119/Levels!B118-1-Levels!$Y118</f>
        <v>-4.018401187048215E-3</v>
      </c>
      <c r="C118" s="16">
        <f>Levels!C119/Levels!C118-1-Levels!$Y118</f>
        <v>6.2309034894274529E-3</v>
      </c>
      <c r="D118" s="16">
        <f>Levels!D119/Levels!D118-1-Levels!$Y118</f>
        <v>-6.2929168006354841E-3</v>
      </c>
      <c r="E118" s="16">
        <f>Levels!E119/Levels!E118-1-Levels!$Y118</f>
        <v>3.6326394690588959E-3</v>
      </c>
      <c r="F118" s="16">
        <f>Levels!F119/Levels!F118-1-Levels!$Y118</f>
        <v>-2.3777786408691881E-3</v>
      </c>
      <c r="G118" s="16">
        <f>Levels!G119/Levels!G118-1-Levels!$Y118</f>
        <v>-2.2431710216890277E-3</v>
      </c>
      <c r="H118" s="16">
        <f>Levels!H119/Levels!H118-1-Levels!$Y118</f>
        <v>-1.8941627914026427E-3</v>
      </c>
      <c r="I118" s="16">
        <f>Levels!I119/Levels!I118-1-Levels!$Y118</f>
        <v>-1.5506504986066982E-3</v>
      </c>
      <c r="J118" s="16">
        <f>Levels!J119/Levels!J118-1-Levels!$Y118</f>
        <v>-3.4689916842440827E-3</v>
      </c>
      <c r="K118" s="16">
        <f>Levels!K119/Levels!K118-1-Levels!$Y118</f>
        <v>-3.8418145606061715E-3</v>
      </c>
      <c r="L118" s="16">
        <f>Levels!L119/Levels!L118-1-Levels!$Y118</f>
        <v>-5.4101950288987233E-4</v>
      </c>
      <c r="M118" s="16">
        <f>Levels!M119/Levels!M118-1-Levels!$Y118</f>
        <v>-2.3815935598137106E-3</v>
      </c>
      <c r="N118" s="16">
        <f>Levels!N119/Levels!N118-1-Levels!$Y118</f>
        <v>-4.2219086559607266E-3</v>
      </c>
      <c r="O118" s="16">
        <f>Levels!O119/Levels!O118-1-Levels!$Y118</f>
        <v>-1.8868189547102121E-3</v>
      </c>
      <c r="P118" s="16">
        <f>Levels!P119/Levels!P118-1-Levels!$Y118</f>
        <v>2.104849180552204E-3</v>
      </c>
      <c r="Q118" s="16">
        <f>Levels!Q119/Levels!Q118-1-Levels!$Y118</f>
        <v>2.8425145309152189E-3</v>
      </c>
      <c r="R118" s="16" t="e">
        <f>Levels!R119/Levels!R118-1-Levels!$Y118</f>
        <v>#N/A</v>
      </c>
      <c r="S118" s="16" t="e">
        <f>Levels!S119/Levels!S118-1-Levels!$Y118</f>
        <v>#N/A</v>
      </c>
      <c r="T118" s="16">
        <f>Levels!T119/Levels!T118-1-Levels!$Y118</f>
        <v>-4.0361266845475585E-3</v>
      </c>
      <c r="U118" s="16">
        <f>(Levels!U119/Levels!U118-1-Levels!$Y118)*$Y$2</f>
        <v>-7.8328147058418732E-3</v>
      </c>
      <c r="V118" s="16">
        <f>(Levels!V119/Levels!V118-1-Levels!$Y118)</f>
        <v>1.4168751252445766E-3</v>
      </c>
    </row>
    <row r="119" spans="1:22" x14ac:dyDescent="0.35">
      <c r="A119" s="23">
        <v>43100</v>
      </c>
      <c r="B119" s="16">
        <f>Levels!B120/Levels!B119-1-Levels!$Y119</f>
        <v>-7.7345551828211789E-4</v>
      </c>
      <c r="C119" s="16">
        <f>Levels!C120/Levels!C119-1-Levels!$Y119</f>
        <v>1.6123949550909344E-2</v>
      </c>
      <c r="D119" s="16">
        <f>Levels!D120/Levels!D119-1-Levels!$Y119</f>
        <v>9.4081166890400691E-3</v>
      </c>
      <c r="E119" s="16">
        <f>Levels!E120/Levels!E119-1-Levels!$Y119</f>
        <v>-1.5682511795176435E-3</v>
      </c>
      <c r="F119" s="16">
        <f>Levels!F120/Levels!F119-1-Levels!$Y119</f>
        <v>2.0405666795850763E-3</v>
      </c>
      <c r="G119" s="16">
        <f>Levels!G120/Levels!G119-1-Levels!$Y119</f>
        <v>3.9052667124268581E-3</v>
      </c>
      <c r="H119" s="16">
        <f>Levels!H120/Levels!H119-1-Levels!$Y119</f>
        <v>7.5187778634036029E-3</v>
      </c>
      <c r="I119" s="16">
        <f>Levels!I120/Levels!I119-1-Levels!$Y119</f>
        <v>7.8478901833052284E-3</v>
      </c>
      <c r="J119" s="16">
        <f>Levels!J120/Levels!J119-1-Levels!$Y119</f>
        <v>1.5683275706726008E-3</v>
      </c>
      <c r="K119" s="16">
        <f>Levels!K120/Levels!K119-1-Levels!$Y119</f>
        <v>8.1263553520261045E-3</v>
      </c>
      <c r="L119" s="16">
        <f>Levels!L120/Levels!L119-1-Levels!$Y119</f>
        <v>1.4968663853995867E-3</v>
      </c>
      <c r="M119" s="16">
        <f>Levels!M120/Levels!M119-1-Levels!$Y119</f>
        <v>2.2221787950549299E-3</v>
      </c>
      <c r="N119" s="16">
        <f>Levels!N120/Levels!N119-1-Levels!$Y119</f>
        <v>1.8252017363273865E-3</v>
      </c>
      <c r="O119" s="16">
        <f>Levels!O120/Levels!O119-1-Levels!$Y119</f>
        <v>-8.0667335571171783E-4</v>
      </c>
      <c r="P119" s="16">
        <f>Levels!P120/Levels!P119-1-Levels!$Y119</f>
        <v>2.9389901163470178E-3</v>
      </c>
      <c r="Q119" s="16">
        <f>Levels!Q120/Levels!Q119-1-Levels!$Y119</f>
        <v>3.6901234868618182E-3</v>
      </c>
      <c r="R119" s="16" t="e">
        <f>Levels!R120/Levels!R119-1-Levels!$Y119</f>
        <v>#N/A</v>
      </c>
      <c r="S119" s="16" t="e">
        <f>Levels!S120/Levels!S119-1-Levels!$Y119</f>
        <v>#N/A</v>
      </c>
      <c r="T119" s="16">
        <f>Levels!T120/Levels!T119-1-Levels!$Y119</f>
        <v>1.7841333980384011E-3</v>
      </c>
      <c r="U119" s="16">
        <f>(Levels!U120/Levels!U119-1-Levels!$Y119)*$Y$2</f>
        <v>2.9592996081455335E-2</v>
      </c>
      <c r="V119" s="16">
        <f>(Levels!V120/Levels!V119-1-Levels!$Y119)</f>
        <v>-3.8294164152749666E-2</v>
      </c>
    </row>
    <row r="120" spans="1:22" x14ac:dyDescent="0.35">
      <c r="A120" s="23">
        <v>43131</v>
      </c>
      <c r="B120" s="16">
        <f>Levels!B121/Levels!B120-1-Levels!$Y120</f>
        <v>-1.0902485706298259E-2</v>
      </c>
      <c r="C120" s="16">
        <f>Levels!C121/Levels!C120-1-Levels!$Y120</f>
        <v>-3.3437892475674302E-2</v>
      </c>
      <c r="D120" s="16">
        <f>Levels!D121/Levels!D120-1-Levels!$Y120</f>
        <v>-1.2917469035538143E-2</v>
      </c>
      <c r="E120" s="16">
        <f>Levels!E121/Levels!E120-1-Levels!$Y120</f>
        <v>-6.760456036741469E-3</v>
      </c>
      <c r="F120" s="16">
        <f>Levels!F121/Levels!F120-1-Levels!$Y120</f>
        <v>-1.361713359667005E-2</v>
      </c>
      <c r="G120" s="16">
        <f>Levels!G121/Levels!G120-1-Levels!$Y120</f>
        <v>-1.0569199966294907E-2</v>
      </c>
      <c r="H120" s="16">
        <f>Levels!H121/Levels!H120-1-Levels!$Y120</f>
        <v>-1.3266488931692688E-2</v>
      </c>
      <c r="I120" s="16">
        <f>Levels!I121/Levels!I120-1-Levels!$Y120</f>
        <v>-7.6076734717298589E-3</v>
      </c>
      <c r="J120" s="16">
        <f>Levels!J121/Levels!J120-1-Levels!$Y120</f>
        <v>4.1108192316499093E-3</v>
      </c>
      <c r="K120" s="16">
        <f>Levels!K121/Levels!K120-1-Levels!$Y120</f>
        <v>1.5225749287538948E-2</v>
      </c>
      <c r="L120" s="16">
        <f>Levels!L121/Levels!L120-1-Levels!$Y120</f>
        <v>-6.4981179386117693E-3</v>
      </c>
      <c r="M120" s="16">
        <f>Levels!M121/Levels!M120-1-Levels!$Y120</f>
        <v>-1.2865305071290134E-2</v>
      </c>
      <c r="N120" s="16">
        <f>Levels!N121/Levels!N120-1-Levels!$Y120</f>
        <v>-1.1987894189529835E-2</v>
      </c>
      <c r="O120" s="16">
        <f>Levels!O121/Levels!O120-1-Levels!$Y120</f>
        <v>-4.0211519767564541E-3</v>
      </c>
      <c r="P120" s="16">
        <f>Levels!P121/Levels!P120-1-Levels!$Y120</f>
        <v>-3.3155393941641798E-4</v>
      </c>
      <c r="Q120" s="16">
        <f>Levels!Q121/Levels!Q120-1-Levels!$Y120</f>
        <v>9.9879132297431283E-4</v>
      </c>
      <c r="R120" s="16" t="e">
        <f>Levels!R121/Levels!R120-1-Levels!$Y120</f>
        <v>#N/A</v>
      </c>
      <c r="S120" s="16" t="e">
        <f>Levels!S121/Levels!S120-1-Levels!$Y120</f>
        <v>#N/A</v>
      </c>
      <c r="T120" s="16">
        <f>Levels!T121/Levels!T120-1-Levels!$Y120</f>
        <v>-1.1063386583811341E-2</v>
      </c>
      <c r="U120" s="16">
        <f>(Levels!U121/Levels!U120-1-Levels!$Y120)*$Y$2</f>
        <v>-4.9015832448640849E-2</v>
      </c>
      <c r="V120" s="16">
        <f>(Levels!V121/Levels!V120-1-Levels!$Y120)</f>
        <v>-4.9969230584186675E-2</v>
      </c>
    </row>
    <row r="121" spans="1:22" x14ac:dyDescent="0.35">
      <c r="A121" s="23">
        <v>43159</v>
      </c>
      <c r="B121" s="16">
        <f>Levels!B122/Levels!B121-1-Levels!$Y121</f>
        <v>-4.2066472225819052E-3</v>
      </c>
      <c r="C121" s="16">
        <f>Levels!C122/Levels!C121-1-Levels!$Y121</f>
        <v>-3.1237244784354634E-2</v>
      </c>
      <c r="D121" s="16">
        <f>Levels!D122/Levels!D121-1-Levels!$Y121</f>
        <v>-4.1956993669904907E-3</v>
      </c>
      <c r="E121" s="16">
        <f>Levels!E122/Levels!E121-1-Levels!$Y121</f>
        <v>1.564414584896312E-3</v>
      </c>
      <c r="F121" s="16">
        <f>Levels!F122/Levels!F121-1-Levels!$Y121</f>
        <v>-8.1922375212254428E-3</v>
      </c>
      <c r="G121" s="16">
        <f>Levels!G122/Levels!G121-1-Levels!$Y121</f>
        <v>-1.0394129649822115E-2</v>
      </c>
      <c r="H121" s="16">
        <f>Levels!H122/Levels!H121-1-Levels!$Y121</f>
        <v>-1.7319058181707758E-2</v>
      </c>
      <c r="I121" s="16">
        <f>Levels!I122/Levels!I121-1-Levels!$Y121</f>
        <v>-1.833835671684958E-2</v>
      </c>
      <c r="J121" s="16">
        <f>Levels!J122/Levels!J121-1-Levels!$Y121</f>
        <v>-8.5272875045357965E-3</v>
      </c>
      <c r="K121" s="16">
        <f>Levels!K122/Levels!K121-1-Levels!$Y121</f>
        <v>-2.6959752484335353E-2</v>
      </c>
      <c r="L121" s="16">
        <f>Levels!L122/Levels!L121-1-Levels!$Y121</f>
        <v>-5.5634743371745232E-3</v>
      </c>
      <c r="M121" s="16">
        <f>Levels!M122/Levels!M121-1-Levels!$Y121</f>
        <v>-7.766907280098545E-3</v>
      </c>
      <c r="N121" s="16">
        <f>Levels!N122/Levels!N121-1-Levels!$Y121</f>
        <v>-7.3852462530159535E-3</v>
      </c>
      <c r="O121" s="16">
        <f>Levels!O122/Levels!O121-1-Levels!$Y121</f>
        <v>-3.944081554516421E-3</v>
      </c>
      <c r="P121" s="16">
        <f>Levels!P122/Levels!P121-1-Levels!$Y121</f>
        <v>-4.6043401875370815E-3</v>
      </c>
      <c r="Q121" s="16">
        <f>Levels!Q122/Levels!Q121-1-Levels!$Y121</f>
        <v>-3.178620009912092E-3</v>
      </c>
      <c r="R121" s="16" t="e">
        <f>Levels!R122/Levels!R121-1-Levels!$Y121</f>
        <v>#N/A</v>
      </c>
      <c r="S121" s="16">
        <f>Levels!S122/Levels!S121-1-Levels!$Y121</f>
        <v>-8.3966673271266279E-3</v>
      </c>
      <c r="T121" s="16">
        <f>Levels!T122/Levels!T121-1-Levels!$Y121</f>
        <v>-7.3895877378019614E-3</v>
      </c>
      <c r="U121" s="16">
        <f>(Levels!U122/Levels!U121-1-Levels!$Y121)*$Y$2</f>
        <v>1.2022847365999656E-2</v>
      </c>
      <c r="V121" s="16">
        <f>(Levels!V122/Levels!V121-1-Levels!$Y121)</f>
        <v>9.4724034379163324E-3</v>
      </c>
    </row>
    <row r="122" spans="1:22" x14ac:dyDescent="0.35">
      <c r="A122" s="23">
        <v>43190</v>
      </c>
      <c r="B122" s="16">
        <f>Levels!B123/Levels!B122-1-Levels!$Y122</f>
        <v>3.9503296393035292E-3</v>
      </c>
      <c r="C122" s="16">
        <f>Levels!C123/Levels!C122-1-Levels!$Y122</f>
        <v>2.8904011046596345E-2</v>
      </c>
      <c r="D122" s="16">
        <f>Levels!D123/Levels!D122-1-Levels!$Y122</f>
        <v>2.3214085631142467E-3</v>
      </c>
      <c r="E122" s="16">
        <f>Levels!E123/Levels!E122-1-Levels!$Y122</f>
        <v>1.1663716628103504E-2</v>
      </c>
      <c r="F122" s="16">
        <f>Levels!F123/Levels!F122-1-Levels!$Y122</f>
        <v>6.455228428237314E-3</v>
      </c>
      <c r="G122" s="16">
        <f>Levels!G123/Levels!G122-1-Levels!$Y122</f>
        <v>3.7246082087936117E-3</v>
      </c>
      <c r="H122" s="16">
        <f>Levels!H123/Levels!H122-1-Levels!$Y122</f>
        <v>1.8197018454511049E-3</v>
      </c>
      <c r="I122" s="16">
        <f>Levels!I123/Levels!I122-1-Levels!$Y122</f>
        <v>6.3602065373236094E-4</v>
      </c>
      <c r="J122" s="16">
        <f>Levels!J123/Levels!J122-1-Levels!$Y122</f>
        <v>-6.8465326403683857E-3</v>
      </c>
      <c r="K122" s="16">
        <f>Levels!K123/Levels!K122-1-Levels!$Y122</f>
        <v>-1.6888273379884078E-2</v>
      </c>
      <c r="L122" s="16">
        <f>Levels!L123/Levels!L122-1-Levels!$Y122</f>
        <v>1.7860063651922164E-3</v>
      </c>
      <c r="M122" s="16">
        <f>Levels!M123/Levels!M122-1-Levels!$Y122</f>
        <v>5.0176097765808336E-3</v>
      </c>
      <c r="N122" s="16">
        <f>Levels!N123/Levels!N122-1-Levels!$Y122</f>
        <v>2.5107901135543731E-3</v>
      </c>
      <c r="O122" s="16">
        <f>Levels!O123/Levels!O122-1-Levels!$Y122</f>
        <v>3.899829562652446E-4</v>
      </c>
      <c r="P122" s="16">
        <f>Levels!P123/Levels!P122-1-Levels!$Y122</f>
        <v>-3.6703235527871803E-3</v>
      </c>
      <c r="Q122" s="16">
        <f>Levels!Q123/Levels!Q122-1-Levels!$Y122</f>
        <v>-2.9553565519633285E-3</v>
      </c>
      <c r="R122" s="16" t="e">
        <f>Levels!R123/Levels!R122-1-Levels!$Y122</f>
        <v>#N/A</v>
      </c>
      <c r="S122" s="16">
        <f>Levels!S123/Levels!S122-1-Levels!$Y122</f>
        <v>4.2994490933432328E-3</v>
      </c>
      <c r="T122" s="16">
        <f>Levels!T123/Levels!T122-1-Levels!$Y122</f>
        <v>2.7579691564973974E-3</v>
      </c>
      <c r="U122" s="16">
        <f>(Levels!U123/Levels!U122-1-Levels!$Y122)*$Y$2</f>
        <v>8.1247827144766294E-3</v>
      </c>
      <c r="V122" s="16">
        <f>(Levels!V123/Levels!V122-1-Levels!$Y122)</f>
        <v>3.3942739342385009E-2</v>
      </c>
    </row>
    <row r="123" spans="1:22" x14ac:dyDescent="0.35">
      <c r="A123" s="23">
        <v>43220</v>
      </c>
      <c r="B123" s="16">
        <f>Levels!B124/Levels!B123-1-Levels!$Y123</f>
        <v>-7.2093196167071216E-3</v>
      </c>
      <c r="C123" s="16">
        <f>Levels!C124/Levels!C123-1-Levels!$Y123</f>
        <v>-2.0851252200184911E-2</v>
      </c>
      <c r="D123" s="16">
        <f>Levels!D124/Levels!D123-1-Levels!$Y123</f>
        <v>-4.97952590889994E-3</v>
      </c>
      <c r="E123" s="16">
        <f>Levels!E124/Levels!E123-1-Levels!$Y123</f>
        <v>-4.3801110994575732E-3</v>
      </c>
      <c r="F123" s="16">
        <f>Levels!F124/Levels!F123-1-Levels!$Y123</f>
        <v>-8.1279343331348564E-3</v>
      </c>
      <c r="G123" s="16">
        <f>Levels!G124/Levels!G123-1-Levels!$Y123</f>
        <v>-8.0249630465533128E-3</v>
      </c>
      <c r="H123" s="16">
        <f>Levels!H124/Levels!H123-1-Levels!$Y123</f>
        <v>-1.06872840089558E-2</v>
      </c>
      <c r="I123" s="16">
        <f>Levels!I124/Levels!I123-1-Levels!$Y123</f>
        <v>-1.1478926061557537E-2</v>
      </c>
      <c r="J123" s="16">
        <f>Levels!J124/Levels!J123-1-Levels!$Y123</f>
        <v>4.9056623232985874E-3</v>
      </c>
      <c r="K123" s="16">
        <f>Levels!K124/Levels!K123-1-Levels!$Y123</f>
        <v>8.3878933861214477E-3</v>
      </c>
      <c r="L123" s="16">
        <f>Levels!L124/Levels!L123-1-Levels!$Y123</f>
        <v>-3.6658019080806348E-3</v>
      </c>
      <c r="M123" s="16">
        <f>Levels!M124/Levels!M123-1-Levels!$Y123</f>
        <v>-6.4355515161239607E-3</v>
      </c>
      <c r="N123" s="16">
        <f>Levels!N124/Levels!N123-1-Levels!$Y123</f>
        <v>-8.3541203421991783E-3</v>
      </c>
      <c r="O123" s="16">
        <f>Levels!O124/Levels!O123-1-Levels!$Y123</f>
        <v>-1.797701560297793E-3</v>
      </c>
      <c r="P123" s="16">
        <f>Levels!P124/Levels!P123-1-Levels!$Y123</f>
        <v>-5.8780441902729352E-3</v>
      </c>
      <c r="Q123" s="16">
        <f>Levels!Q124/Levels!Q123-1-Levels!$Y123</f>
        <v>-5.3168813968917927E-3</v>
      </c>
      <c r="R123" s="16" t="e">
        <f>Levels!R124/Levels!R123-1-Levels!$Y123</f>
        <v>#N/A</v>
      </c>
      <c r="S123" s="16">
        <f>Levels!S124/Levels!S123-1-Levels!$Y123</f>
        <v>-6.5473944802139084E-3</v>
      </c>
      <c r="T123" s="16">
        <f>Levels!T124/Levels!T123-1-Levels!$Y123</f>
        <v>-7.9120991316284917E-3</v>
      </c>
      <c r="U123" s="16">
        <f>(Levels!U124/Levels!U123-1-Levels!$Y123)*$Y$2</f>
        <v>6.9697965599710088E-2</v>
      </c>
      <c r="V123" s="16">
        <f>(Levels!V124/Levels!V123-1-Levels!$Y123)</f>
        <v>4.7247954782153601E-2</v>
      </c>
    </row>
    <row r="124" spans="1:22" x14ac:dyDescent="0.35">
      <c r="A124" s="23">
        <v>43251</v>
      </c>
      <c r="B124" s="16">
        <f>Levels!B125/Levels!B124-1-Levels!$Y124</f>
        <v>5.0447154087915891E-3</v>
      </c>
      <c r="C124" s="16">
        <f>Levels!C125/Levels!C124-1-Levels!$Y124</f>
        <v>1.9667619704666128E-2</v>
      </c>
      <c r="D124" s="16">
        <f>Levels!D125/Levels!D124-1-Levels!$Y124</f>
        <v>9.961771187001478E-3</v>
      </c>
      <c r="E124" s="16">
        <f>Levels!E125/Levels!E124-1-Levels!$Y124</f>
        <v>-3.8767824011620711E-4</v>
      </c>
      <c r="F124" s="16">
        <f>Levels!F125/Levels!F124-1-Levels!$Y124</f>
        <v>6.532141840254635E-3</v>
      </c>
      <c r="G124" s="16">
        <f>Levels!G125/Levels!G124-1-Levels!$Y124</f>
        <v>5.2454605966265611E-3</v>
      </c>
      <c r="H124" s="16">
        <f>Levels!H125/Levels!H124-1-Levels!$Y124</f>
        <v>4.4256291562128069E-3</v>
      </c>
      <c r="I124" s="16">
        <f>Levels!I125/Levels!I124-1-Levels!$Y124</f>
        <v>2.0288737854283756E-3</v>
      </c>
      <c r="J124" s="16">
        <f>Levels!J125/Levels!J124-1-Levels!$Y124</f>
        <v>-1.162116866265217E-3</v>
      </c>
      <c r="K124" s="16">
        <f>Levels!K125/Levels!K124-1-Levels!$Y124</f>
        <v>-1.216181776345393E-2</v>
      </c>
      <c r="L124" s="16">
        <f>Levels!L125/Levels!L124-1-Levels!$Y124</f>
        <v>4.7920866570883014E-4</v>
      </c>
      <c r="M124" s="16">
        <f>Levels!M125/Levels!M124-1-Levels!$Y124</f>
        <v>5.4998789858689001E-3</v>
      </c>
      <c r="N124" s="16">
        <f>Levels!N125/Levels!N124-1-Levels!$Y124</f>
        <v>6.5477894618435339E-3</v>
      </c>
      <c r="O124" s="16">
        <f>Levels!O125/Levels!O124-1-Levels!$Y124</f>
        <v>2.5908903604079381E-3</v>
      </c>
      <c r="P124" s="16">
        <f>Levels!P125/Levels!P124-1-Levels!$Y124</f>
        <v>-4.8461373981540934E-3</v>
      </c>
      <c r="Q124" s="16">
        <f>Levels!Q125/Levels!Q124-1-Levels!$Y124</f>
        <v>-4.7313797098289534E-3</v>
      </c>
      <c r="R124" s="16" t="e">
        <f>Levels!R125/Levels!R124-1-Levels!$Y124</f>
        <v>#N/A</v>
      </c>
      <c r="S124" s="16">
        <f>Levels!S125/Levels!S124-1-Levels!$Y124</f>
        <v>5.2225099860028212E-3</v>
      </c>
      <c r="T124" s="16">
        <f>Levels!T125/Levels!T124-1-Levels!$Y124</f>
        <v>6.5347762385341568E-3</v>
      </c>
      <c r="U124" s="16">
        <f>(Levels!U125/Levels!U124-1-Levels!$Y124)*$Y$2</f>
        <v>5.1617408950819232E-3</v>
      </c>
      <c r="V124" s="16">
        <f>(Levels!V125/Levels!V124-1-Levels!$Y124)</f>
        <v>8.156365649198305E-3</v>
      </c>
    </row>
    <row r="125" spans="1:22" x14ac:dyDescent="0.35">
      <c r="A125" s="23">
        <v>43281</v>
      </c>
      <c r="B125" s="16">
        <f>Levels!B126/Levels!B125-1-Levels!$Y125</f>
        <v>-1.6840774769902866E-3</v>
      </c>
      <c r="C125" s="16">
        <f>Levels!C126/Levels!C125-1-Levels!$Y125</f>
        <v>2.0796153373070503E-4</v>
      </c>
      <c r="D125" s="16">
        <f>Levels!D126/Levels!D125-1-Levels!$Y125</f>
        <v>-7.1615010307501947E-4</v>
      </c>
      <c r="E125" s="16">
        <f>Levels!E126/Levels!E125-1-Levels!$Y125</f>
        <v>2.5371411585768389E-3</v>
      </c>
      <c r="F125" s="16">
        <f>Levels!F126/Levels!F125-1-Levels!$Y125</f>
        <v>-1.308325469049354E-3</v>
      </c>
      <c r="G125" s="16">
        <f>Levels!G126/Levels!G125-1-Levels!$Y125</f>
        <v>-3.7236265540995239E-3</v>
      </c>
      <c r="H125" s="16">
        <f>Levels!H126/Levels!H125-1-Levels!$Y125</f>
        <v>-6.7119551982505188E-3</v>
      </c>
      <c r="I125" s="16">
        <f>Levels!I126/Levels!I125-1-Levels!$Y125</f>
        <v>-7.2114591695857655E-3</v>
      </c>
      <c r="J125" s="16">
        <f>Levels!J126/Levels!J125-1-Levels!$Y125</f>
        <v>2.7452247561434717E-3</v>
      </c>
      <c r="K125" s="16">
        <f>Levels!K126/Levels!K125-1-Levels!$Y125</f>
        <v>-2.872820686514177E-3</v>
      </c>
      <c r="L125" s="16">
        <f>Levels!L126/Levels!L125-1-Levels!$Y125</f>
        <v>-1.2196159550403873E-3</v>
      </c>
      <c r="M125" s="16">
        <f>Levels!M126/Levels!M125-1-Levels!$Y125</f>
        <v>-1.0846806648618923E-3</v>
      </c>
      <c r="N125" s="16">
        <f>Levels!N126/Levels!N125-1-Levels!$Y125</f>
        <v>-3.2501421341675218E-3</v>
      </c>
      <c r="O125" s="16">
        <f>Levels!O126/Levels!O125-1-Levels!$Y125</f>
        <v>-1.1247780054222112E-3</v>
      </c>
      <c r="P125" s="16">
        <f>Levels!P126/Levels!P125-1-Levels!$Y125</f>
        <v>-7.2343166790774793E-3</v>
      </c>
      <c r="Q125" s="16">
        <f>Levels!Q126/Levels!Q125-1-Levels!$Y125</f>
        <v>-7.2499789427020733E-3</v>
      </c>
      <c r="R125" s="16" t="e">
        <f>Levels!R126/Levels!R125-1-Levels!$Y125</f>
        <v>#N/A</v>
      </c>
      <c r="S125" s="16">
        <f>Levels!S126/Levels!S125-1-Levels!$Y125</f>
        <v>-1.1600921937016118E-3</v>
      </c>
      <c r="T125" s="16">
        <f>Levels!T126/Levels!T125-1-Levels!$Y125</f>
        <v>-2.7886145983148092E-3</v>
      </c>
      <c r="U125" s="16">
        <f>(Levels!U126/Levels!U125-1-Levels!$Y125)*$Y$2</f>
        <v>1.8368680250976509E-2</v>
      </c>
      <c r="V125" s="16">
        <f>(Levels!V126/Levels!V125-1-Levels!$Y125)</f>
        <v>3.500834386637619E-3</v>
      </c>
    </row>
    <row r="126" spans="1:22" x14ac:dyDescent="0.35">
      <c r="A126" s="23">
        <v>43312</v>
      </c>
      <c r="B126" s="16">
        <f>Levels!B127/Levels!B126-1-Levels!$Y126</f>
        <v>-3.6043526845010998E-3</v>
      </c>
      <c r="C126" s="16">
        <f>Levels!C127/Levels!C126-1-Levels!$Y126</f>
        <v>-1.6298520173563591E-2</v>
      </c>
      <c r="D126" s="16">
        <f>Levels!D127/Levels!D126-1-Levels!$Y126</f>
        <v>8.428852829132083E-4</v>
      </c>
      <c r="E126" s="16">
        <f>Levels!E127/Levels!E126-1-Levels!$Y126</f>
        <v>-1.7998478204022117E-3</v>
      </c>
      <c r="F126" s="16">
        <f>Levels!F127/Levels!F126-1-Levels!$Y126</f>
        <v>-4.2258332083949801E-3</v>
      </c>
      <c r="G126" s="16">
        <f>Levels!G127/Levels!G126-1-Levels!$Y126</f>
        <v>-2.6309919605638221E-4</v>
      </c>
      <c r="H126" s="16">
        <f>Levels!H127/Levels!H126-1-Levels!$Y126</f>
        <v>4.9970456215322478E-3</v>
      </c>
      <c r="I126" s="16">
        <f>Levels!I127/Levels!I126-1-Levels!$Y126</f>
        <v>8.7304495754869649E-3</v>
      </c>
      <c r="J126" s="16">
        <f>Levels!J127/Levels!J126-1-Levels!$Y126</f>
        <v>9.2167531210847198E-3</v>
      </c>
      <c r="K126" s="16">
        <f>Levels!K127/Levels!K126-1-Levels!$Y126</f>
        <v>1.1437803551661796E-2</v>
      </c>
      <c r="L126" s="16">
        <f>Levels!L127/Levels!L126-1-Levels!$Y126</f>
        <v>2.9778055118148128E-3</v>
      </c>
      <c r="M126" s="16">
        <f>Levels!M127/Levels!M126-1-Levels!$Y126</f>
        <v>-2.6404853465299416E-3</v>
      </c>
      <c r="N126" s="16">
        <f>Levels!N127/Levels!N126-1-Levels!$Y126</f>
        <v>-1.8343318785957186E-3</v>
      </c>
      <c r="O126" s="16">
        <f>Levels!O127/Levels!O126-1-Levels!$Y126</f>
        <v>-6.0521794478107793E-4</v>
      </c>
      <c r="P126" s="16">
        <f>Levels!P127/Levels!P126-1-Levels!$Y126</f>
        <v>-4.1151386606631535E-3</v>
      </c>
      <c r="Q126" s="16">
        <f>Levels!Q127/Levels!Q126-1-Levels!$Y126</f>
        <v>-4.4901629946231258E-3</v>
      </c>
      <c r="R126" s="16" t="e">
        <f>Levels!R127/Levels!R126-1-Levels!$Y126</f>
        <v>#N/A</v>
      </c>
      <c r="S126" s="16">
        <f>Levels!S127/Levels!S126-1-Levels!$Y126</f>
        <v>-2.9221821902181144E-3</v>
      </c>
      <c r="T126" s="16">
        <f>Levels!T127/Levels!T126-1-Levels!$Y126</f>
        <v>-1.4249950472189354E-3</v>
      </c>
      <c r="U126" s="16">
        <f>(Levels!U127/Levels!U126-1-Levels!$Y126)*$Y$2</f>
        <v>4.8339046066980092E-2</v>
      </c>
      <c r="V126" s="16">
        <f>(Levels!V127/Levels!V126-1-Levels!$Y126)</f>
        <v>1.4169302204496192E-2</v>
      </c>
    </row>
    <row r="127" spans="1:22" x14ac:dyDescent="0.35">
      <c r="A127" s="23">
        <v>43343</v>
      </c>
      <c r="B127" s="16">
        <f>Levels!B128/Levels!B127-1-Levels!$Y127</f>
        <v>4.3276230673905403E-3</v>
      </c>
      <c r="C127" s="16">
        <f>Levels!C128/Levels!C127-1-Levels!$Y127</f>
        <v>1.409570795343762E-2</v>
      </c>
      <c r="D127" s="16">
        <f>Levels!D128/Levels!D127-1-Levels!$Y127</f>
        <v>8.9774905237338665E-4</v>
      </c>
      <c r="E127" s="16">
        <f>Levels!E128/Levels!E127-1-Levels!$Y127</f>
        <v>7.9945847036277939E-4</v>
      </c>
      <c r="F127" s="16">
        <f>Levels!F128/Levels!F127-1-Levels!$Y127</f>
        <v>5.2582741590372351E-3</v>
      </c>
      <c r="G127" s="16">
        <f>Levels!G128/Levels!G127-1-Levels!$Y127</f>
        <v>5.0757311452538367E-3</v>
      </c>
      <c r="H127" s="16">
        <f>Levels!H128/Levels!H127-1-Levels!$Y127</f>
        <v>3.987643642732408E-3</v>
      </c>
      <c r="I127" s="16">
        <f>Levels!I128/Levels!I127-1-Levels!$Y127</f>
        <v>2.6217024912720266E-3</v>
      </c>
      <c r="J127" s="16">
        <f>Levels!J128/Levels!J127-1-Levels!$Y127</f>
        <v>5.5388670747591462E-3</v>
      </c>
      <c r="K127" s="16">
        <f>Levels!K128/Levels!K127-1-Levels!$Y127</f>
        <v>8.7351689183738923E-3</v>
      </c>
      <c r="L127" s="16">
        <f>Levels!L128/Levels!L127-1-Levels!$Y127</f>
        <v>2.5748299043206746E-3</v>
      </c>
      <c r="M127" s="16">
        <f>Levels!M128/Levels!M127-1-Levels!$Y127</f>
        <v>4.3862341230906932E-3</v>
      </c>
      <c r="N127" s="16">
        <f>Levels!N128/Levels!N127-1-Levels!$Y127</f>
        <v>8.1451101325595854E-3</v>
      </c>
      <c r="O127" s="16">
        <f>Levels!O128/Levels!O127-1-Levels!$Y127</f>
        <v>2.683735188354186E-3</v>
      </c>
      <c r="P127" s="16">
        <f>Levels!P128/Levels!P127-1-Levels!$Y127</f>
        <v>-5.3051721551700126E-4</v>
      </c>
      <c r="Q127" s="16">
        <f>Levels!Q128/Levels!Q127-1-Levels!$Y127</f>
        <v>-9.5255264022009456E-4</v>
      </c>
      <c r="R127" s="16" t="e">
        <f>Levels!R128/Levels!R127-1-Levels!$Y127</f>
        <v>#N/A</v>
      </c>
      <c r="S127" s="16">
        <f>Levels!S128/Levels!S127-1-Levels!$Y127</f>
        <v>4.784300942472397E-3</v>
      </c>
      <c r="T127" s="16">
        <f>Levels!T128/Levels!T127-1-Levels!$Y127</f>
        <v>8.2597901750194325E-3</v>
      </c>
      <c r="U127" s="16">
        <f>(Levels!U128/Levels!U127-1-Levels!$Y127)*$Y$2</f>
        <v>-3.2460319490366318E-2</v>
      </c>
      <c r="V127" s="16">
        <f>(Levels!V128/Levels!V127-1-Levels!$Y127)</f>
        <v>-2.4466388241928261E-2</v>
      </c>
    </row>
    <row r="128" spans="1:22" x14ac:dyDescent="0.35">
      <c r="A128" s="23">
        <v>43373</v>
      </c>
      <c r="B128" s="16">
        <f>Levels!B129/Levels!B128-1-Levels!$Y128</f>
        <v>-6.9127815453836616E-3</v>
      </c>
      <c r="C128" s="16">
        <f>Levels!C129/Levels!C128-1-Levels!$Y128</f>
        <v>-3.135268729135765E-2</v>
      </c>
      <c r="D128" s="16">
        <f>Levels!D129/Levels!D128-1-Levels!$Y128</f>
        <v>-8.2057764697625046E-3</v>
      </c>
      <c r="E128" s="16">
        <f>Levels!E129/Levels!E128-1-Levels!$Y128</f>
        <v>-4.5195489920527576E-3</v>
      </c>
      <c r="F128" s="16">
        <f>Levels!F129/Levels!F128-1-Levels!$Y128</f>
        <v>-9.4222721087369177E-3</v>
      </c>
      <c r="G128" s="16">
        <f>Levels!G129/Levels!G128-1-Levels!$Y128</f>
        <v>-6.3669713324939758E-3</v>
      </c>
      <c r="H128" s="16">
        <f>Levels!H129/Levels!H128-1-Levels!$Y128</f>
        <v>-7.1215596860861874E-3</v>
      </c>
      <c r="I128" s="16">
        <f>Levels!I129/Levels!I128-1-Levels!$Y128</f>
        <v>-2.8501107856517827E-3</v>
      </c>
      <c r="J128" s="16">
        <f>Levels!J129/Levels!J128-1-Levels!$Y128</f>
        <v>3.7714727027735595E-3</v>
      </c>
      <c r="K128" s="16">
        <f>Levels!K129/Levels!K128-1-Levels!$Y128</f>
        <v>5.0450025979904556E-3</v>
      </c>
      <c r="L128" s="16">
        <f>Levels!L129/Levels!L128-1-Levels!$Y128</f>
        <v>-4.0046304606257133E-3</v>
      </c>
      <c r="M128" s="16">
        <f>Levels!M129/Levels!M128-1-Levels!$Y128</f>
        <v>-7.872513392819136E-3</v>
      </c>
      <c r="N128" s="16">
        <f>Levels!N129/Levels!N128-1-Levels!$Y128</f>
        <v>-6.6627450562083412E-3</v>
      </c>
      <c r="O128" s="16">
        <f>Levels!O129/Levels!O128-1-Levels!$Y128</f>
        <v>-2.1151339521001677E-3</v>
      </c>
      <c r="P128" s="16">
        <f>Levels!P129/Levels!P128-1-Levels!$Y128</f>
        <v>-2.029283541518101E-3</v>
      </c>
      <c r="Q128" s="16">
        <f>Levels!Q129/Levels!Q128-1-Levels!$Y128</f>
        <v>-1.5373260666193822E-3</v>
      </c>
      <c r="R128" s="16" t="e">
        <f>Levels!R129/Levels!R128-1-Levels!$Y128</f>
        <v>#N/A</v>
      </c>
      <c r="S128" s="16">
        <f>Levels!S129/Levels!S128-1-Levels!$Y128</f>
        <v>-8.2426173543593828E-3</v>
      </c>
      <c r="T128" s="16">
        <f>Levels!T129/Levels!T128-1-Levels!$Y128</f>
        <v>-6.2900114599542256E-3</v>
      </c>
      <c r="U128" s="16">
        <f>(Levels!U129/Levels!U128-1-Levels!$Y128)*$Y$2</f>
        <v>-0.13304351078404389</v>
      </c>
      <c r="V128" s="16">
        <f>(Levels!V129/Levels!V128-1-Levels!$Y128)</f>
        <v>-1.5970707198261325E-2</v>
      </c>
    </row>
    <row r="129" spans="1:22" x14ac:dyDescent="0.35">
      <c r="A129" s="23">
        <v>43404</v>
      </c>
      <c r="B129" s="16">
        <f>Levels!B130/Levels!B129-1-Levels!$Y129</f>
        <v>-1.4497234806161163E-3</v>
      </c>
      <c r="C129" s="16">
        <f>Levels!C130/Levels!C129-1-Levels!$Y129</f>
        <v>-3.2278934272158777E-2</v>
      </c>
      <c r="D129" s="16">
        <f>Levels!D130/Levels!D129-1-Levels!$Y129</f>
        <v>-7.9731462735034286E-3</v>
      </c>
      <c r="E129" s="16">
        <f>Levels!E130/Levels!E129-1-Levels!$Y129</f>
        <v>1.5870072386614531E-4</v>
      </c>
      <c r="F129" s="16">
        <f>Levels!F130/Levels!F129-1-Levels!$Y129</f>
        <v>-7.0886884125894722E-3</v>
      </c>
      <c r="G129" s="16">
        <f>Levels!G130/Levels!G129-1-Levels!$Y129</f>
        <v>-9.7620557816547882E-3</v>
      </c>
      <c r="H129" s="16">
        <f>Levels!H130/Levels!H129-1-Levels!$Y129</f>
        <v>-1.5006147307626616E-2</v>
      </c>
      <c r="I129" s="16">
        <f>Levels!I130/Levels!I129-1-Levels!$Y129</f>
        <v>-1.9389127788753791E-2</v>
      </c>
      <c r="J129" s="16">
        <f>Levels!J130/Levels!J129-1-Levels!$Y129</f>
        <v>-1.7279968103129151E-2</v>
      </c>
      <c r="K129" s="16">
        <f>Levels!K130/Levels!K129-1-Levels!$Y129</f>
        <v>-2.7835772168194994E-2</v>
      </c>
      <c r="L129" s="16">
        <f>Levels!L130/Levels!L129-1-Levels!$Y129</f>
        <v>-4.8195677628152245E-3</v>
      </c>
      <c r="M129" s="16">
        <f>Levels!M130/Levels!M129-1-Levels!$Y129</f>
        <v>-8.1200100095675243E-3</v>
      </c>
      <c r="N129" s="16">
        <f>Levels!N130/Levels!N129-1-Levels!$Y129</f>
        <v>-7.3766002833997035E-3</v>
      </c>
      <c r="O129" s="16">
        <f>Levels!O130/Levels!O129-1-Levels!$Y129</f>
        <v>-1.1070339204652946E-3</v>
      </c>
      <c r="P129" s="16">
        <f>Levels!P130/Levels!P129-1-Levels!$Y129</f>
        <v>-2.7635457649045625E-3</v>
      </c>
      <c r="Q129" s="16">
        <f>Levels!Q130/Levels!Q129-1-Levels!$Y129</f>
        <v>-2.88084017589052E-3</v>
      </c>
      <c r="R129" s="16" t="e">
        <f>Levels!R130/Levels!R129-1-Levels!$Y129</f>
        <v>#N/A</v>
      </c>
      <c r="S129" s="16">
        <f>Levels!S130/Levels!S129-1-Levels!$Y129</f>
        <v>-8.3149865262601708E-3</v>
      </c>
      <c r="T129" s="16">
        <f>Levels!T130/Levels!T129-1-Levels!$Y129</f>
        <v>-6.9253296842971546E-3</v>
      </c>
      <c r="U129" s="16">
        <f>(Levels!U130/Levels!U129-1-Levels!$Y129)*$Y$2</f>
        <v>1.5177855305546828E-2</v>
      </c>
      <c r="V129" s="16">
        <f>(Levels!V130/Levels!V129-1-Levels!$Y129)</f>
        <v>3.3601196472852424E-2</v>
      </c>
    </row>
    <row r="130" spans="1:22" x14ac:dyDescent="0.35">
      <c r="A130" s="23">
        <v>43434</v>
      </c>
      <c r="B130" s="16">
        <f>Levels!B131/Levels!B130-1-Levels!$Y130</f>
        <v>5.0037171984966822E-3</v>
      </c>
      <c r="C130" s="16">
        <f>Levels!C131/Levels!C130-1-Levels!$Y130</f>
        <v>1.7004669860989141E-2</v>
      </c>
      <c r="D130" s="16">
        <f>Levels!D131/Levels!D130-1-Levels!$Y130</f>
        <v>9.1487232088778292E-3</v>
      </c>
      <c r="E130" s="16">
        <f>Levels!E131/Levels!E130-1-Levels!$Y130</f>
        <v>4.4500390324093697E-3</v>
      </c>
      <c r="F130" s="16">
        <f>Levels!F131/Levels!F130-1-Levels!$Y130</f>
        <v>6.8089053028499436E-3</v>
      </c>
      <c r="G130" s="16">
        <f>Levels!G131/Levels!G130-1-Levels!$Y130</f>
        <v>2.1877494735711434E-3</v>
      </c>
      <c r="H130" s="16">
        <f>Levels!H131/Levels!H130-1-Levels!$Y130</f>
        <v>-1.6787493572625323E-3</v>
      </c>
      <c r="I130" s="16">
        <f>Levels!I131/Levels!I130-1-Levels!$Y130</f>
        <v>-5.8473167280331806E-3</v>
      </c>
      <c r="J130" s="16">
        <f>Levels!J131/Levels!J130-1-Levels!$Y130</f>
        <v>-9.5081823528680998E-3</v>
      </c>
      <c r="K130" s="16">
        <f>Levels!K131/Levels!K130-1-Levels!$Y130</f>
        <v>-2.9340635886444866E-2</v>
      </c>
      <c r="L130" s="16">
        <f>Levels!L131/Levels!L130-1-Levels!$Y130</f>
        <v>-2.6154182185389452E-3</v>
      </c>
      <c r="M130" s="16">
        <f>Levels!M131/Levels!M130-1-Levels!$Y130</f>
        <v>7.0922223307952059E-3</v>
      </c>
      <c r="N130" s="16">
        <f>Levels!N131/Levels!N130-1-Levels!$Y130</f>
        <v>4.7126477208569995E-3</v>
      </c>
      <c r="O130" s="16">
        <f>Levels!O131/Levels!O130-1-Levels!$Y130</f>
        <v>1.8835752173653741E-3</v>
      </c>
      <c r="P130" s="16">
        <f>Levels!P131/Levels!P130-1-Levels!$Y130</f>
        <v>-3.8103450586489673E-3</v>
      </c>
      <c r="Q130" s="16">
        <f>Levels!Q131/Levels!Q130-1-Levels!$Y130</f>
        <v>-4.217743964353482E-3</v>
      </c>
      <c r="R130" s="16" t="e">
        <f>Levels!R131/Levels!R130-1-Levels!$Y130</f>
        <v>#N/A</v>
      </c>
      <c r="S130" s="16">
        <f>Levels!S131/Levels!S130-1-Levels!$Y130</f>
        <v>7.8318466800673114E-3</v>
      </c>
      <c r="T130" s="16">
        <f>Levels!T131/Levels!T130-1-Levels!$Y130</f>
        <v>4.4455806583714175E-3</v>
      </c>
      <c r="U130" s="16">
        <f>(Levels!U131/Levels!U130-1-Levels!$Y130)*$Y$2</f>
        <v>-0.14686514672832188</v>
      </c>
      <c r="V130" s="16">
        <f>(Levels!V131/Levels!V130-1-Levels!$Y130)</f>
        <v>-7.0149678464568654E-2</v>
      </c>
    </row>
    <row r="131" spans="1:22" x14ac:dyDescent="0.35">
      <c r="A131" s="23">
        <v>43465</v>
      </c>
      <c r="B131" s="16">
        <f>Levels!B132/Levels!B131-1-Levels!$Y131</f>
        <v>1.3079412370867516E-2</v>
      </c>
      <c r="C131" s="16">
        <f>Levels!C132/Levels!C131-1-Levels!$Y131</f>
        <v>5.2780341830326982E-2</v>
      </c>
      <c r="D131" s="16">
        <f>Levels!D132/Levels!D131-1-Levels!$Y131</f>
        <v>1.0039816968806736E-2</v>
      </c>
      <c r="E131" s="16">
        <f>Levels!E132/Levels!E131-1-Levels!$Y131</f>
        <v>1.2474629403796289E-2</v>
      </c>
      <c r="F131" s="16">
        <f>Levels!F132/Levels!F131-1-Levels!$Y131</f>
        <v>1.7782546797186605E-2</v>
      </c>
      <c r="G131" s="16">
        <f>Levels!G132/Levels!G131-1-Levels!$Y131</f>
        <v>1.5292574578018581E-2</v>
      </c>
      <c r="H131" s="16">
        <f>Levels!H132/Levels!H131-1-Levels!$Y131</f>
        <v>1.4729581901114619E-2</v>
      </c>
      <c r="I131" s="16">
        <f>Levels!I132/Levels!I131-1-Levels!$Y131</f>
        <v>1.081553115234124E-2</v>
      </c>
      <c r="J131" s="16">
        <f>Levels!J132/Levels!J131-1-Levels!$Y131</f>
        <v>-2.309219910652871E-2</v>
      </c>
      <c r="K131" s="16">
        <f>Levels!K132/Levels!K131-1-Levels!$Y131</f>
        <v>-2.8519826991383668E-2</v>
      </c>
      <c r="L131" s="16">
        <f>Levels!L132/Levels!L131-1-Levels!$Y131</f>
        <v>8.3646998859405741E-3</v>
      </c>
      <c r="M131" s="16">
        <f>Levels!M132/Levels!M131-1-Levels!$Y131</f>
        <v>1.6200289076727437E-2</v>
      </c>
      <c r="N131" s="16">
        <f>Levels!N132/Levels!N131-1-Levels!$Y131</f>
        <v>1.4235194143596974E-2</v>
      </c>
      <c r="O131" s="16">
        <f>Levels!O132/Levels!O131-1-Levels!$Y131</f>
        <v>5.9671380705330623E-3</v>
      </c>
      <c r="P131" s="16">
        <f>Levels!P132/Levels!P131-1-Levels!$Y131</f>
        <v>-2.1425459845803019E-4</v>
      </c>
      <c r="Q131" s="16">
        <f>Levels!Q132/Levels!Q131-1-Levels!$Y131</f>
        <v>-1.1970462827048944E-3</v>
      </c>
      <c r="R131" s="16" t="e">
        <f>Levels!R132/Levels!R131-1-Levels!$Y131</f>
        <v>#N/A</v>
      </c>
      <c r="S131" s="16">
        <f>Levels!S132/Levels!S131-1-Levels!$Y131</f>
        <v>1.6430391249847132E-2</v>
      </c>
      <c r="T131" s="16">
        <f>Levels!T132/Levels!T131-1-Levels!$Y131</f>
        <v>1.3380350741664104E-2</v>
      </c>
      <c r="U131" s="16">
        <f>(Levels!U132/Levels!U131-1-Levels!$Y131)*$Y$2</f>
        <v>0.1319208007457309</v>
      </c>
      <c r="V131" s="16">
        <f>(Levels!V132/Levels!V131-1-Levels!$Y131)</f>
        <v>0.10126751380503363</v>
      </c>
    </row>
    <row r="132" spans="1:22" x14ac:dyDescent="0.35">
      <c r="A132" s="23">
        <v>43496</v>
      </c>
      <c r="B132" s="16">
        <f>Levels!B133/Levels!B132-1-Levels!$Y132</f>
        <v>2.3472435190141638E-3</v>
      </c>
      <c r="C132" s="16">
        <f>Levels!C133/Levels!C132-1-Levels!$Y132</f>
        <v>4.7655237153505503E-3</v>
      </c>
      <c r="D132" s="16">
        <f>Levels!D133/Levels!D132-1-Levels!$Y132</f>
        <v>5.6123911348620048E-3</v>
      </c>
      <c r="E132" s="16">
        <f>Levels!E133/Levels!E132-1-Levels!$Y132</f>
        <v>7.1106401094862548E-3</v>
      </c>
      <c r="F132" s="16">
        <f>Levels!F133/Levels!F132-1-Levels!$Y132</f>
        <v>4.2326424623650993E-3</v>
      </c>
      <c r="G132" s="16">
        <f>Levels!G133/Levels!G132-1-Levels!$Y132</f>
        <v>1.0891599818433351E-2</v>
      </c>
      <c r="H132" s="16">
        <f>Levels!H133/Levels!H132-1-Levels!$Y132</f>
        <v>1.9298826922945045E-2</v>
      </c>
      <c r="I132" s="16">
        <f>Levels!I133/Levels!I132-1-Levels!$Y132</f>
        <v>2.4057630907008631E-2</v>
      </c>
      <c r="J132" s="16">
        <f>Levels!J133/Levels!J132-1-Levels!$Y132</f>
        <v>4.2560860261192879E-2</v>
      </c>
      <c r="K132" s="16">
        <f>Levels!K133/Levels!K132-1-Levels!$Y132</f>
        <v>5.7702666072633191E-2</v>
      </c>
      <c r="L132" s="16">
        <f>Levels!L133/Levels!L132-1-Levels!$Y132</f>
        <v>1.2995346534275587E-2</v>
      </c>
      <c r="M132" s="16">
        <f>Levels!M133/Levels!M132-1-Levels!$Y132</f>
        <v>5.9841718250002174E-3</v>
      </c>
      <c r="N132" s="16">
        <f>Levels!N133/Levels!N132-1-Levels!$Y132</f>
        <v>8.5325694657565343E-3</v>
      </c>
      <c r="O132" s="16">
        <f>Levels!O133/Levels!O132-1-Levels!$Y132</f>
        <v>2.7450273756797205E-3</v>
      </c>
      <c r="P132" s="16">
        <f>Levels!P133/Levels!P132-1-Levels!$Y132</f>
        <v>2.2408501876030051E-3</v>
      </c>
      <c r="Q132" s="16">
        <f>Levels!Q133/Levels!Q132-1-Levels!$Y132</f>
        <v>1.4103186428064962E-3</v>
      </c>
      <c r="R132" s="16" t="e">
        <f>Levels!R133/Levels!R132-1-Levels!$Y132</f>
        <v>#N/A</v>
      </c>
      <c r="S132" s="16">
        <f>Levels!S133/Levels!S132-1-Levels!$Y132</f>
        <v>6.0966441875782706E-3</v>
      </c>
      <c r="T132" s="16">
        <f>Levels!T133/Levels!T132-1-Levels!$Y132</f>
        <v>8.5260453088151777E-3</v>
      </c>
      <c r="U132" s="16">
        <f>(Levels!U133/Levels!U132-1-Levels!$Y132)*$Y$2</f>
        <v>5.8591728756588954E-2</v>
      </c>
      <c r="V132" s="16">
        <f>(Levels!V133/Levels!V132-1-Levels!$Y132)</f>
        <v>2.6493889069780785E-3</v>
      </c>
    </row>
    <row r="133" spans="1:22" x14ac:dyDescent="0.35">
      <c r="A133" s="23">
        <v>43524</v>
      </c>
      <c r="B133" s="16">
        <f>Levels!B134/Levels!B133-1-Levels!$Y133</f>
        <v>-2.7243488982718889E-3</v>
      </c>
      <c r="C133" s="16">
        <f>Levels!C134/Levels!C133-1-Levels!$Y133</f>
        <v>-1.4191700514074146E-2</v>
      </c>
      <c r="D133" s="16">
        <f>Levels!D134/Levels!D133-1-Levels!$Y133</f>
        <v>3.3840460597414079E-3</v>
      </c>
      <c r="E133" s="16">
        <f>Levels!E134/Levels!E133-1-Levels!$Y133</f>
        <v>-8.2124876867495367E-4</v>
      </c>
      <c r="F133" s="16">
        <f>Levels!F134/Levels!F133-1-Levels!$Y133</f>
        <v>-3.6965107168192013E-3</v>
      </c>
      <c r="G133" s="16">
        <f>Levels!G134/Levels!G133-1-Levels!$Y133</f>
        <v>-1.3536694456088849E-3</v>
      </c>
      <c r="H133" s="16">
        <f>Levels!H134/Levels!H133-1-Levels!$Y133</f>
        <v>-6.4822334488479072E-4</v>
      </c>
      <c r="I133" s="16">
        <f>Levels!I134/Levels!I133-1-Levels!$Y133</f>
        <v>1.8443653982189723E-3</v>
      </c>
      <c r="J133" s="16">
        <f>Levels!J134/Levels!J133-1-Levels!$Y133</f>
        <v>1.4218228982880055E-2</v>
      </c>
      <c r="K133" s="16">
        <f>Levels!K134/Levels!K133-1-Levels!$Y133</f>
        <v>2.3413646820685141E-2</v>
      </c>
      <c r="L133" s="16">
        <f>Levels!L134/Levels!L133-1-Levels!$Y133</f>
        <v>3.1776898254907149E-3</v>
      </c>
      <c r="M133" s="16">
        <f>Levels!M134/Levels!M133-1-Levels!$Y133</f>
        <v>-2.8805973561573106E-3</v>
      </c>
      <c r="N133" s="16">
        <f>Levels!N134/Levels!N133-1-Levels!$Y133</f>
        <v>2.1224977524587629E-3</v>
      </c>
      <c r="O133" s="16">
        <f>Levels!O134/Levels!O133-1-Levels!$Y133</f>
        <v>8.7221519681790483E-4</v>
      </c>
      <c r="P133" s="16">
        <f>Levels!P134/Levels!P133-1-Levels!$Y133</f>
        <v>1.4836512364293508E-3</v>
      </c>
      <c r="Q133" s="16">
        <f>Levels!Q134/Levels!Q133-1-Levels!$Y133</f>
        <v>1.308456570263905E-3</v>
      </c>
      <c r="R133" s="16">
        <f>Levels!R134/Levels!R133-1-Levels!$Y133</f>
        <v>1.3586110511725202E-2</v>
      </c>
      <c r="S133" s="16">
        <f>Levels!S134/Levels!S133-1-Levels!$Y133</f>
        <v>-2.5688964426779926E-3</v>
      </c>
      <c r="T133" s="16">
        <f>Levels!T134/Levels!T133-1-Levels!$Y133</f>
        <v>2.3951854670960504E-3</v>
      </c>
      <c r="U133" s="16">
        <f>(Levels!U134/Levels!U133-1-Levels!$Y133)*$Y$2</f>
        <v>-2.9638497634233207E-2</v>
      </c>
      <c r="V133" s="16">
        <f>(Levels!V134/Levels!V133-1-Levels!$Y133)</f>
        <v>4.3435243204419827E-2</v>
      </c>
    </row>
    <row r="134" spans="1:22" x14ac:dyDescent="0.35">
      <c r="A134" s="23">
        <v>43555</v>
      </c>
      <c r="B134" s="16">
        <f>Levels!B135/Levels!B134-1-Levels!$Y134</f>
        <v>1.0296723492680737E-2</v>
      </c>
      <c r="C134" s="16">
        <f>Levels!C135/Levels!C134-1-Levels!$Y134</f>
        <v>5.054546309355068E-2</v>
      </c>
      <c r="D134" s="16">
        <f>Levels!D135/Levels!D134-1-Levels!$Y134</f>
        <v>1.379996169488007E-2</v>
      </c>
      <c r="E134" s="16">
        <f>Levels!E135/Levels!E134-1-Levels!$Y134</f>
        <v>1.6720867159603303E-2</v>
      </c>
      <c r="F134" s="16">
        <f>Levels!F135/Levels!F134-1-Levels!$Y134</f>
        <v>1.5030363375183819E-2</v>
      </c>
      <c r="G134" s="16">
        <f>Levels!G135/Levels!G134-1-Levels!$Y134</f>
        <v>1.8004148009186371E-2</v>
      </c>
      <c r="H134" s="16">
        <f>Levels!H135/Levels!H134-1-Levels!$Y134</f>
        <v>2.1246516387457781E-2</v>
      </c>
      <c r="I134" s="16">
        <f>Levels!I135/Levels!I134-1-Levels!$Y134</f>
        <v>2.5454513764792575E-2</v>
      </c>
      <c r="J134" s="16">
        <f>Levels!J135/Levels!J134-1-Levels!$Y134</f>
        <v>7.2325440716269895E-3</v>
      </c>
      <c r="K134" s="16">
        <f>Levels!K135/Levels!K134-1-Levels!$Y134</f>
        <v>1.0997963740228656E-2</v>
      </c>
      <c r="L134" s="16">
        <f>Levels!L135/Levels!L134-1-Levels!$Y134</f>
        <v>1.6021604829859593E-2</v>
      </c>
      <c r="M134" s="16">
        <f>Levels!M135/Levels!M134-1-Levels!$Y134</f>
        <v>1.2548709617633547E-2</v>
      </c>
      <c r="N134" s="16">
        <f>Levels!N135/Levels!N134-1-Levels!$Y134</f>
        <v>1.550527172406535E-2</v>
      </c>
      <c r="O134" s="16">
        <f>Levels!O135/Levels!O134-1-Levels!$Y134</f>
        <v>5.1938454269901957E-3</v>
      </c>
      <c r="P134" s="16">
        <f>Levels!P135/Levels!P134-1-Levels!$Y134</f>
        <v>6.2916134089421316E-3</v>
      </c>
      <c r="Q134" s="16">
        <f>Levels!Q135/Levels!Q134-1-Levels!$Y134</f>
        <v>6.127067454090307E-3</v>
      </c>
      <c r="R134" s="16">
        <f>Levels!R135/Levels!R134-1-Levels!$Y134</f>
        <v>-4.0250564770594188E-3</v>
      </c>
      <c r="S134" s="16">
        <f>Levels!S135/Levels!S134-1-Levels!$Y134</f>
        <v>1.3271268385799173E-2</v>
      </c>
      <c r="T134" s="16">
        <f>Levels!T135/Levels!T134-1-Levels!$Y134</f>
        <v>1.5112960603042014E-2</v>
      </c>
      <c r="U134" s="16">
        <f>(Levels!U135/Levels!U134-1-Levels!$Y134)*$Y$2</f>
        <v>3.7704047903484646E-2</v>
      </c>
      <c r="V134" s="16">
        <f>(Levels!V135/Levels!V134-1-Levels!$Y134)</f>
        <v>-1.5158140946161414E-2</v>
      </c>
    </row>
    <row r="135" spans="1:22" x14ac:dyDescent="0.35">
      <c r="A135" s="23">
        <v>43585</v>
      </c>
      <c r="B135" s="16">
        <f>Levels!B136/Levels!B135-1-Levels!$Y135</f>
        <v>-1.5440731823310738E-3</v>
      </c>
      <c r="C135" s="16">
        <f>Levels!C136/Levels!C135-1-Levels!$Y135</f>
        <v>-1.9872147483259606E-2</v>
      </c>
      <c r="D135" s="16">
        <f>Levels!D136/Levels!D135-1-Levels!$Y135</f>
        <v>1.7891377971952505E-3</v>
      </c>
      <c r="E135" s="16">
        <f>Levels!E136/Levels!E135-1-Levels!$Y135</f>
        <v>-3.303465676522066E-3</v>
      </c>
      <c r="F135" s="16">
        <f>Levels!F136/Levels!F135-1-Levels!$Y135</f>
        <v>-3.6139608677435708E-3</v>
      </c>
      <c r="G135" s="16">
        <f>Levels!G136/Levels!G135-1-Levels!$Y135</f>
        <v>-1.6552608590891804E-3</v>
      </c>
      <c r="H135" s="16">
        <f>Levels!H136/Levels!H135-1-Levels!$Y135</f>
        <v>4.9787399980072422E-4</v>
      </c>
      <c r="I135" s="16">
        <f>Levels!I136/Levels!I135-1-Levels!$Y135</f>
        <v>6.6477124430941448E-3</v>
      </c>
      <c r="J135" s="16">
        <f>Levels!J136/Levels!J135-1-Levels!$Y135</f>
        <v>1.1649811888626127E-2</v>
      </c>
      <c r="K135" s="16">
        <f>Levels!K136/Levels!K135-1-Levels!$Y135</f>
        <v>2.4869245856516287E-2</v>
      </c>
      <c r="L135" s="16">
        <f>Levels!L136/Levels!L135-1-Levels!$Y135</f>
        <v>3.7354714339801198E-3</v>
      </c>
      <c r="M135" s="16">
        <f>Levels!M136/Levels!M135-1-Levels!$Y135</f>
        <v>-2.5603891148683333E-3</v>
      </c>
      <c r="N135" s="16">
        <f>Levels!N136/Levels!N135-1-Levels!$Y135</f>
        <v>1.6934909839250167E-4</v>
      </c>
      <c r="O135" s="16">
        <f>Levels!O136/Levels!O135-1-Levels!$Y135</f>
        <v>6.7241876561485725E-4</v>
      </c>
      <c r="P135" s="16">
        <f>Levels!P136/Levels!P135-1-Levels!$Y135</f>
        <v>8.8579989290169525E-3</v>
      </c>
      <c r="Q135" s="16">
        <f>Levels!Q136/Levels!Q135-1-Levels!$Y135</f>
        <v>1.0506798638825199E-2</v>
      </c>
      <c r="R135" s="16">
        <f>Levels!R136/Levels!R135-1-Levels!$Y135</f>
        <v>1.4325708829401984E-2</v>
      </c>
      <c r="S135" s="16">
        <f>Levels!S136/Levels!S135-1-Levels!$Y135</f>
        <v>-2.0681897721158693E-3</v>
      </c>
      <c r="T135" s="16">
        <f>Levels!T136/Levels!T135-1-Levels!$Y135</f>
        <v>4.635196237747774E-4</v>
      </c>
      <c r="U135" s="16">
        <f>(Levels!U136/Levels!U135-1-Levels!$Y135)*$Y$2</f>
        <v>-9.7174101079218506E-2</v>
      </c>
      <c r="V135" s="16">
        <f>(Levels!V136/Levels!V135-1-Levels!$Y135)</f>
        <v>-2.2934041961889529E-3</v>
      </c>
    </row>
    <row r="136" spans="1:22" x14ac:dyDescent="0.35">
      <c r="A136" s="23">
        <v>43616</v>
      </c>
      <c r="B136" s="16">
        <f>Levels!B137/Levels!B136-1-Levels!$Y136</f>
        <v>1.2775544761465474E-2</v>
      </c>
      <c r="C136" s="16">
        <f>Levels!C137/Levels!C136-1-Levels!$Y136</f>
        <v>6.3440033050677469E-2</v>
      </c>
      <c r="D136" s="16">
        <f>Levels!D137/Levels!D136-1-Levels!$Y136</f>
        <v>1.1793324949064488E-2</v>
      </c>
      <c r="E136" s="16">
        <f>Levels!E137/Levels!E136-1-Levels!$Y136</f>
        <v>1.2496799924180957E-2</v>
      </c>
      <c r="F136" s="16">
        <f>Levels!F137/Levels!F136-1-Levels!$Y136</f>
        <v>1.69649998209358E-2</v>
      </c>
      <c r="G136" s="16">
        <f>Levels!G137/Levels!G136-1-Levels!$Y136</f>
        <v>1.6001726653269266E-2</v>
      </c>
      <c r="H136" s="16">
        <f>Levels!H137/Levels!H136-1-Levels!$Y136</f>
        <v>1.5031919972229524E-2</v>
      </c>
      <c r="I136" s="16">
        <f>Levels!I137/Levels!I136-1-Levels!$Y136</f>
        <v>9.9149043726352026E-3</v>
      </c>
      <c r="J136" s="16">
        <f>Levels!J137/Levels!J136-1-Levels!$Y136</f>
        <v>-1.3653424140264603E-2</v>
      </c>
      <c r="K136" s="16">
        <f>Levels!K137/Levels!K136-1-Levels!$Y136</f>
        <v>-1.8423748790112549E-2</v>
      </c>
      <c r="L136" s="16">
        <f>Levels!L137/Levels!L136-1-Levels!$Y136</f>
        <v>7.0416677847271458E-3</v>
      </c>
      <c r="M136" s="16">
        <f>Levels!M137/Levels!M136-1-Levels!$Y136</f>
        <v>1.0933470552827673E-2</v>
      </c>
      <c r="N136" s="16">
        <f>Levels!N137/Levels!N136-1-Levels!$Y136</f>
        <v>1.8399946156103963E-2</v>
      </c>
      <c r="O136" s="16">
        <f>Levels!O137/Levels!O136-1-Levels!$Y136</f>
        <v>7.7443694353740433E-3</v>
      </c>
      <c r="P136" s="16">
        <f>Levels!P137/Levels!P136-1-Levels!$Y136</f>
        <v>1.1596408496727939E-2</v>
      </c>
      <c r="Q136" s="16">
        <f>Levels!Q137/Levels!Q136-1-Levels!$Y136</f>
        <v>1.3020858223477649E-2</v>
      </c>
      <c r="R136" s="16">
        <f>Levels!R137/Levels!R136-1-Levels!$Y136</f>
        <v>-2.7673673609749372E-3</v>
      </c>
      <c r="S136" s="16">
        <f>Levels!S137/Levels!S136-1-Levels!$Y136</f>
        <v>7.7861378013364124E-3</v>
      </c>
      <c r="T136" s="16">
        <f>Levels!T137/Levels!T136-1-Levels!$Y136</f>
        <v>1.8156803412505917E-2</v>
      </c>
      <c r="U136" s="16">
        <f>(Levels!U137/Levels!U136-1-Levels!$Y136)*$Y$2</f>
        <v>8.0376611539982962E-2</v>
      </c>
      <c r="V136" s="16">
        <f>(Levels!V137/Levels!V136-1-Levels!$Y136)</f>
        <v>-1.2139273858708388E-2</v>
      </c>
    </row>
    <row r="137" spans="1:22" x14ac:dyDescent="0.35">
      <c r="A137" s="23">
        <v>43646</v>
      </c>
      <c r="B137" s="16">
        <f>Levels!B138/Levels!B137-1-Levels!$Y137</f>
        <v>6.390498893201535E-3</v>
      </c>
      <c r="C137" s="16">
        <f>Levels!C138/Levels!C137-1-Levels!$Y137</f>
        <v>1.1421065702583277E-2</v>
      </c>
      <c r="D137" s="16">
        <f>Levels!D138/Levels!D137-1-Levels!$Y137</f>
        <v>1.7616730017115945E-3</v>
      </c>
      <c r="E137" s="16">
        <f>Levels!E138/Levels!E137-1-Levels!$Y137</f>
        <v>1.3693369113573883E-2</v>
      </c>
      <c r="F137" s="16">
        <f>Levels!F138/Levels!F137-1-Levels!$Y137</f>
        <v>6.5632889319742205E-3</v>
      </c>
      <c r="G137" s="16">
        <f>Levels!G138/Levels!G137-1-Levels!$Y137</f>
        <v>1.223401996099982E-2</v>
      </c>
      <c r="H137" s="16">
        <f>Levels!H138/Levels!H137-1-Levels!$Y137</f>
        <v>1.967103494162159E-2</v>
      </c>
      <c r="I137" s="16">
        <f>Levels!I138/Levels!I137-1-Levels!$Y137</f>
        <v>2.4854688928059865E-2</v>
      </c>
      <c r="J137" s="16">
        <f>Levels!J138/Levels!J137-1-Levels!$Y137</f>
        <v>2.0252487915079609E-2</v>
      </c>
      <c r="K137" s="16">
        <f>Levels!K138/Levels!K137-1-Levels!$Y137</f>
        <v>3.3582862641040379E-2</v>
      </c>
      <c r="L137" s="16">
        <f>Levels!L138/Levels!L137-1-Levels!$Y137</f>
        <v>1.5271259645374125E-2</v>
      </c>
      <c r="M137" s="16">
        <f>Levels!M138/Levels!M137-1-Levels!$Y137</f>
        <v>5.2634176821240164E-3</v>
      </c>
      <c r="N137" s="16">
        <f>Levels!N138/Levels!N137-1-Levels!$Y137</f>
        <v>8.02847268364415E-3</v>
      </c>
      <c r="O137" s="16">
        <f>Levels!O138/Levels!O137-1-Levels!$Y137</f>
        <v>2.2950857692138893E-3</v>
      </c>
      <c r="P137" s="16">
        <f>Levels!P138/Levels!P137-1-Levels!$Y137</f>
        <v>1.2548619559013208E-2</v>
      </c>
      <c r="Q137" s="16">
        <f>Levels!Q138/Levels!Q137-1-Levels!$Y137</f>
        <v>1.5470505049111738E-2</v>
      </c>
      <c r="R137" s="16">
        <f>Levels!R138/Levels!R137-1-Levels!$Y137</f>
        <v>-1.4989093568262835E-3</v>
      </c>
      <c r="S137" s="16">
        <f>Levels!S138/Levels!S137-1-Levels!$Y137</f>
        <v>3.3708504988023691E-3</v>
      </c>
      <c r="T137" s="16">
        <f>Levels!T138/Levels!T137-1-Levels!$Y137</f>
        <v>7.8537149855291144E-3</v>
      </c>
      <c r="U137" s="16">
        <f>(Levels!U138/Levels!U137-1-Levels!$Y137)*$Y$2</f>
        <v>3.8337873995742729E-3</v>
      </c>
      <c r="V137" s="16">
        <f>(Levels!V138/Levels!V137-1-Levels!$Y137)</f>
        <v>2.2741392225255952E-2</v>
      </c>
    </row>
    <row r="138" spans="1:22" x14ac:dyDescent="0.35">
      <c r="A138" s="23">
        <v>43677</v>
      </c>
      <c r="B138" s="16">
        <f>Levels!B139/Levels!B138-1-Levels!$Y138</f>
        <v>-3.5177386429003921E-3</v>
      </c>
      <c r="C138" s="16">
        <f>Levels!C139/Levels!C138-1-Levels!$Y138</f>
        <v>-1.2733230271422258E-4</v>
      </c>
      <c r="D138" s="16">
        <f>Levels!D139/Levels!D138-1-Levels!$Y138</f>
        <v>6.3315483799852856E-3</v>
      </c>
      <c r="E138" s="16">
        <f>Levels!E139/Levels!E138-1-Levels!$Y138</f>
        <v>1.3181431970072044E-2</v>
      </c>
      <c r="F138" s="16">
        <f>Levels!F139/Levels!F138-1-Levels!$Y138</f>
        <v>-8.0386786746733385E-4</v>
      </c>
      <c r="G138" s="16">
        <f>Levels!G139/Levels!G138-1-Levels!$Y138</f>
        <v>1.3605695761744752E-3</v>
      </c>
      <c r="H138" s="16">
        <f>Levels!H139/Levels!H138-1-Levels!$Y138</f>
        <v>2.9664660857897651E-3</v>
      </c>
      <c r="I138" s="16">
        <f>Levels!I139/Levels!I138-1-Levels!$Y138</f>
        <v>5.0214804959691772E-3</v>
      </c>
      <c r="J138" s="16">
        <f>Levels!J139/Levels!J138-1-Levels!$Y138</f>
        <v>3.4193110243396774E-3</v>
      </c>
      <c r="K138" s="16">
        <f>Levels!K139/Levels!K138-1-Levels!$Y138</f>
        <v>1.4213329759923177E-2</v>
      </c>
      <c r="L138" s="16">
        <f>Levels!L139/Levels!L138-1-Levels!$Y138</f>
        <v>8.440441191264858E-3</v>
      </c>
      <c r="M138" s="16">
        <f>Levels!M139/Levels!M138-1-Levels!$Y138</f>
        <v>2.3117067039499783E-3</v>
      </c>
      <c r="N138" s="16">
        <f>Levels!N139/Levels!N138-1-Levels!$Y138</f>
        <v>3.4321436896567192E-4</v>
      </c>
      <c r="O138" s="16">
        <f>Levels!O139/Levels!O138-1-Levels!$Y138</f>
        <v>-1.8971181992504249E-3</v>
      </c>
      <c r="P138" s="16">
        <f>Levels!P139/Levels!P138-1-Levels!$Y138</f>
        <v>9.983408982541464E-3</v>
      </c>
      <c r="Q138" s="16">
        <f>Levels!Q139/Levels!Q138-1-Levels!$Y138</f>
        <v>1.2469116999286323E-2</v>
      </c>
      <c r="R138" s="16">
        <f>Levels!R139/Levels!R138-1-Levels!$Y138</f>
        <v>6.0081519270978045E-3</v>
      </c>
      <c r="S138" s="16">
        <f>Levels!S139/Levels!S138-1-Levels!$Y138</f>
        <v>2.1430635455594871E-3</v>
      </c>
      <c r="T138" s="16">
        <f>Levels!T139/Levels!T138-1-Levels!$Y138</f>
        <v>2.4311890357520127E-4</v>
      </c>
      <c r="U138" s="16">
        <f>(Levels!U139/Levels!U138-1-Levels!$Y138)*$Y$2</f>
        <v>-6.2858147735605344E-2</v>
      </c>
      <c r="V138" s="16">
        <f>(Levels!V139/Levels!V138-1-Levels!$Y138)</f>
        <v>2.6115668991526952E-2</v>
      </c>
    </row>
    <row r="139" spans="1:22" x14ac:dyDescent="0.35">
      <c r="A139" s="23">
        <v>43708</v>
      </c>
      <c r="B139" s="16">
        <f>Levels!B140/Levels!B139-1-Levels!$Y139</f>
        <v>1.6459402797952327E-2</v>
      </c>
      <c r="C139" s="16">
        <f>Levels!C140/Levels!C139-1-Levels!$Y139</f>
        <v>0.10329166335325723</v>
      </c>
      <c r="D139" s="16">
        <f>Levels!D140/Levels!D139-1-Levels!$Y139</f>
        <v>1.4068933796202554E-2</v>
      </c>
      <c r="E139" s="16">
        <f>Levels!E140/Levels!E139-1-Levels!$Y139</f>
        <v>2.1541856606209109E-2</v>
      </c>
      <c r="F139" s="16">
        <f>Levels!F140/Levels!F139-1-Levels!$Y139</f>
        <v>2.1992953610483923E-2</v>
      </c>
      <c r="G139" s="16">
        <f>Levels!G140/Levels!G139-1-Levels!$Y139</f>
        <v>2.8312734657585326E-2</v>
      </c>
      <c r="H139" s="16">
        <f>Levels!H140/Levels!H139-1-Levels!$Y139</f>
        <v>3.1346657662941757E-2</v>
      </c>
      <c r="I139" s="16">
        <f>Levels!I140/Levels!I139-1-Levels!$Y139</f>
        <v>2.9158435600106447E-2</v>
      </c>
      <c r="J139" s="16">
        <f>Levels!J140/Levels!J139-1-Levels!$Y139</f>
        <v>1.9769945294236813E-3</v>
      </c>
      <c r="K139" s="16">
        <f>Levels!K140/Levels!K139-1-Levels!$Y139</f>
        <v>8.8204305817436435E-3</v>
      </c>
      <c r="L139" s="16">
        <f>Levels!L140/Levels!L139-1-Levels!$Y139</f>
        <v>1.7109334607043225E-2</v>
      </c>
      <c r="M139" s="16">
        <f>Levels!M140/Levels!M139-1-Levels!$Y139</f>
        <v>7.2279127920684694E-3</v>
      </c>
      <c r="N139" s="16">
        <f>Levels!N140/Levels!N139-1-Levels!$Y139</f>
        <v>2.2077429907507495E-2</v>
      </c>
      <c r="O139" s="16">
        <f>Levels!O140/Levels!O139-1-Levels!$Y139</f>
        <v>9.1709481609043575E-3</v>
      </c>
      <c r="P139" s="16">
        <f>Levels!P140/Levels!P139-1-Levels!$Y139</f>
        <v>1.534056972667841E-2</v>
      </c>
      <c r="Q139" s="16">
        <f>Levels!Q140/Levels!Q139-1-Levels!$Y139</f>
        <v>1.7020711019683388E-2</v>
      </c>
      <c r="R139" s="16">
        <f>Levels!R140/Levels!R139-1-Levels!$Y139</f>
        <v>-4.1784713178241173E-3</v>
      </c>
      <c r="S139" s="16">
        <f>Levels!S140/Levels!S139-1-Levels!$Y139</f>
        <v>4.707936495044418E-3</v>
      </c>
      <c r="T139" s="16">
        <f>Levels!T140/Levels!T139-1-Levels!$Y139</f>
        <v>2.1546173047574779E-2</v>
      </c>
      <c r="U139" s="16">
        <f>(Levels!U140/Levels!U139-1-Levels!$Y139)*$Y$2</f>
        <v>2.0857075917861411E-2</v>
      </c>
      <c r="V139" s="16">
        <f>(Levels!V140/Levels!V139-1-Levels!$Y139)</f>
        <v>2.912823098706574E-2</v>
      </c>
    </row>
    <row r="140" spans="1:22" x14ac:dyDescent="0.35">
      <c r="A140" s="23">
        <v>43738</v>
      </c>
      <c r="B140" s="16">
        <f>Levels!B141/Levels!B140-1-Levels!$Y140</f>
        <v>-6.1040043506964681E-3</v>
      </c>
      <c r="C140" s="16">
        <f>Levels!C141/Levels!C140-1-Levels!$Y140</f>
        <v>-2.6581392796767411E-2</v>
      </c>
      <c r="D140" s="16">
        <f>Levels!D141/Levels!D140-1-Levels!$Y140</f>
        <v>-9.6535217244270166E-3</v>
      </c>
      <c r="E140" s="16">
        <f>Levels!E141/Levels!E140-1-Levels!$Y140</f>
        <v>-4.5958678187674185E-3</v>
      </c>
      <c r="F140" s="16">
        <f>Levels!F141/Levels!F140-1-Levels!$Y140</f>
        <v>-6.4902352338115366E-3</v>
      </c>
      <c r="G140" s="16">
        <f>Levels!G141/Levels!G140-1-Levels!$Y140</f>
        <v>-8.4081951087404683E-3</v>
      </c>
      <c r="H140" s="16">
        <f>Levels!H141/Levels!H140-1-Levels!$Y140</f>
        <v>-9.9921146939560002E-3</v>
      </c>
      <c r="I140" s="16">
        <f>Levels!I141/Levels!I140-1-Levels!$Y140</f>
        <v>-6.6859602308931843E-3</v>
      </c>
      <c r="J140" s="16">
        <f>Levels!J141/Levels!J140-1-Levels!$Y140</f>
        <v>2.1669566293602838E-3</v>
      </c>
      <c r="K140" s="16">
        <f>Levels!K141/Levels!K140-1-Levels!$Y140</f>
        <v>-1.3508339315178031E-3</v>
      </c>
      <c r="L140" s="16">
        <f>Levels!L141/Levels!L140-1-Levels!$Y140</f>
        <v>-5.491238773188023E-3</v>
      </c>
      <c r="M140" s="16">
        <f>Levels!M141/Levels!M140-1-Levels!$Y140</f>
        <v>-9.347884058128475E-4</v>
      </c>
      <c r="N140" s="16">
        <f>Levels!N141/Levels!N140-1-Levels!$Y140</f>
        <v>-8.3983220482349852E-3</v>
      </c>
      <c r="O140" s="16">
        <f>Levels!O141/Levels!O140-1-Levels!$Y140</f>
        <v>-3.0907912284027228E-3</v>
      </c>
      <c r="P140" s="16">
        <f>Levels!P141/Levels!P140-1-Levels!$Y140</f>
        <v>9.9924492423606459E-3</v>
      </c>
      <c r="Q140" s="16">
        <f>Levels!Q141/Levels!Q140-1-Levels!$Y140</f>
        <v>1.1563621373129385E-2</v>
      </c>
      <c r="R140" s="16">
        <f>Levels!R141/Levels!R140-1-Levels!$Y140</f>
        <v>3.3815206612251014E-3</v>
      </c>
      <c r="S140" s="16">
        <f>Levels!S141/Levels!S140-1-Levels!$Y140</f>
        <v>7.2059040732530555E-4</v>
      </c>
      <c r="T140" s="16">
        <f>Levels!T141/Levels!T140-1-Levels!$Y140</f>
        <v>-7.8873504202897626E-3</v>
      </c>
      <c r="U140" s="16">
        <f>(Levels!U141/Levels!U140-1-Levels!$Y140)*$Y$2</f>
        <v>2.8819177275528407E-2</v>
      </c>
      <c r="V140" s="16">
        <f>(Levels!V141/Levels!V140-1-Levels!$Y140)</f>
        <v>-1.0922589412882822E-3</v>
      </c>
    </row>
    <row r="141" spans="1:22" x14ac:dyDescent="0.35">
      <c r="A141" s="23">
        <v>43769</v>
      </c>
      <c r="B141" s="16">
        <f>Levels!B142/Levels!B141-1-Levels!$Y141</f>
        <v>1.3886471644868337E-3</v>
      </c>
      <c r="C141" s="16">
        <f>Levels!C142/Levels!C141-1-Levels!$Y141</f>
        <v>-1.0092091562428074E-2</v>
      </c>
      <c r="D141" s="16">
        <f>Levels!D142/Levels!D141-1-Levels!$Y141</f>
        <v>2.9113372328604115E-4</v>
      </c>
      <c r="E141" s="16">
        <f>Levels!E142/Levels!E141-1-Levels!$Y141</f>
        <v>-8.8371696145140843E-3</v>
      </c>
      <c r="F141" s="16">
        <f>Levels!F142/Levels!F141-1-Levels!$Y141</f>
        <v>3.9098869811926562E-4</v>
      </c>
      <c r="G141" s="16">
        <f>Levels!G142/Levels!G141-1-Levels!$Y141</f>
        <v>1.143716363857683E-3</v>
      </c>
      <c r="H141" s="16">
        <f>Levels!H142/Levels!H141-1-Levels!$Y141</f>
        <v>3.8200643570871495E-3</v>
      </c>
      <c r="I141" s="16">
        <f>Levels!I142/Levels!I141-1-Levels!$Y141</f>
        <v>5.7223879095644747E-3</v>
      </c>
      <c r="J141" s="16">
        <f>Levels!J142/Levels!J141-1-Levels!$Y141</f>
        <v>9.5692122635493426E-4</v>
      </c>
      <c r="K141" s="16">
        <f>Levels!K142/Levels!K141-1-Levels!$Y141</f>
        <v>6.919040567956225E-3</v>
      </c>
      <c r="L141" s="16">
        <f>Levels!L142/Levels!L141-1-Levels!$Y141</f>
        <v>-3.4442786518384949E-4</v>
      </c>
      <c r="M141" s="16">
        <f>Levels!M142/Levels!M141-1-Levels!$Y141</f>
        <v>2.0290598789485248E-3</v>
      </c>
      <c r="N141" s="16">
        <f>Levels!N142/Levels!N141-1-Levels!$Y141</f>
        <v>1.8218062397807877E-3</v>
      </c>
      <c r="O141" s="16">
        <f>Levels!O142/Levels!O141-1-Levels!$Y141</f>
        <v>1.1857106368149406E-3</v>
      </c>
      <c r="P141" s="16">
        <f>Levels!P142/Levels!P141-1-Levels!$Y141</f>
        <v>1.0512345972173875E-2</v>
      </c>
      <c r="Q141" s="16">
        <f>Levels!Q142/Levels!Q141-1-Levels!$Y141</f>
        <v>1.140134884830446E-2</v>
      </c>
      <c r="R141" s="16">
        <f>Levels!R142/Levels!R141-1-Levels!$Y141</f>
        <v>-5.2866426546225309E-3</v>
      </c>
      <c r="S141" s="16">
        <f>Levels!S142/Levels!S141-1-Levels!$Y141</f>
        <v>1.1270658974358305E-3</v>
      </c>
      <c r="T141" s="16">
        <f>Levels!T142/Levels!T141-1-Levels!$Y141</f>
        <v>1.792143645290345E-3</v>
      </c>
      <c r="U141" s="16">
        <f>(Levels!U142/Levels!U141-1-Levels!$Y141)*$Y$2</f>
        <v>4.5854867082968993E-2</v>
      </c>
      <c r="V141" s="16">
        <f>(Levels!V142/Levels!V141-1-Levels!$Y141)</f>
        <v>-4.3049055077197806E-3</v>
      </c>
    </row>
    <row r="142" spans="1:22" x14ac:dyDescent="0.35">
      <c r="A142" s="23">
        <v>43799</v>
      </c>
      <c r="B142" s="16">
        <f>Levels!B143/Levels!B142-1-Levels!$Y142</f>
        <v>-3.7723521956687378E-3</v>
      </c>
      <c r="C142" s="16">
        <f>Levels!C143/Levels!C142-1-Levels!$Y142</f>
        <v>-6.4347321196032148E-3</v>
      </c>
      <c r="D142" s="16">
        <f>Levels!D143/Levels!D142-1-Levels!$Y142</f>
        <v>1.2302041917837681E-3</v>
      </c>
      <c r="E142" s="16">
        <f>Levels!E143/Levels!E142-1-Levels!$Y142</f>
        <v>-2.2797203925024601E-3</v>
      </c>
      <c r="F142" s="16">
        <f>Levels!F143/Levels!F142-1-Levels!$Y142</f>
        <v>-2.7596161795073737E-3</v>
      </c>
      <c r="G142" s="16">
        <f>Levels!G143/Levels!G142-1-Levels!$Y142</f>
        <v>-2.475375103133004E-3</v>
      </c>
      <c r="H142" s="16">
        <f>Levels!H143/Levels!H142-1-Levels!$Y142</f>
        <v>1.1595068098357864E-4</v>
      </c>
      <c r="I142" s="16">
        <f>Levels!I143/Levels!I142-1-Levels!$Y142</f>
        <v>1.9831432242523039E-3</v>
      </c>
      <c r="J142" s="16">
        <f>Levels!J143/Levels!J142-1-Levels!$Y142</f>
        <v>1.8714347461672443E-3</v>
      </c>
      <c r="K142" s="16">
        <f>Levels!K143/Levels!K142-1-Levels!$Y142</f>
        <v>4.3535127765375048E-3</v>
      </c>
      <c r="L142" s="16">
        <f>Levels!L143/Levels!L142-1-Levels!$Y142</f>
        <v>-7.1425471037023236E-4</v>
      </c>
      <c r="M142" s="16">
        <f>Levels!M143/Levels!M142-1-Levels!$Y142</f>
        <v>-4.6265949523660588E-4</v>
      </c>
      <c r="N142" s="16">
        <f>Levels!N143/Levels!N142-1-Levels!$Y142</f>
        <v>-5.3535931694251859E-3</v>
      </c>
      <c r="O142" s="16">
        <f>Levels!O143/Levels!O142-1-Levels!$Y142</f>
        <v>-1.1307027176321593E-3</v>
      </c>
      <c r="P142" s="16">
        <f>Levels!P143/Levels!P142-1-Levels!$Y142</f>
        <v>8.1433924537215319E-3</v>
      </c>
      <c r="Q142" s="16">
        <f>Levels!Q143/Levels!Q142-1-Levels!$Y142</f>
        <v>1.0141574879782844E-2</v>
      </c>
      <c r="R142" s="16">
        <f>Levels!R143/Levels!R142-1-Levels!$Y142</f>
        <v>4.3323457327650861E-3</v>
      </c>
      <c r="S142" s="16">
        <f>Levels!S143/Levels!S142-1-Levels!$Y142</f>
        <v>2.6173435963450231E-5</v>
      </c>
      <c r="T142" s="16">
        <f>Levels!T143/Levels!T142-1-Levels!$Y142</f>
        <v>-5.1637161758778527E-3</v>
      </c>
      <c r="U142" s="16">
        <f>(Levels!U143/Levels!U142-1-Levels!$Y142)*$Y$2</f>
        <v>3.0955842364909711E-2</v>
      </c>
      <c r="V142" s="16">
        <f>(Levels!V143/Levels!V142-1-Levels!$Y142)</f>
        <v>-1.740870473889955E-2</v>
      </c>
    </row>
    <row r="143" spans="1:22" x14ac:dyDescent="0.35">
      <c r="A143" s="23">
        <v>43830</v>
      </c>
      <c r="B143" s="16">
        <f>Levels!B144/Levels!B143-1-Levels!$Y143</f>
        <v>-1.6325020805926238E-3</v>
      </c>
      <c r="C143" s="16">
        <f>Levels!C144/Levels!C143-1-Levels!$Y143</f>
        <v>-2.9213703329266871E-2</v>
      </c>
      <c r="D143" s="16">
        <f>Levels!D144/Levels!D143-1-Levels!$Y143</f>
        <v>1.7498351801994438E-3</v>
      </c>
      <c r="E143" s="16">
        <f>Levels!E144/Levels!E143-1-Levels!$Y143</f>
        <v>-6.183181762949741E-3</v>
      </c>
      <c r="F143" s="16">
        <f>Levels!F144/Levels!F143-1-Levels!$Y143</f>
        <v>-3.4872236319758443E-3</v>
      </c>
      <c r="G143" s="16">
        <f>Levels!G144/Levels!G143-1-Levels!$Y143</f>
        <v>-3.1471300284133807E-3</v>
      </c>
      <c r="H143" s="16">
        <f>Levels!H144/Levels!H143-1-Levels!$Y143</f>
        <v>-7.7876879367466678E-4</v>
      </c>
      <c r="I143" s="16">
        <f>Levels!I144/Levels!I143-1-Levels!$Y143</f>
        <v>5.0430979024145284E-3</v>
      </c>
      <c r="J143" s="16">
        <f>Levels!J144/Levels!J143-1-Levels!$Y143</f>
        <v>1.8099137433519319E-2</v>
      </c>
      <c r="K143" s="16">
        <f>Levels!K144/Levels!K143-1-Levels!$Y143</f>
        <v>2.8947625094462914E-2</v>
      </c>
      <c r="L143" s="16">
        <f>Levels!L144/Levels!L143-1-Levels!$Y143</f>
        <v>1.7418624270226779E-4</v>
      </c>
      <c r="M143" s="16">
        <f>Levels!M144/Levels!M143-1-Levels!$Y143</f>
        <v>1.4673856785081263E-3</v>
      </c>
      <c r="N143" s="16">
        <f>Levels!N144/Levels!N143-1-Levels!$Y143</f>
        <v>-3.7889953535324983E-3</v>
      </c>
      <c r="O143" s="16">
        <f>Levels!O144/Levels!O143-1-Levels!$Y143</f>
        <v>-2.4267426025526007E-4</v>
      </c>
      <c r="P143" s="16">
        <f>Levels!P144/Levels!P143-1-Levels!$Y143</f>
        <v>4.6688249494517553E-3</v>
      </c>
      <c r="Q143" s="16">
        <f>Levels!Q144/Levels!Q143-1-Levels!$Y143</f>
        <v>6.8203356116671721E-3</v>
      </c>
      <c r="R143" s="16">
        <f>Levels!R144/Levels!R143-1-Levels!$Y143</f>
        <v>1.3544530146990974E-2</v>
      </c>
      <c r="S143" s="16">
        <f>Levels!S144/Levels!S143-1-Levels!$Y143</f>
        <v>4.5763005979053695E-3</v>
      </c>
      <c r="T143" s="16">
        <f>Levels!T144/Levels!T143-1-Levels!$Y143</f>
        <v>-3.8077599029500142E-3</v>
      </c>
      <c r="U143" s="16">
        <f>(Levels!U144/Levels!U143-1-Levels!$Y143)*$Y$2</f>
        <v>-4.0696601824157859E-2</v>
      </c>
      <c r="V143" s="16">
        <f>(Levels!V144/Levels!V143-1-Levels!$Y143)</f>
        <v>1.8993543315270811E-2</v>
      </c>
    </row>
    <row r="144" spans="1:22" x14ac:dyDescent="0.35">
      <c r="A144" s="23">
        <v>43861</v>
      </c>
      <c r="B144" s="16">
        <f>Levels!B145/Levels!B144-1-Levels!$Y144</f>
        <v>1.2977596372097722E-2</v>
      </c>
      <c r="C144" s="16">
        <f>Levels!C145/Levels!C144-1-Levels!$Y144</f>
        <v>6.716925002643781E-2</v>
      </c>
      <c r="D144" s="16">
        <f>Levels!D145/Levels!D144-1-Levels!$Y144</f>
        <v>1.6685068098454714E-2</v>
      </c>
      <c r="E144" s="16">
        <f>Levels!E145/Levels!E144-1-Levels!$Y144</f>
        <v>1.8827635705778167E-2</v>
      </c>
      <c r="F144" s="16">
        <f>Levels!F145/Levels!F144-1-Levels!$Y144</f>
        <v>1.6202625539293303E-2</v>
      </c>
      <c r="G144" s="16">
        <f>Levels!G145/Levels!G144-1-Levels!$Y144</f>
        <v>2.2643432377126738E-2</v>
      </c>
      <c r="H144" s="16">
        <f>Levels!H145/Levels!H144-1-Levels!$Y144</f>
        <v>2.307729634938771E-2</v>
      </c>
      <c r="I144" s="16">
        <f>Levels!I145/Levels!I144-1-Levels!$Y144</f>
        <v>2.2019985962347555E-2</v>
      </c>
      <c r="J144" s="16">
        <f>Levels!J145/Levels!J144-1-Levels!$Y144</f>
        <v>-1.8724137629531068E-3</v>
      </c>
      <c r="K144" s="16">
        <f>Levels!K145/Levels!K144-1-Levels!$Y144</f>
        <v>1.4528822075258851E-2</v>
      </c>
      <c r="L144" s="16">
        <f>Levels!L145/Levels!L144-1-Levels!$Y144</f>
        <v>1.6726261704071987E-2</v>
      </c>
      <c r="M144" s="16">
        <f>Levels!M145/Levels!M144-1-Levels!$Y144</f>
        <v>5.7058398290070755E-3</v>
      </c>
      <c r="N144" s="16">
        <f>Levels!N145/Levels!N144-1-Levels!$Y144</f>
        <v>2.3606583650854995E-2</v>
      </c>
      <c r="O144" s="16">
        <f>Levels!O145/Levels!O144-1-Levels!$Y144</f>
        <v>8.6702931028463937E-3</v>
      </c>
      <c r="P144" s="16">
        <f>Levels!P145/Levels!P144-1-Levels!$Y144</f>
        <v>7.9817013394840597E-3</v>
      </c>
      <c r="Q144" s="16">
        <f>Levels!Q145/Levels!Q144-1-Levels!$Y144</f>
        <v>9.6291962549508447E-3</v>
      </c>
      <c r="R144" s="16">
        <f>Levels!R145/Levels!R144-1-Levels!$Y144</f>
        <v>5.3402866279881334E-3</v>
      </c>
      <c r="S144" s="16">
        <f>Levels!S145/Levels!S144-1-Levels!$Y144</f>
        <v>4.8274529716703096E-3</v>
      </c>
      <c r="T144" s="16">
        <f>Levels!T145/Levels!T144-1-Levels!$Y144</f>
        <v>2.3267103741379636E-2</v>
      </c>
      <c r="U144" s="16">
        <f>(Levels!U145/Levels!U144-1-Levels!$Y144)*$Y$2</f>
        <v>-0.10386144406907273</v>
      </c>
      <c r="V144" s="16">
        <f>(Levels!V145/Levels!V144-1-Levels!$Y144)</f>
        <v>-7.7012581498246635E-2</v>
      </c>
    </row>
    <row r="145" spans="1:22" x14ac:dyDescent="0.35">
      <c r="A145" s="23">
        <v>43889</v>
      </c>
      <c r="B145" s="16">
        <f>Levels!B146/Levels!B145-1-Levels!$Y145</f>
        <v>1.5327660343247729E-2</v>
      </c>
      <c r="C145" s="16">
        <f>Levels!C146/Levels!C145-1-Levels!$Y145</f>
        <v>6.5726462997024226E-2</v>
      </c>
      <c r="D145" s="16">
        <f>Levels!D146/Levels!D145-1-Levels!$Y145</f>
        <v>1.1615375012305584E-2</v>
      </c>
      <c r="E145" s="16">
        <f>Levels!E146/Levels!E145-1-Levels!$Y145</f>
        <v>9.6313831191765509E-3</v>
      </c>
      <c r="F145" s="16">
        <f>Levels!F146/Levels!F145-1-Levels!$Y145</f>
        <v>1.8553554741644662E-2</v>
      </c>
      <c r="G145" s="16">
        <f>Levels!G146/Levels!G145-1-Levels!$Y145</f>
        <v>1.7296977432907257E-2</v>
      </c>
      <c r="H145" s="16">
        <f>Levels!H146/Levels!H145-1-Levels!$Y145</f>
        <v>1.537802449848491E-2</v>
      </c>
      <c r="I145" s="16">
        <f>Levels!I146/Levels!I145-1-Levels!$Y145</f>
        <v>8.0992230928915721E-3</v>
      </c>
      <c r="J145" s="16">
        <f>Levels!J146/Levels!J145-1-Levels!$Y145</f>
        <v>-1.5781646037902775E-2</v>
      </c>
      <c r="K145" s="16">
        <f>Levels!K146/Levels!K145-1-Levels!$Y145</f>
        <v>-7.0763587303517284E-3</v>
      </c>
      <c r="L145" s="16">
        <f>Levels!L146/Levels!L145-1-Levels!$Y145</f>
        <v>4.5649583860278842E-3</v>
      </c>
      <c r="M145" s="16">
        <f>Levels!M146/Levels!M145-1-Levels!$Y145</f>
        <v>9.0863745478351188E-3</v>
      </c>
      <c r="N145" s="16">
        <f>Levels!N146/Levels!N145-1-Levels!$Y145</f>
        <v>1.7856525392581757E-2</v>
      </c>
      <c r="O145" s="16">
        <f>Levels!O146/Levels!O145-1-Levels!$Y145</f>
        <v>7.6353944002112151E-3</v>
      </c>
      <c r="P145" s="16">
        <f>Levels!P146/Levels!P145-1-Levels!$Y145</f>
        <v>5.410316363019696E-3</v>
      </c>
      <c r="Q145" s="16">
        <f>Levels!Q146/Levels!Q145-1-Levels!$Y145</f>
        <v>6.169359553602094E-3</v>
      </c>
      <c r="R145" s="16">
        <f>Levels!R146/Levels!R145-1-Levels!$Y145</f>
        <v>-6.4621046477916222E-3</v>
      </c>
      <c r="S145" s="16">
        <f>Levels!S146/Levels!S145-1-Levels!$Y145</f>
        <v>1.1031111042534292E-2</v>
      </c>
      <c r="T145" s="16">
        <f>Levels!T146/Levels!T145-1-Levels!$Y145</f>
        <v>1.7477689690080789E-2</v>
      </c>
      <c r="U145" s="16">
        <f>(Levels!U146/Levels!U145-1-Levels!$Y145)*$Y$2</f>
        <v>-0.26432949798732469</v>
      </c>
      <c r="V145" s="16">
        <f>(Levels!V146/Levels!V145-1-Levels!$Y145)</f>
        <v>-0.23226908604310181</v>
      </c>
    </row>
    <row r="146" spans="1:22" x14ac:dyDescent="0.35">
      <c r="A146" s="23">
        <v>43921</v>
      </c>
      <c r="B146" s="16">
        <f>Levels!B147/Levels!B146-1-Levels!$Y146</f>
        <v>1.9702186483715023E-2</v>
      </c>
      <c r="C146" s="16">
        <f>Levels!C147/Levels!C146-1-Levels!$Y146</f>
        <v>5.9460145683599919E-2</v>
      </c>
      <c r="D146" s="16">
        <f>Levels!D147/Levels!D146-1-Levels!$Y146</f>
        <v>-3.7336405089266389E-2</v>
      </c>
      <c r="E146" s="16">
        <f>Levels!E147/Levels!E146-1-Levels!$Y146</f>
        <v>-1.2522790627952141E-2</v>
      </c>
      <c r="F146" s="16">
        <f>Levels!F147/Levels!F146-1-Levels!$Y146</f>
        <v>1.8589990016912195E-2</v>
      </c>
      <c r="G146" s="16">
        <f>Levels!G147/Levels!G146-1-Levels!$Y146</f>
        <v>-2.8049408530873343E-2</v>
      </c>
      <c r="H146" s="16">
        <f>Levels!H147/Levels!H146-1-Levels!$Y146</f>
        <v>-4.6193487112287102E-2</v>
      </c>
      <c r="I146" s="16">
        <f>Levels!I147/Levels!I146-1-Levels!$Y146</f>
        <v>-0.10446865191250521</v>
      </c>
      <c r="J146" s="16">
        <f>Levels!J147/Levels!J146-1-Levels!$Y146</f>
        <v>-0.11367241026168018</v>
      </c>
      <c r="K146" s="16">
        <f>Levels!K147/Levels!K146-1-Levels!$Y146</f>
        <v>-0.14600280542692623</v>
      </c>
      <c r="L146" s="16">
        <f>Levels!L147/Levels!L146-1-Levels!$Y146</f>
        <v>-5.3198573096379875E-2</v>
      </c>
      <c r="M146" s="16">
        <f>Levels!M147/Levels!M146-1-Levels!$Y146</f>
        <v>9.517140403294988E-3</v>
      </c>
      <c r="N146" s="16">
        <f>Levels!N147/Levels!N146-1-Levels!$Y146</f>
        <v>-3.2328278752309481E-2</v>
      </c>
      <c r="O146" s="16">
        <f>Levels!O147/Levels!O146-1-Levels!$Y146</f>
        <v>-2.1746616998011503E-2</v>
      </c>
      <c r="P146" s="16">
        <f>Levels!P147/Levels!P146-1-Levels!$Y146</f>
        <v>-7.9722324899589303E-4</v>
      </c>
      <c r="Q146" s="16">
        <f>Levels!Q147/Levels!Q146-1-Levels!$Y146</f>
        <v>-1.0572060333648103E-2</v>
      </c>
      <c r="R146" s="16">
        <f>Levels!R147/Levels!R146-1-Levels!$Y146</f>
        <v>-0.13427673828919229</v>
      </c>
      <c r="S146" s="16">
        <f>Levels!S147/Levels!S146-1-Levels!$Y146</f>
        <v>1.1999166955700691E-3</v>
      </c>
      <c r="T146" s="16">
        <f>Levels!T147/Levels!T146-1-Levels!$Y146</f>
        <v>-3.8512595826318496E-2</v>
      </c>
      <c r="U146" s="16">
        <f>(Levels!U147/Levels!U146-1-Levels!$Y146)*$Y$2</f>
        <v>0.16269192784735775</v>
      </c>
      <c r="V146" s="16">
        <f>(Levels!V147/Levels!V146-1-Levels!$Y146)</f>
        <v>6.9601983772719311E-2</v>
      </c>
    </row>
    <row r="147" spans="1:22" x14ac:dyDescent="0.35">
      <c r="A147" s="23">
        <v>43951</v>
      </c>
      <c r="B147" s="16">
        <f>Levels!B148/Levels!B147-1-Levels!$Y147</f>
        <v>2.649316112661726E-3</v>
      </c>
      <c r="C147" s="16">
        <f>Levels!C148/Levels!C147-1-Levels!$Y147</f>
        <v>2.0153961340951598E-2</v>
      </c>
      <c r="D147" s="16">
        <f>Levels!D148/Levels!D147-1-Levels!$Y147</f>
        <v>-1.2627077912934492E-2</v>
      </c>
      <c r="E147" s="16">
        <f>Levels!E148/Levels!E147-1-Levels!$Y147</f>
        <v>1.3026132063155726E-2</v>
      </c>
      <c r="F147" s="16">
        <f>Levels!F148/Levels!F147-1-Levels!$Y147</f>
        <v>6.6847249780961349E-3</v>
      </c>
      <c r="G147" s="16">
        <f>Levels!G148/Levels!G147-1-Levels!$Y147</f>
        <v>2.1454358584990896E-2</v>
      </c>
      <c r="H147" s="16">
        <f>Levels!H148/Levels!H147-1-Levels!$Y147</f>
        <v>4.2674804392464738E-2</v>
      </c>
      <c r="I147" s="16">
        <f>Levels!I148/Levels!I147-1-Levels!$Y147</f>
        <v>5.9169460488254666E-2</v>
      </c>
      <c r="J147" s="16">
        <f>Levels!J148/Levels!J147-1-Levels!$Y147</f>
        <v>4.0512674479426636E-2</v>
      </c>
      <c r="K147" s="16">
        <f>Levels!K148/Levels!K147-1-Levels!$Y147</f>
        <v>0.11018984093298179</v>
      </c>
      <c r="L147" s="16">
        <f>Levels!L148/Levels!L147-1-Levels!$Y147</f>
        <v>2.8963838428735178E-2</v>
      </c>
      <c r="M147" s="16">
        <f>Levels!M148/Levels!M147-1-Levels!$Y147</f>
        <v>6.2715229372853898E-3</v>
      </c>
      <c r="N147" s="16">
        <f>Levels!N148/Levels!N147-1-Levels!$Y147</f>
        <v>1.2173877412849032E-2</v>
      </c>
      <c r="O147" s="16">
        <f>Levels!O148/Levels!O147-1-Levels!$Y147</f>
        <v>1.330474903691492E-2</v>
      </c>
      <c r="P147" s="16">
        <f>Levels!P148/Levels!P147-1-Levels!$Y147</f>
        <v>6.3357072368679379E-3</v>
      </c>
      <c r="Q147" s="16">
        <f>Levels!Q148/Levels!Q147-1-Levels!$Y147</f>
        <v>-1.6707572998910791E-3</v>
      </c>
      <c r="R147" s="16">
        <f>Levels!R148/Levels!R147-1-Levels!$Y147</f>
        <v>4.8978121145622611E-2</v>
      </c>
      <c r="S147" s="16">
        <f>Levels!S148/Levels!S147-1-Levels!$Y147</f>
        <v>1.6012824284223903E-3</v>
      </c>
      <c r="T147" s="16">
        <f>Levels!T148/Levels!T147-1-Levels!$Y147</f>
        <v>9.6692009532908241E-3</v>
      </c>
      <c r="U147" s="16">
        <f>(Levels!U148/Levels!U147-1-Levels!$Y147)*$Y$2</f>
        <v>7.6248203267822751E-2</v>
      </c>
      <c r="V147" s="16">
        <f>(Levels!V148/Levels!V147-1-Levels!$Y147)</f>
        <v>-1.5271928858189621E-2</v>
      </c>
    </row>
    <row r="148" spans="1:22" x14ac:dyDescent="0.35">
      <c r="A148" s="23">
        <v>43982</v>
      </c>
      <c r="B148" s="16">
        <f>Levels!B149/Levels!B148-1-Levels!$Y148</f>
        <v>1.7130545005115128E-3</v>
      </c>
      <c r="C148" s="16">
        <f>Levels!C149/Levels!C148-1-Levels!$Y148</f>
        <v>-1.8749782509301371E-2</v>
      </c>
      <c r="D148" s="16">
        <f>Levels!D149/Levels!D148-1-Levels!$Y148</f>
        <v>3.1728471126722058E-2</v>
      </c>
      <c r="E148" s="16">
        <f>Levels!E149/Levels!E148-1-Levels!$Y148</f>
        <v>2.8232555388418845E-3</v>
      </c>
      <c r="F148" s="16">
        <f>Levels!F149/Levels!F148-1-Levels!$Y148</f>
        <v>-4.5918790854326819E-4</v>
      </c>
      <c r="G148" s="16">
        <f>Levels!G149/Levels!G148-1-Levels!$Y148</f>
        <v>1.1797370153984632E-2</v>
      </c>
      <c r="H148" s="16">
        <f>Levels!H149/Levels!H148-1-Levels!$Y148</f>
        <v>9.4992379409419847E-3</v>
      </c>
      <c r="I148" s="16">
        <f>Levels!I149/Levels!I148-1-Levels!$Y148</f>
        <v>2.4942313257481974E-2</v>
      </c>
      <c r="J148" s="16">
        <f>Levels!J149/Levels!J148-1-Levels!$Y148</f>
        <v>4.3459121631331143E-2</v>
      </c>
      <c r="K148" s="16">
        <f>Levels!K149/Levels!K148-1-Levels!$Y148</f>
        <v>5.1224517066070119E-2</v>
      </c>
      <c r="L148" s="16">
        <f>Levels!L149/Levels!L148-1-Levels!$Y148</f>
        <v>1.2569105837490158E-2</v>
      </c>
      <c r="M148" s="16">
        <f>Levels!M149/Levels!M148-1-Levels!$Y148</f>
        <v>1.1394416933856455E-3</v>
      </c>
      <c r="N148" s="16">
        <f>Levels!N149/Levels!N148-1-Levels!$Y148</f>
        <v>1.0533824942897896E-2</v>
      </c>
      <c r="O148" s="16">
        <f>Levels!O149/Levels!O148-1-Levels!$Y148</f>
        <v>1.0860881266775202E-2</v>
      </c>
      <c r="P148" s="16">
        <f>Levels!P149/Levels!P148-1-Levels!$Y148</f>
        <v>7.6910861699592825E-3</v>
      </c>
      <c r="Q148" s="16">
        <f>Levels!Q149/Levels!Q148-1-Levels!$Y148</f>
        <v>1.9001797568205525E-3</v>
      </c>
      <c r="R148" s="16">
        <f>Levels!R149/Levels!R148-1-Levels!$Y148</f>
        <v>3.3942724734295382E-2</v>
      </c>
      <c r="S148" s="16">
        <f>Levels!S149/Levels!S148-1-Levels!$Y148</f>
        <v>2.6598622337123956E-3</v>
      </c>
      <c r="T148" s="16">
        <f>Levels!T149/Levels!T148-1-Levels!$Y148</f>
        <v>1.0288366717100095E-2</v>
      </c>
      <c r="U148" s="16">
        <f>(Levels!U149/Levels!U148-1-Levels!$Y148)*$Y$2</f>
        <v>4.0642061815090447E-2</v>
      </c>
      <c r="V148" s="16">
        <f>(Levels!V149/Levels!V148-1-Levels!$Y148)</f>
        <v>1.2109678601190499E-2</v>
      </c>
    </row>
    <row r="149" spans="1:22" x14ac:dyDescent="0.35">
      <c r="A149" s="23">
        <v>44012</v>
      </c>
      <c r="B149" s="16">
        <f>Levels!B150/Levels!B149-1-Levels!$Y149</f>
        <v>7.2806560979854495E-4</v>
      </c>
      <c r="C149" s="16">
        <f>Levels!C150/Levels!C149-1-Levels!$Y149</f>
        <v>1.1801567486096065E-3</v>
      </c>
      <c r="D149" s="16">
        <f>Levels!D150/Levels!D149-1-Levels!$Y149</f>
        <v>8.1141720249449101E-3</v>
      </c>
      <c r="E149" s="16">
        <f>Levels!E150/Levels!E149-1-Levels!$Y149</f>
        <v>1.1020214576766829E-3</v>
      </c>
      <c r="F149" s="16">
        <f>Levels!F150/Levels!F149-1-Levels!$Y149</f>
        <v>5.8617070503252933E-4</v>
      </c>
      <c r="G149" s="16">
        <f>Levels!G150/Levels!G149-1-Levels!$Y149</f>
        <v>1.0646981743005712E-2</v>
      </c>
      <c r="H149" s="16">
        <f>Levels!H150/Levels!H149-1-Levels!$Y149</f>
        <v>1.6104028538217241E-2</v>
      </c>
      <c r="I149" s="16">
        <f>Levels!I150/Levels!I149-1-Levels!$Y149</f>
        <v>2.436777732874762E-2</v>
      </c>
      <c r="J149" s="16">
        <f>Levels!J150/Levels!J149-1-Levels!$Y149</f>
        <v>7.0994633956751318E-3</v>
      </c>
      <c r="K149" s="16">
        <f>Levels!K150/Levels!K149-1-Levels!$Y149</f>
        <v>4.3092917860461988E-2</v>
      </c>
      <c r="L149" s="16">
        <f>Levels!L150/Levels!L149-1-Levels!$Y149</f>
        <v>1.3432502769149535E-2</v>
      </c>
      <c r="M149" s="16">
        <f>Levels!M150/Levels!M149-1-Levels!$Y149</f>
        <v>-1.030613464041874E-3</v>
      </c>
      <c r="N149" s="16">
        <f>Levels!N150/Levels!N149-1-Levels!$Y149</f>
        <v>1.6049077966643566E-2</v>
      </c>
      <c r="O149" s="16">
        <f>Levels!O150/Levels!O149-1-Levels!$Y149</f>
        <v>1.0546325911518606E-2</v>
      </c>
      <c r="P149" s="16">
        <f>Levels!P150/Levels!P149-1-Levels!$Y149</f>
        <v>1.0277023451603196E-2</v>
      </c>
      <c r="Q149" s="16">
        <f>Levels!Q150/Levels!Q149-1-Levels!$Y149</f>
        <v>4.9317989051149702E-3</v>
      </c>
      <c r="R149" s="16">
        <f>Levels!R150/Levels!R149-1-Levels!$Y149</f>
        <v>1.9304718031479595E-2</v>
      </c>
      <c r="S149" s="16">
        <f>Levels!S150/Levels!S149-1-Levels!$Y149</f>
        <v>-4.4609416676274494E-3</v>
      </c>
      <c r="T149" s="16">
        <f>Levels!T150/Levels!T149-1-Levels!$Y149</f>
        <v>1.7493044137812053E-2</v>
      </c>
      <c r="U149" s="16">
        <f>(Levels!U150/Levels!U149-1-Levels!$Y149)*$Y$2</f>
        <v>3.2380150202018322E-2</v>
      </c>
      <c r="V149" s="16">
        <f>(Levels!V150/Levels!V149-1-Levels!$Y149)</f>
        <v>-2.6356126805303748E-2</v>
      </c>
    </row>
    <row r="150" spans="1:22" x14ac:dyDescent="0.35">
      <c r="A150" s="23">
        <v>44043</v>
      </c>
      <c r="B150" s="16">
        <f>Levels!B151/Levels!B150-1-Levels!$Y150</f>
        <v>3.1273541691396733E-3</v>
      </c>
      <c r="C150" s="16">
        <f>Levels!C151/Levels!C150-1-Levels!$Y150</f>
        <v>4.2141248510336071E-2</v>
      </c>
      <c r="D150" s="16">
        <f>Levels!D151/Levels!D150-1-Levels!$Y150</f>
        <v>1.6726707358530213E-2</v>
      </c>
      <c r="E150" s="16">
        <f>Levels!E151/Levels!E150-1-Levels!$Y150</f>
        <v>7.0012227777667135E-3</v>
      </c>
      <c r="F150" s="16">
        <f>Levels!F151/Levels!F150-1-Levels!$Y150</f>
        <v>7.3996469801806963E-3</v>
      </c>
      <c r="G150" s="16">
        <f>Levels!G151/Levels!G150-1-Levels!$Y150</f>
        <v>2.3503746925391589E-2</v>
      </c>
      <c r="H150" s="16">
        <f>Levels!H151/Levels!H150-1-Levels!$Y150</f>
        <v>3.0623762357708362E-2</v>
      </c>
      <c r="I150" s="16">
        <f>Levels!I151/Levels!I150-1-Levels!$Y150</f>
        <v>3.501710282520798E-2</v>
      </c>
      <c r="J150" s="16">
        <f>Levels!J151/Levels!J150-1-Levels!$Y150</f>
        <v>4.354611536120534E-2</v>
      </c>
      <c r="K150" s="16">
        <f>Levels!K151/Levels!K150-1-Levels!$Y150</f>
        <v>8.5024900128316316E-2</v>
      </c>
      <c r="L150" s="16">
        <f>Levels!L151/Levels!L150-1-Levels!$Y150</f>
        <v>1.8117810373412979E-2</v>
      </c>
      <c r="M150" s="16">
        <f>Levels!M151/Levels!M150-1-Levels!$Y150</f>
        <v>1.6681112668939235E-3</v>
      </c>
      <c r="N150" s="16">
        <f>Levels!N151/Levels!N150-1-Levels!$Y150</f>
        <v>1.2068855781299792E-2</v>
      </c>
      <c r="O150" s="16">
        <f>Levels!O151/Levels!O150-1-Levels!$Y150</f>
        <v>4.0663087667571762E-3</v>
      </c>
      <c r="P150" s="16">
        <f>Levels!P151/Levels!P150-1-Levels!$Y150</f>
        <v>1.1514110658120247E-2</v>
      </c>
      <c r="Q150" s="16">
        <f>Levels!Q151/Levels!Q150-1-Levels!$Y150</f>
        <v>7.055111009111048E-3</v>
      </c>
      <c r="R150" s="16">
        <f>Levels!R151/Levels!R150-1-Levels!$Y150</f>
        <v>1.6674877387503395E-2</v>
      </c>
      <c r="S150" s="16">
        <f>Levels!S151/Levels!S150-1-Levels!$Y150</f>
        <v>2.2834686936805682E-3</v>
      </c>
      <c r="T150" s="16">
        <f>Levels!T151/Levels!T150-1-Levels!$Y150</f>
        <v>1.2876924301437276E-2</v>
      </c>
      <c r="U150" s="16">
        <f>(Levels!U151/Levels!U150-1-Levels!$Y150)*$Y$2</f>
        <v>6.5882447135330049E-2</v>
      </c>
      <c r="V150" s="16">
        <f>(Levels!V151/Levels!V150-1-Levels!$Y150)</f>
        <v>1.1562412100994068E-2</v>
      </c>
    </row>
    <row r="151" spans="1:22" x14ac:dyDescent="0.35">
      <c r="A151" s="23">
        <v>44074</v>
      </c>
      <c r="B151" s="16">
        <f>Levels!B152/Levels!B151-1-Levels!$Y151</f>
        <v>-2.1003735307277838E-3</v>
      </c>
      <c r="C151" s="16">
        <f>Levels!C152/Levels!C151-1-Levels!$Y151</f>
        <v>-4.3189988173158889E-2</v>
      </c>
      <c r="D151" s="16">
        <f>Levels!D152/Levels!D151-1-Levels!$Y151</f>
        <v>-4.7680726971824905E-3</v>
      </c>
      <c r="E151" s="16">
        <f>Levels!E152/Levels!E151-1-Levels!$Y151</f>
        <v>-1.0145205752021269E-2</v>
      </c>
      <c r="F151" s="16">
        <f>Levels!F152/Levels!F151-1-Levels!$Y151</f>
        <v>-6.0432789718833924E-3</v>
      </c>
      <c r="G151" s="16">
        <f>Levels!G152/Levels!G151-1-Levels!$Y151</f>
        <v>-1.3735568456104574E-2</v>
      </c>
      <c r="H151" s="16">
        <f>Levels!H152/Levels!H151-1-Levels!$Y151</f>
        <v>-1.567541173264031E-2</v>
      </c>
      <c r="I151" s="16">
        <f>Levels!I152/Levels!I151-1-Levels!$Y151</f>
        <v>-1.0327796068858697E-2</v>
      </c>
      <c r="J151" s="16">
        <f>Levels!J152/Levels!J151-1-Levels!$Y151</f>
        <v>9.4354707510602154E-3</v>
      </c>
      <c r="K151" s="16">
        <f>Levels!K152/Levels!K151-1-Levels!$Y151</f>
        <v>9.3742042523079494E-3</v>
      </c>
      <c r="L151" s="16">
        <f>Levels!L152/Levels!L151-1-Levels!$Y151</f>
        <v>-2.5478859039383961E-3</v>
      </c>
      <c r="M151" s="16">
        <f>Levels!M152/Levels!M151-1-Levels!$Y151</f>
        <v>3.1655465742796984E-4</v>
      </c>
      <c r="N151" s="16">
        <f>Levels!N152/Levels!N151-1-Levels!$Y151</f>
        <v>1.3225445806117619E-3</v>
      </c>
      <c r="O151" s="16">
        <f>Levels!O152/Levels!O151-1-Levels!$Y151</f>
        <v>2.396120465298246E-3</v>
      </c>
      <c r="P151" s="16">
        <f>Levels!P152/Levels!P151-1-Levels!$Y151</f>
        <v>5.9793825696812242E-3</v>
      </c>
      <c r="Q151" s="16">
        <f>Levels!Q152/Levels!Q151-1-Levels!$Y151</f>
        <v>3.6461154372122717E-3</v>
      </c>
      <c r="R151" s="16">
        <f>Levels!R152/Levels!R151-1-Levels!$Y151</f>
        <v>1.3892093897629909E-2</v>
      </c>
      <c r="S151" s="16">
        <f>Levels!S152/Levels!S151-1-Levels!$Y151</f>
        <v>3.8026668475583669E-3</v>
      </c>
      <c r="T151" s="16">
        <f>Levels!T152/Levels!T151-1-Levels!$Y151</f>
        <v>1.9165823489337708E-3</v>
      </c>
      <c r="U151" s="16">
        <f>(Levels!U152/Levels!U151-1-Levels!$Y151)*$Y$2</f>
        <v>-4.1725402613477056E-2</v>
      </c>
      <c r="V151" s="16">
        <f>(Levels!V152/Levels!V151-1-Levels!$Y151)</f>
        <v>-1.4859701735587483E-2</v>
      </c>
    </row>
    <row r="152" spans="1:22" x14ac:dyDescent="0.35">
      <c r="A152" s="23">
        <v>44104</v>
      </c>
      <c r="B152" s="16">
        <f>Levels!B153/Levels!B152-1-Levels!$Y152</f>
        <v>6.4313455846431999E-4</v>
      </c>
      <c r="C152" s="16">
        <f>Levels!C153/Levels!C152-1-Levels!$Y152</f>
        <v>3.7626005331194978E-3</v>
      </c>
      <c r="D152" s="16">
        <f>Levels!D153/Levels!D152-1-Levels!$Y152</f>
        <v>1.2825971072905062E-4</v>
      </c>
      <c r="E152" s="16">
        <f>Levels!E153/Levels!E152-1-Levels!$Y152</f>
        <v>7.7929680581534377E-3</v>
      </c>
      <c r="F152" s="16">
        <f>Levels!F153/Levels!F152-1-Levels!$Y152</f>
        <v>3.6611990656298943E-4</v>
      </c>
      <c r="G152" s="16">
        <f>Levels!G153/Levels!G152-1-Levels!$Y152</f>
        <v>-5.9547320742525667E-4</v>
      </c>
      <c r="H152" s="16">
        <f>Levels!H153/Levels!H152-1-Levels!$Y152</f>
        <v>-2.9194645715375778E-3</v>
      </c>
      <c r="I152" s="16">
        <f>Levels!I153/Levels!I152-1-Levels!$Y152</f>
        <v>-3.4821381699007281E-3</v>
      </c>
      <c r="J152" s="16">
        <f>Levels!J153/Levels!J152-1-Levels!$Y152</f>
        <v>-9.0711256723722267E-3</v>
      </c>
      <c r="K152" s="16">
        <f>Levels!K153/Levels!K152-1-Levels!$Y152</f>
        <v>-2.5368479934789301E-2</v>
      </c>
      <c r="L152" s="16">
        <f>Levels!L153/Levels!L152-1-Levels!$Y152</f>
        <v>1.1470020167925199E-3</v>
      </c>
      <c r="M152" s="16">
        <f>Levels!M153/Levels!M152-1-Levels!$Y152</f>
        <v>-1.1529872823535792E-3</v>
      </c>
      <c r="N152" s="16">
        <f>Levels!N153/Levels!N152-1-Levels!$Y152</f>
        <v>3.3461436564357072E-3</v>
      </c>
      <c r="O152" s="16">
        <f>Levels!O153/Levels!O152-1-Levels!$Y152</f>
        <v>1.2023906300522302E-3</v>
      </c>
      <c r="P152" s="16">
        <f>Levels!P153/Levels!P152-1-Levels!$Y152</f>
        <v>1.2889010243501087E-2</v>
      </c>
      <c r="Q152" s="16">
        <f>Levels!Q153/Levels!Q152-1-Levels!$Y152</f>
        <v>2.0644754150589417E-2</v>
      </c>
      <c r="R152" s="16">
        <f>Levels!R153/Levels!R152-1-Levels!$Y152</f>
        <v>9.379394329344537E-3</v>
      </c>
      <c r="S152" s="16">
        <f>Levels!S153/Levels!S152-1-Levels!$Y152</f>
        <v>6.227844724127074E-4</v>
      </c>
      <c r="T152" s="16">
        <f>Levels!T153/Levels!T152-1-Levels!$Y152</f>
        <v>3.8308786754288615E-3</v>
      </c>
      <c r="U152" s="16">
        <f>(Levels!U153/Levels!U152-1-Levels!$Y152)*$Y$2</f>
        <v>2.4405410764788991E-2</v>
      </c>
      <c r="V152" s="16">
        <f>(Levels!V153/Levels!V152-1-Levels!$Y152)</f>
        <v>-2.8252115850556869E-2</v>
      </c>
    </row>
    <row r="153" spans="1:22" x14ac:dyDescent="0.35">
      <c r="A153" s="23">
        <v>44135</v>
      </c>
      <c r="B153" s="16">
        <f>Levels!B154/Levels!B153-1-Levels!$Y153</f>
        <v>-3.8865873828163311E-3</v>
      </c>
      <c r="C153" s="16">
        <f>Levels!C154/Levels!C153-1-Levels!$Y153</f>
        <v>-3.0173762323380093E-2</v>
      </c>
      <c r="D153" s="16">
        <f>Levels!D154/Levels!D153-1-Levels!$Y153</f>
        <v>-3.0847946298251383E-3</v>
      </c>
      <c r="E153" s="16">
        <f>Levels!E154/Levels!E153-1-Levels!$Y153</f>
        <v>2.2257376626284575E-3</v>
      </c>
      <c r="F153" s="16">
        <f>Levels!F154/Levels!F153-1-Levels!$Y153</f>
        <v>-5.6063499736912492E-3</v>
      </c>
      <c r="G153" s="16">
        <f>Levels!G154/Levels!G153-1-Levels!$Y153</f>
        <v>-8.6715330667912482E-3</v>
      </c>
      <c r="H153" s="16">
        <f>Levels!H154/Levels!H153-1-Levels!$Y153</f>
        <v>-2.9826222572774119E-3</v>
      </c>
      <c r="I153" s="16">
        <f>Levels!I154/Levels!I153-1-Levels!$Y153</f>
        <v>2.8157513349058583E-4</v>
      </c>
      <c r="J153" s="16">
        <f>Levels!J154/Levels!J153-1-Levels!$Y153</f>
        <v>4.5953829707772176E-3</v>
      </c>
      <c r="K153" s="16">
        <f>Levels!K154/Levels!K153-1-Levels!$Y153</f>
        <v>9.4846542194317873E-3</v>
      </c>
      <c r="L153" s="16">
        <f>Levels!L154/Levels!L153-1-Levels!$Y153</f>
        <v>2.9287925719980734E-3</v>
      </c>
      <c r="M153" s="16">
        <f>Levels!M154/Levels!M153-1-Levels!$Y153</f>
        <v>-4.8204863189704739E-4</v>
      </c>
      <c r="N153" s="16">
        <f>Levels!N154/Levels!N153-1-Levels!$Y153</f>
        <v>-4.7094466394311807E-3</v>
      </c>
      <c r="O153" s="16">
        <f>Levels!O154/Levels!O153-1-Levels!$Y153</f>
        <v>2.6274694632455464E-5</v>
      </c>
      <c r="P153" s="16">
        <f>Levels!P154/Levels!P153-1-Levels!$Y153</f>
        <v>5.5955492808981155E-3</v>
      </c>
      <c r="Q153" s="16">
        <f>Levels!Q154/Levels!Q153-1-Levels!$Y153</f>
        <v>1.1424972259061139E-2</v>
      </c>
      <c r="R153" s="16">
        <f>Levels!R154/Levels!R153-1-Levels!$Y153</f>
        <v>1.1441349512346655E-3</v>
      </c>
      <c r="S153" s="16">
        <f>Levels!S154/Levels!S153-1-Levels!$Y153</f>
        <v>1.6026079635582668E-3</v>
      </c>
      <c r="T153" s="16">
        <f>Levels!T154/Levels!T153-1-Levels!$Y153</f>
        <v>-4.0681530035745483E-3</v>
      </c>
      <c r="U153" s="16">
        <f>(Levels!U154/Levels!U153-1-Levels!$Y153)*$Y$2</f>
        <v>0.21934560978707668</v>
      </c>
      <c r="V153" s="16">
        <f>(Levels!V154/Levels!V153-1-Levels!$Y153)</f>
        <v>0.10008179670741879</v>
      </c>
    </row>
    <row r="154" spans="1:22" x14ac:dyDescent="0.35">
      <c r="A154" s="23">
        <v>44165</v>
      </c>
      <c r="B154" s="16">
        <f>Levels!B155/Levels!B154-1-Levels!$Y154</f>
        <v>1.1353145655985664E-3</v>
      </c>
      <c r="C154" s="16">
        <f>Levels!C155/Levels!C154-1-Levels!$Y154</f>
        <v>1.1929826888535722E-2</v>
      </c>
      <c r="D154" s="16">
        <f>Levels!D155/Levels!D154-1-Levels!$Y154</f>
        <v>1.5016373345383416E-2</v>
      </c>
      <c r="E154" s="16">
        <f>Levels!E155/Levels!E154-1-Levels!$Y154</f>
        <v>6.241573060439265E-5</v>
      </c>
      <c r="F154" s="16">
        <f>Levels!F155/Levels!F154-1-Levels!$Y154</f>
        <v>2.5405713009480912E-3</v>
      </c>
      <c r="G154" s="16">
        <f>Levels!G155/Levels!G154-1-Levels!$Y154</f>
        <v>1.9148362924910955E-2</v>
      </c>
      <c r="H154" s="16">
        <f>Levels!H155/Levels!H154-1-Levels!$Y154</f>
        <v>2.211423030303683E-2</v>
      </c>
      <c r="I154" s="16">
        <f>Levels!I155/Levels!I154-1-Levels!$Y154</f>
        <v>3.181956221814275E-2</v>
      </c>
      <c r="J154" s="16">
        <f>Levels!J155/Levels!J154-1-Levels!$Y154</f>
        <v>3.7123723319335777E-2</v>
      </c>
      <c r="K154" s="16">
        <f>Levels!K155/Levels!K154-1-Levels!$Y154</f>
        <v>6.6681473965580995E-2</v>
      </c>
      <c r="L154" s="16">
        <f>Levels!L155/Levels!L154-1-Levels!$Y154</f>
        <v>1.2681129530288437E-2</v>
      </c>
      <c r="M154" s="16">
        <f>Levels!M155/Levels!M154-1-Levels!$Y154</f>
        <v>6.2509786524533872E-4</v>
      </c>
      <c r="N154" s="16">
        <f>Levels!N155/Levels!N154-1-Levels!$Y154</f>
        <v>7.7369388845318632E-3</v>
      </c>
      <c r="O154" s="16">
        <f>Levels!O155/Levels!O154-1-Levels!$Y154</f>
        <v>1.4514778304397513E-3</v>
      </c>
      <c r="P154" s="16">
        <f>Levels!P155/Levels!P154-1-Levels!$Y154</f>
        <v>7.726277203585985E-3</v>
      </c>
      <c r="Q154" s="16">
        <f>Levels!Q155/Levels!Q154-1-Levels!$Y154</f>
        <v>1.2739565459781499E-2</v>
      </c>
      <c r="R154" s="16">
        <f>Levels!R155/Levels!R154-1-Levels!$Y154</f>
        <v>1.9673599663105001E-2</v>
      </c>
      <c r="S154" s="16">
        <f>Levels!S155/Levels!S154-1-Levels!$Y154</f>
        <v>-1.046767692202244E-3</v>
      </c>
      <c r="T154" s="16">
        <f>Levels!T155/Levels!T154-1-Levels!$Y154</f>
        <v>8.1825408318174642E-3</v>
      </c>
      <c r="U154" s="16">
        <f>(Levels!U155/Levels!U154-1-Levels!$Y154)*$Y$2</f>
        <v>0.10214532319144984</v>
      </c>
      <c r="V154" s="16">
        <f>(Levels!V155/Levels!V154-1-Levels!$Y154)</f>
        <v>8.4998376803329112E-3</v>
      </c>
    </row>
    <row r="155" spans="1:22" x14ac:dyDescent="0.35">
      <c r="A155" s="23">
        <v>44196</v>
      </c>
      <c r="B155" s="16">
        <f>Levels!B156/Levels!B155-1-Levels!$Y155</f>
        <v>2.0513093728058429E-4</v>
      </c>
      <c r="C155" s="16">
        <f>Levels!C156/Levels!C155-1-Levels!$Y155</f>
        <v>-1.1845005823243326E-2</v>
      </c>
      <c r="D155" s="16">
        <f>Levels!D156/Levels!D155-1-Levels!$Y155</f>
        <v>6.0287951943596152E-3</v>
      </c>
      <c r="E155" s="16">
        <f>Levels!E156/Levels!E155-1-Levels!$Y155</f>
        <v>4.314888840218245E-3</v>
      </c>
      <c r="F155" s="16">
        <f>Levels!F156/Levels!F155-1-Levels!$Y155</f>
        <v>-2.8899397306603181E-4</v>
      </c>
      <c r="G155" s="16">
        <f>Levels!G156/Levels!G155-1-Levels!$Y155</f>
        <v>3.3331698782042007E-3</v>
      </c>
      <c r="H155" s="16">
        <f>Levels!H156/Levels!H155-1-Levels!$Y155</f>
        <v>2.0958968800250943E-3</v>
      </c>
      <c r="I155" s="16">
        <f>Levels!I156/Levels!I155-1-Levels!$Y155</f>
        <v>7.6915953709730811E-3</v>
      </c>
      <c r="J155" s="16">
        <f>Levels!J156/Levels!J155-1-Levels!$Y155</f>
        <v>1.7556046180678964E-2</v>
      </c>
      <c r="K155" s="16">
        <f>Levels!K156/Levels!K155-1-Levels!$Y155</f>
        <v>3.1275654148060328E-2</v>
      </c>
      <c r="L155" s="16">
        <f>Levels!L156/Levels!L155-1-Levels!$Y155</f>
        <v>5.0502448806428735E-3</v>
      </c>
      <c r="M155" s="16">
        <f>Levels!M156/Levels!M155-1-Levels!$Y155</f>
        <v>2.0889980285052623E-3</v>
      </c>
      <c r="N155" s="16">
        <f>Levels!N156/Levels!N155-1-Levels!$Y155</f>
        <v>7.2650158680716004E-3</v>
      </c>
      <c r="O155" s="16">
        <f>Levels!O156/Levels!O155-1-Levels!$Y155</f>
        <v>1.8875692857669435E-3</v>
      </c>
      <c r="P155" s="16">
        <f>Levels!P156/Levels!P155-1-Levels!$Y155</f>
        <v>5.42419800834959E-3</v>
      </c>
      <c r="Q155" s="16">
        <f>Levels!Q156/Levels!Q155-1-Levels!$Y155</f>
        <v>1.003391826239608E-2</v>
      </c>
      <c r="R155" s="16">
        <f>Levels!R156/Levels!R155-1-Levels!$Y155</f>
        <v>1.3756370459342859E-2</v>
      </c>
      <c r="S155" s="16">
        <f>Levels!S156/Levels!S155-1-Levels!$Y155</f>
        <v>5.246464712183041E-4</v>
      </c>
      <c r="T155" s="16">
        <f>Levels!T156/Levels!T155-1-Levels!$Y155</f>
        <v>8.1326255417333293E-3</v>
      </c>
      <c r="U155" s="16">
        <f>(Levels!U156/Levels!U155-1-Levels!$Y155)*$Y$2</f>
        <v>5.9946509066848105E-2</v>
      </c>
      <c r="V155" s="16">
        <f>(Levels!V156/Levels!V155-1-Levels!$Y155)</f>
        <v>-1.965143485208376E-3</v>
      </c>
    </row>
    <row r="156" spans="1:22" x14ac:dyDescent="0.35">
      <c r="A156" s="23">
        <v>44227</v>
      </c>
      <c r="B156" s="16">
        <f>Levels!B157/Levels!B156-1-Levels!$Y156</f>
        <v>-2.4944811124564259E-3</v>
      </c>
      <c r="C156" s="16">
        <f>Levels!C157/Levels!C156-1-Levels!$Y156</f>
        <v>-3.6139430861277577E-2</v>
      </c>
      <c r="D156" s="16">
        <f>Levels!D157/Levels!D156-1-Levels!$Y156</f>
        <v>6.3122412407285999E-3</v>
      </c>
      <c r="E156" s="16">
        <f>Levels!E157/Levels!E156-1-Levels!$Y156</f>
        <v>-5.703504412756355E-3</v>
      </c>
      <c r="F156" s="16">
        <f>Levels!F157/Levels!F156-1-Levels!$Y156</f>
        <v>-5.1013647087270186E-3</v>
      </c>
      <c r="G156" s="16">
        <f>Levels!G157/Levels!G156-1-Levels!$Y156</f>
        <v>-1.036210581093655E-2</v>
      </c>
      <c r="H156" s="16">
        <f>Levels!H157/Levels!H156-1-Levels!$Y156</f>
        <v>-1.3444921197148241E-2</v>
      </c>
      <c r="I156" s="16">
        <f>Levels!I157/Levels!I156-1-Levels!$Y156</f>
        <v>-1.1523657452753744E-2</v>
      </c>
      <c r="J156" s="16">
        <f>Levels!J157/Levels!J156-1-Levels!$Y156</f>
        <v>3.4195409993129644E-3</v>
      </c>
      <c r="K156" s="16">
        <f>Levels!K157/Levels!K156-1-Levels!$Y156</f>
        <v>1.4933503390766045E-3</v>
      </c>
      <c r="L156" s="16">
        <f>Levels!L157/Levels!L156-1-Levels!$Y156</f>
        <v>-3.8914168559932572E-3</v>
      </c>
      <c r="M156" s="16">
        <f>Levels!M157/Levels!M156-1-Levels!$Y156</f>
        <v>7.1043249969360289E-4</v>
      </c>
      <c r="N156" s="16">
        <f>Levels!N157/Levels!N156-1-Levels!$Y156</f>
        <v>-3.2942515251976889E-4</v>
      </c>
      <c r="O156" s="16">
        <f>Levels!O157/Levels!O156-1-Levels!$Y156</f>
        <v>1.353654699677298E-3</v>
      </c>
      <c r="P156" s="16">
        <f>Levels!P157/Levels!P156-1-Levels!$Y156</f>
        <v>-1.8727389450576837E-3</v>
      </c>
      <c r="Q156" s="16">
        <f>Levels!Q157/Levels!Q156-1-Levels!$Y156</f>
        <v>2.3282038244123449E-3</v>
      </c>
      <c r="R156" s="16">
        <f>Levels!R157/Levels!R156-1-Levels!$Y156</f>
        <v>1.3589197229309624E-2</v>
      </c>
      <c r="S156" s="16">
        <f>Levels!S157/Levels!S156-1-Levels!$Y156</f>
        <v>1.9948490931616103E-3</v>
      </c>
      <c r="T156" s="16">
        <f>Levels!T157/Levels!T156-1-Levels!$Y156</f>
        <v>5.8616877963690861E-4</v>
      </c>
      <c r="U156" s="16">
        <f>(Levels!U157/Levels!U156-1-Levels!$Y156)*$Y$2</f>
        <v>7.3659240353694158E-2</v>
      </c>
      <c r="V156" s="16">
        <f>(Levels!V157/Levels!V156-1-Levels!$Y156)</f>
        <v>3.7351515001225799E-2</v>
      </c>
    </row>
    <row r="157" spans="1:22" x14ac:dyDescent="0.35">
      <c r="A157" s="23">
        <v>44255</v>
      </c>
      <c r="B157" s="16">
        <f>Levels!B158/Levels!B157-1-Levels!$Y157</f>
        <v>-8.4023178158397771E-3</v>
      </c>
      <c r="C157" s="16">
        <f>Levels!C158/Levels!C157-1-Levels!$Y157</f>
        <v>-5.5716188212315831E-2</v>
      </c>
      <c r="D157" s="16">
        <f>Levels!D158/Levels!D157-1-Levels!$Y157</f>
        <v>-1.5932128628272313E-2</v>
      </c>
      <c r="E157" s="16">
        <f>Levels!E158/Levels!E157-1-Levels!$Y157</f>
        <v>-2.2668998037802979E-2</v>
      </c>
      <c r="F157" s="16">
        <f>Levels!F158/Levels!F157-1-Levels!$Y157</f>
        <v>-1.3126587018665425E-2</v>
      </c>
      <c r="G157" s="16">
        <f>Levels!G158/Levels!G157-1-Levels!$Y157</f>
        <v>-1.8801422131624723E-2</v>
      </c>
      <c r="H157" s="16">
        <f>Levels!H158/Levels!H157-1-Levels!$Y157</f>
        <v>-1.7571586609333334E-2</v>
      </c>
      <c r="I157" s="16">
        <f>Levels!I158/Levels!I157-1-Levels!$Y157</f>
        <v>-1.7422231261163712E-2</v>
      </c>
      <c r="J157" s="16">
        <f>Levels!J158/Levels!J157-1-Levels!$Y157</f>
        <v>3.6879506154545716E-3</v>
      </c>
      <c r="K157" s="16">
        <f>Levels!K158/Levels!K157-1-Levels!$Y157</f>
        <v>3.0151276932683935E-3</v>
      </c>
      <c r="L157" s="16">
        <f>Levels!L158/Levels!L157-1-Levels!$Y157</f>
        <v>-1.3348290638334426E-2</v>
      </c>
      <c r="M157" s="16">
        <f>Levels!M158/Levels!M157-1-Levels!$Y157</f>
        <v>-6.7222609159359736E-3</v>
      </c>
      <c r="N157" s="16">
        <f>Levels!N158/Levels!N157-1-Levels!$Y157</f>
        <v>-1.1961988597581796E-2</v>
      </c>
      <c r="O157" s="16">
        <f>Levels!O158/Levels!O157-1-Levels!$Y157</f>
        <v>-1.4016929650381149E-3</v>
      </c>
      <c r="P157" s="16">
        <f>Levels!P158/Levels!P157-1-Levels!$Y157</f>
        <v>-2.1523890952027669E-3</v>
      </c>
      <c r="Q157" s="16">
        <f>Levels!Q158/Levels!Q157-1-Levels!$Y157</f>
        <v>1.114196822648239E-3</v>
      </c>
      <c r="R157" s="16">
        <f>Levels!R158/Levels!R157-1-Levels!$Y157</f>
        <v>4.4430815451383943E-3</v>
      </c>
      <c r="S157" s="16">
        <f>Levels!S158/Levels!S157-1-Levels!$Y157</f>
        <v>2.4362387058578516E-3</v>
      </c>
      <c r="T157" s="16">
        <f>Levels!T158/Levels!T157-1-Levels!$Y157</f>
        <v>-1.1102527490531533E-2</v>
      </c>
      <c r="U157" s="16">
        <f>(Levels!U158/Levels!U157-1-Levels!$Y157)*$Y$2</f>
        <v>1.0562946170821607E-2</v>
      </c>
      <c r="V157" s="16">
        <f>(Levels!V158/Levels!V157-1-Levels!$Y157)</f>
        <v>5.8175339482357868E-2</v>
      </c>
    </row>
    <row r="158" spans="1:22" x14ac:dyDescent="0.35">
      <c r="A158" s="23">
        <v>44286</v>
      </c>
      <c r="B158" s="16">
        <f>Levels!B159/Levels!B158-1-Levels!$Y158</f>
        <v>-6.8914947920727387E-3</v>
      </c>
      <c r="C158" s="16">
        <f>Levels!C159/Levels!C158-1-Levels!$Y158</f>
        <v>-4.9885360787261246E-2</v>
      </c>
      <c r="D158" s="16">
        <f>Levels!D159/Levels!D158-1-Levels!$Y158</f>
        <v>6.1360214733587881E-3</v>
      </c>
      <c r="E158" s="16">
        <f>Levels!E159/Levels!E158-1-Levels!$Y158</f>
        <v>-7.5752868716227884E-4</v>
      </c>
      <c r="F158" s="16">
        <f>Levels!F159/Levels!F158-1-Levels!$Y158</f>
        <v>-1.0938429990530851E-2</v>
      </c>
      <c r="G158" s="16">
        <f>Levels!G159/Levels!G158-1-Levels!$Y158</f>
        <v>-1.4277168838373822E-2</v>
      </c>
      <c r="H158" s="16">
        <f>Levels!H159/Levels!H158-1-Levels!$Y158</f>
        <v>-1.8580777955119476E-2</v>
      </c>
      <c r="I158" s="16">
        <f>Levels!I159/Levels!I158-1-Levels!$Y158</f>
        <v>-1.4881613065616528E-2</v>
      </c>
      <c r="J158" s="16">
        <f>Levels!J159/Levels!J158-1-Levels!$Y158</f>
        <v>3.2021612919677089E-3</v>
      </c>
      <c r="K158" s="16">
        <f>Levels!K159/Levels!K158-1-Levels!$Y158</f>
        <v>-1.8807852579173945E-2</v>
      </c>
      <c r="L158" s="16">
        <f>Levels!L159/Levels!L158-1-Levels!$Y158</f>
        <v>-4.5026409149777624E-3</v>
      </c>
      <c r="M158" s="16">
        <f>Levels!M159/Levels!M158-1-Levels!$Y158</f>
        <v>-5.1492310430591992E-3</v>
      </c>
      <c r="N158" s="16">
        <f>Levels!N159/Levels!N158-1-Levels!$Y158</f>
        <v>-1.1215173806159884E-2</v>
      </c>
      <c r="O158" s="16">
        <f>Levels!O159/Levels!O158-1-Levels!$Y158</f>
        <v>-1.6585881277102477E-3</v>
      </c>
      <c r="P158" s="16">
        <f>Levels!P159/Levels!P158-1-Levels!$Y158</f>
        <v>-4.7169074669680677E-3</v>
      </c>
      <c r="Q158" s="16">
        <f>Levels!Q159/Levels!Q158-1-Levels!$Y158</f>
        <v>-7.7280315823080592E-4</v>
      </c>
      <c r="R158" s="16">
        <f>Levels!R159/Levels!R158-1-Levels!$Y158</f>
        <v>1.0129489662964453E-3</v>
      </c>
      <c r="S158" s="16">
        <f>Levels!S159/Levels!S158-1-Levels!$Y158</f>
        <v>-1.8253483127439463E-3</v>
      </c>
      <c r="T158" s="16">
        <f>Levels!T159/Levels!T158-1-Levels!$Y158</f>
        <v>-1.073754456565712E-2</v>
      </c>
      <c r="U158" s="16">
        <f>(Levels!U159/Levels!U158-1-Levels!$Y158)*$Y$2</f>
        <v>2.4783219665922472E-2</v>
      </c>
      <c r="V158" s="16">
        <f>(Levels!V159/Levels!V158-1-Levels!$Y158)</f>
        <v>3.6930025597688543E-2</v>
      </c>
    </row>
    <row r="159" spans="1:22" x14ac:dyDescent="0.35">
      <c r="A159" s="23">
        <v>44316</v>
      </c>
      <c r="B159" s="16">
        <f>Levels!B160/Levels!B159-1-Levels!$Y159</f>
        <v>3.741043831856139E-3</v>
      </c>
      <c r="C159" s="16">
        <f>Levels!C160/Levels!C159-1-Levels!$Y159</f>
        <v>2.3257646592534487E-2</v>
      </c>
      <c r="D159" s="16">
        <f>Levels!D160/Levels!D159-1-Levels!$Y159</f>
        <v>8.3727742210339962E-3</v>
      </c>
      <c r="E159" s="16">
        <f>Levels!E160/Levels!E159-1-Levels!$Y159</f>
        <v>-1.2685464194830409E-3</v>
      </c>
      <c r="F159" s="16">
        <f>Levels!F160/Levels!F159-1-Levels!$Y159</f>
        <v>6.6218837103064754E-3</v>
      </c>
      <c r="G159" s="16">
        <f>Levels!G160/Levels!G159-1-Levels!$Y159</f>
        <v>1.0812551092404643E-2</v>
      </c>
      <c r="H159" s="16">
        <f>Levels!H160/Levels!H159-1-Levels!$Y159</f>
        <v>1.082777105397259E-2</v>
      </c>
      <c r="I159" s="16">
        <f>Levels!I160/Levels!I159-1-Levels!$Y159</f>
        <v>1.0955283850369701E-2</v>
      </c>
      <c r="J159" s="16">
        <f>Levels!J160/Levels!J159-1-Levels!$Y159</f>
        <v>9.8249778192966986E-3</v>
      </c>
      <c r="K159" s="16">
        <f>Levels!K160/Levels!K159-1-Levels!$Y159</f>
        <v>2.4018485132548451E-2</v>
      </c>
      <c r="L159" s="16">
        <f>Levels!L160/Levels!L159-1-Levels!$Y159</f>
        <v>3.2626916326086164E-3</v>
      </c>
      <c r="M159" s="16">
        <f>Levels!M160/Levels!M159-1-Levels!$Y159</f>
        <v>5.5031550058477485E-3</v>
      </c>
      <c r="N159" s="16">
        <f>Levels!N160/Levels!N159-1-Levels!$Y159</f>
        <v>9.3946745040773827E-3</v>
      </c>
      <c r="O159" s="16">
        <f>Levels!O160/Levels!O159-1-Levels!$Y159</f>
        <v>1.4008642459331089E-3</v>
      </c>
      <c r="P159" s="16">
        <f>Levels!P160/Levels!P159-1-Levels!$Y159</f>
        <v>-2.4853592991191942E-3</v>
      </c>
      <c r="Q159" s="16">
        <f>Levels!Q160/Levels!Q159-1-Levels!$Y159</f>
        <v>9.7212546936975563E-4</v>
      </c>
      <c r="R159" s="16">
        <f>Levels!R160/Levels!R159-1-Levels!$Y159</f>
        <v>3.9091627602305667E-3</v>
      </c>
      <c r="S159" s="16">
        <f>Levels!S160/Levels!S159-1-Levels!$Y159</f>
        <v>-1.0070523859893044E-3</v>
      </c>
      <c r="T159" s="16">
        <f>Levels!T160/Levels!T159-1-Levels!$Y159</f>
        <v>9.5959918390515764E-3</v>
      </c>
      <c r="U159" s="16">
        <f>(Levels!U160/Levels!U159-1-Levels!$Y159)*$Y$2</f>
        <v>1.3162466700306296E-3</v>
      </c>
      <c r="V159" s="16">
        <f>(Levels!V160/Levels!V159-1-Levels!$Y159)</f>
        <v>2.3653214593299943E-4</v>
      </c>
    </row>
    <row r="160" spans="1:22" x14ac:dyDescent="0.35">
      <c r="A160" s="23">
        <v>44347</v>
      </c>
      <c r="B160" s="16">
        <f>Levels!B161/Levels!B160-1-Levels!$Y160</f>
        <v>3.1853390199754195E-3</v>
      </c>
      <c r="C160" s="16">
        <f>Levels!C161/Levels!C160-1-Levels!$Y160</f>
        <v>4.4985450606584987E-3</v>
      </c>
      <c r="D160" s="16">
        <f>Levels!D161/Levels!D160-1-Levels!$Y160</f>
        <v>2.9754099480234775E-3</v>
      </c>
      <c r="E160" s="16">
        <f>Levels!E161/Levels!E160-1-Levels!$Y160</f>
        <v>1.3139885276163277E-3</v>
      </c>
      <c r="F160" s="16">
        <f>Levels!F161/Levels!F160-1-Levels!$Y160</f>
        <v>1.5060970256219885E-3</v>
      </c>
      <c r="G160" s="16">
        <f>Levels!G161/Levels!G160-1-Levels!$Y160</f>
        <v>5.9675138889336843E-3</v>
      </c>
      <c r="H160" s="16">
        <f>Levels!H161/Levels!H160-1-Levels!$Y160</f>
        <v>6.6147542549517269E-3</v>
      </c>
      <c r="I160" s="16">
        <f>Levels!I161/Levels!I160-1-Levels!$Y160</f>
        <v>8.4378103798985471E-3</v>
      </c>
      <c r="J160" s="16">
        <f>Levels!J161/Levels!J160-1-Levels!$Y160</f>
        <v>3.0086332143866024E-3</v>
      </c>
      <c r="K160" s="16">
        <f>Levels!K161/Levels!K160-1-Levels!$Y160</f>
        <v>2.1784808688516399E-3</v>
      </c>
      <c r="L160" s="16">
        <f>Levels!L161/Levels!L160-1-Levels!$Y160</f>
        <v>2.7754316637171872E-3</v>
      </c>
      <c r="M160" s="16">
        <f>Levels!M161/Levels!M160-1-Levels!$Y160</f>
        <v>-1.760329103553171E-3</v>
      </c>
      <c r="N160" s="16">
        <f>Levels!N161/Levels!N160-1-Levels!$Y160</f>
        <v>7.1282000634034226E-3</v>
      </c>
      <c r="O160" s="16">
        <f>Levels!O161/Levels!O160-1-Levels!$Y160</f>
        <v>2.1533070105257401E-3</v>
      </c>
      <c r="P160" s="16">
        <f>Levels!P161/Levels!P160-1-Levels!$Y160</f>
        <v>-5.0904552147817972E-3</v>
      </c>
      <c r="Q160" s="16">
        <f>Levels!Q161/Levels!Q160-1-Levels!$Y160</f>
        <v>-2.85009278219861E-3</v>
      </c>
      <c r="R160" s="16">
        <f>Levels!R161/Levels!R160-1-Levels!$Y160</f>
        <v>5.3853653759252662E-3</v>
      </c>
      <c r="S160" s="16">
        <f>Levels!S161/Levels!S160-1-Levels!$Y160</f>
        <v>-5.7620552673203207E-3</v>
      </c>
      <c r="T160" s="16">
        <f>Levels!T161/Levels!T160-1-Levels!$Y160</f>
        <v>7.3178448340271984E-3</v>
      </c>
      <c r="U160" s="16">
        <f>(Levels!U161/Levels!U160-1-Levels!$Y160)*$Y$2</f>
        <v>2.1981595222637294E-2</v>
      </c>
      <c r="V160" s="16">
        <f>(Levels!V161/Levels!V160-1-Levels!$Y160)</f>
        <v>3.5646041888391267E-2</v>
      </c>
    </row>
    <row r="161" spans="1:22" x14ac:dyDescent="0.35">
      <c r="A161" s="23">
        <v>44377</v>
      </c>
      <c r="B161" s="16">
        <f>Levels!B162/Levels!B161-1-Levels!$Y161</f>
        <v>-7.4466003565498706E-4</v>
      </c>
      <c r="C161" s="16">
        <f>Levels!C162/Levels!C161-1-Levels!$Y161</f>
        <v>3.5738427410997087E-2</v>
      </c>
      <c r="D161" s="16">
        <f>Levels!D162/Levels!D161-1-Levels!$Y161</f>
        <v>2.738017176707519E-3</v>
      </c>
      <c r="E161" s="16">
        <f>Levels!E162/Levels!E161-1-Levels!$Y161</f>
        <v>3.734906040029129E-3</v>
      </c>
      <c r="F161" s="16">
        <f>Levels!F162/Levels!F161-1-Levels!$Y161</f>
        <v>3.4753628399748493E-3</v>
      </c>
      <c r="G161" s="16">
        <f>Levels!G162/Levels!G161-1-Levels!$Y161</f>
        <v>1.2453870072344664E-2</v>
      </c>
      <c r="H161" s="16">
        <f>Levels!H162/Levels!H161-1-Levels!$Y161</f>
        <v>1.4212663700152506E-2</v>
      </c>
      <c r="I161" s="16">
        <f>Levels!I162/Levels!I161-1-Levels!$Y161</f>
        <v>1.7292648952343725E-2</v>
      </c>
      <c r="J161" s="16">
        <f>Levels!J162/Levels!J161-1-Levels!$Y161</f>
        <v>1.1513685128536011E-2</v>
      </c>
      <c r="K161" s="16">
        <f>Levels!K162/Levels!K161-1-Levels!$Y161</f>
        <v>3.6839468583195645E-2</v>
      </c>
      <c r="L161" s="16">
        <f>Levels!L162/Levels!L161-1-Levels!$Y161</f>
        <v>6.1422256925098839E-3</v>
      </c>
      <c r="M161" s="16">
        <f>Levels!M162/Levels!M161-1-Levels!$Y161</f>
        <v>-4.2454799585300851E-4</v>
      </c>
      <c r="N161" s="16">
        <f>Levels!N162/Levels!N161-1-Levels!$Y161</f>
        <v>2.0116863442933841E-3</v>
      </c>
      <c r="O161" s="16">
        <f>Levels!O162/Levels!O161-1-Levels!$Y161</f>
        <v>-1.9466670177936685E-4</v>
      </c>
      <c r="P161" s="16">
        <f>Levels!P162/Levels!P161-1-Levels!$Y161</f>
        <v>-3.1279124778252898E-3</v>
      </c>
      <c r="Q161" s="16">
        <f>Levels!Q162/Levels!Q161-1-Levels!$Y161</f>
        <v>-1.2918218796322822E-3</v>
      </c>
      <c r="R161" s="16">
        <f>Levels!R162/Levels!R161-1-Levels!$Y161</f>
        <v>3.9142748225609036E-3</v>
      </c>
      <c r="S161" s="16">
        <f>Levels!S162/Levels!S161-1-Levels!$Y161</f>
        <v>-2.6678178253085605E-3</v>
      </c>
      <c r="T161" s="16">
        <f>Levels!T162/Levels!T161-1-Levels!$Y161</f>
        <v>2.1482676476307638E-3</v>
      </c>
      <c r="U161" s="16">
        <f>(Levels!U162/Levels!U161-1-Levels!$Y161)*$Y$2</f>
        <v>-4.3791783099723376E-2</v>
      </c>
      <c r="V161" s="16">
        <f>(Levels!V162/Levels!V161-1-Levels!$Y161)</f>
        <v>3.713727394264188E-2</v>
      </c>
    </row>
    <row r="162" spans="1:22" x14ac:dyDescent="0.35">
      <c r="A162" s="23">
        <v>44408</v>
      </c>
      <c r="B162" s="16">
        <f>Levels!B163/Levels!B162-1-Levels!$Y162</f>
        <v>7.7497834380462205E-3</v>
      </c>
      <c r="C162" s="16">
        <f>Levels!C163/Levels!C162-1-Levels!$Y162</f>
        <v>3.6440116802438416E-2</v>
      </c>
      <c r="D162" s="16">
        <f>Levels!D163/Levels!D162-1-Levels!$Y162</f>
        <v>8.2575796814461366E-3</v>
      </c>
      <c r="E162" s="16">
        <f>Levels!E163/Levels!E162-1-Levels!$Y162</f>
        <v>1.61137675108185E-2</v>
      </c>
      <c r="F162" s="16">
        <f>Levels!F163/Levels!F162-1-Levels!$Y162</f>
        <v>1.0302399636260784E-2</v>
      </c>
      <c r="G162" s="16">
        <f>Levels!G163/Levels!G162-1-Levels!$Y162</f>
        <v>1.252897096219785E-2</v>
      </c>
      <c r="H162" s="16">
        <f>Levels!H163/Levels!H162-1-Levels!$Y162</f>
        <v>1.2975903704352199E-2</v>
      </c>
      <c r="I162" s="16">
        <f>Levels!I163/Levels!I162-1-Levels!$Y162</f>
        <v>1.3429179071402286E-2</v>
      </c>
      <c r="J162" s="16">
        <f>Levels!J163/Levels!J162-1-Levels!$Y162</f>
        <v>2.4150875934714211E-3</v>
      </c>
      <c r="K162" s="16">
        <f>Levels!K163/Levels!K162-1-Levels!$Y162</f>
        <v>2.1033209434912603E-2</v>
      </c>
      <c r="L162" s="16">
        <f>Levels!L163/Levels!L162-1-Levels!$Y162</f>
        <v>1.0376327756013382E-2</v>
      </c>
      <c r="M162" s="16">
        <f>Levels!M163/Levels!M162-1-Levels!$Y162</f>
        <v>6.2143363785795991E-3</v>
      </c>
      <c r="N162" s="16">
        <f>Levels!N163/Levels!N162-1-Levels!$Y162</f>
        <v>9.2916898995891728E-3</v>
      </c>
      <c r="O162" s="16">
        <f>Levels!O163/Levels!O162-1-Levels!$Y162</f>
        <v>2.0142269750160757E-3</v>
      </c>
      <c r="P162" s="16">
        <f>Levels!P163/Levels!P162-1-Levels!$Y162</f>
        <v>1.3305983474267702E-3</v>
      </c>
      <c r="Q162" s="16">
        <f>Levels!Q163/Levels!Q162-1-Levels!$Y162</f>
        <v>2.9213447990907859E-3</v>
      </c>
      <c r="R162" s="16">
        <f>Levels!R163/Levels!R162-1-Levels!$Y162</f>
        <v>-2.0631007499549714E-4</v>
      </c>
      <c r="S162" s="16">
        <f>Levels!S163/Levels!S162-1-Levels!$Y162</f>
        <v>2.5568055402980239E-3</v>
      </c>
      <c r="T162" s="16">
        <f>Levels!T163/Levels!T162-1-Levels!$Y162</f>
        <v>9.3594173388080737E-3</v>
      </c>
      <c r="U162" s="16">
        <f>(Levels!U163/Levels!U162-1-Levels!$Y162)*$Y$2</f>
        <v>2.5571382419476405E-2</v>
      </c>
      <c r="V162" s="16">
        <f>(Levels!V163/Levels!V162-1-Levels!$Y162)</f>
        <v>1.6045696576433732E-2</v>
      </c>
    </row>
    <row r="163" spans="1:22" x14ac:dyDescent="0.35">
      <c r="A163" s="23">
        <v>44439</v>
      </c>
      <c r="B163" s="16">
        <f>Levels!B164/Levels!B163-1-Levels!$Y163</f>
        <v>-1.6954056539287832E-3</v>
      </c>
      <c r="C163" s="16">
        <f>Levels!C164/Levels!C163-1-Levels!$Y163</f>
        <v>-2.1403258626451205E-3</v>
      </c>
      <c r="D163" s="16">
        <f>Levels!D164/Levels!D163-1-Levels!$Y163</f>
        <v>-3.7057300545954019E-3</v>
      </c>
      <c r="E163" s="16">
        <f>Levels!E164/Levels!E163-1-Levels!$Y163</f>
        <v>-2.6622860492192535E-3</v>
      </c>
      <c r="F163" s="16">
        <f>Levels!F164/Levels!F163-1-Levels!$Y163</f>
        <v>-1.7033351159700949E-3</v>
      </c>
      <c r="G163" s="16">
        <f>Levels!G164/Levels!G163-1-Levels!$Y163</f>
        <v>-2.2690037053875178E-3</v>
      </c>
      <c r="H163" s="16">
        <f>Levels!H164/Levels!H163-1-Levels!$Y163</f>
        <v>-2.9689960135441673E-3</v>
      </c>
      <c r="I163" s="16">
        <f>Levels!I164/Levels!I163-1-Levels!$Y163</f>
        <v>-2.1609738528132194E-3</v>
      </c>
      <c r="J163" s="16">
        <f>Levels!J164/Levels!J163-1-Levels!$Y163</f>
        <v>4.816490393388273E-3</v>
      </c>
      <c r="K163" s="16">
        <f>Levels!K164/Levels!K163-1-Levels!$Y163</f>
        <v>8.7275953750838298E-3</v>
      </c>
      <c r="L163" s="16">
        <f>Levels!L164/Levels!L163-1-Levels!$Y163</f>
        <v>-2.725240695629072E-4</v>
      </c>
      <c r="M163" s="16">
        <f>Levels!M164/Levels!M163-1-Levels!$Y163</f>
        <v>-1.6694821708765906E-3</v>
      </c>
      <c r="N163" s="16">
        <f>Levels!N164/Levels!N163-1-Levels!$Y163</f>
        <v>-1.8542790976842083E-3</v>
      </c>
      <c r="O163" s="16">
        <f>Levels!O164/Levels!O163-1-Levels!$Y163</f>
        <v>-8.896547124959131E-5</v>
      </c>
      <c r="P163" s="16">
        <f>Levels!P164/Levels!P163-1-Levels!$Y163</f>
        <v>3.7960677820447764E-3</v>
      </c>
      <c r="Q163" s="16">
        <f>Levels!Q164/Levels!Q163-1-Levels!$Y163</f>
        <v>5.4753241626734894E-3</v>
      </c>
      <c r="R163" s="16">
        <f>Levels!R164/Levels!R163-1-Levels!$Y163</f>
        <v>3.9638690541348165E-3</v>
      </c>
      <c r="S163" s="16">
        <f>Levels!S164/Levels!S163-1-Levels!$Y163</f>
        <v>2.9024793252308001E-3</v>
      </c>
      <c r="T163" s="16">
        <f>Levels!T164/Levels!T163-1-Levels!$Y163</f>
        <v>-2.0370489821810445E-3</v>
      </c>
      <c r="U163" s="16">
        <f>(Levels!U164/Levels!U163-1-Levels!$Y163)*$Y$2</f>
        <v>-3.6669387337346745E-2</v>
      </c>
      <c r="V163" s="16">
        <f>(Levels!V164/Levels!V163-1-Levels!$Y163)</f>
        <v>-4.3168382639529046E-2</v>
      </c>
    </row>
    <row r="164" spans="1:22" x14ac:dyDescent="0.35">
      <c r="A164" s="23">
        <v>44469</v>
      </c>
      <c r="B164" s="16">
        <f>Levels!B165/Levels!B164-1-Levels!$Y164</f>
        <v>-6.1631287790776534E-3</v>
      </c>
      <c r="C164" s="16">
        <f>Levels!C165/Levels!C164-1-Levels!$Y164</f>
        <v>-2.8662610668234834E-2</v>
      </c>
      <c r="D164" s="16">
        <f>Levels!D165/Levels!D164-1-Levels!$Y164</f>
        <v>-7.2508099318667751E-3</v>
      </c>
      <c r="E164" s="16">
        <f>Levels!E165/Levels!E164-1-Levels!$Y164</f>
        <v>-1.390892176461922E-2</v>
      </c>
      <c r="F164" s="16">
        <f>Levels!F165/Levels!F164-1-Levels!$Y164</f>
        <v>-7.8035584358459031E-3</v>
      </c>
      <c r="G164" s="16">
        <f>Levels!G165/Levels!G164-1-Levels!$Y164</f>
        <v>-1.0190410247861936E-2</v>
      </c>
      <c r="H164" s="16">
        <f>Levels!H165/Levels!H164-1-Levels!$Y164</f>
        <v>-1.0993801848354301E-2</v>
      </c>
      <c r="I164" s="16">
        <f>Levels!I165/Levels!I164-1-Levels!$Y164</f>
        <v>-1.0871831804889931E-2</v>
      </c>
      <c r="J164" s="16">
        <f>Levels!J165/Levels!J164-1-Levels!$Y164</f>
        <v>3.397651892314002E-4</v>
      </c>
      <c r="K164" s="16">
        <f>Levels!K165/Levels!K164-1-Levels!$Y164</f>
        <v>-6.2145289160009387E-3</v>
      </c>
      <c r="L164" s="16">
        <f>Levels!L165/Levels!L164-1-Levels!$Y164</f>
        <v>-9.20234620311422E-3</v>
      </c>
      <c r="M164" s="16">
        <f>Levels!M165/Levels!M164-1-Levels!$Y164</f>
        <v>-3.6435827402629961E-3</v>
      </c>
      <c r="N164" s="16">
        <f>Levels!N165/Levels!N164-1-Levels!$Y164</f>
        <v>-7.7393328676206297E-3</v>
      </c>
      <c r="O164" s="16">
        <f>Levels!O165/Levels!O164-1-Levels!$Y164</f>
        <v>-1.4955658543452932E-3</v>
      </c>
      <c r="P164" s="16">
        <f>Levels!P165/Levels!P164-1-Levels!$Y164</f>
        <v>4.9990248716436092E-3</v>
      </c>
      <c r="Q164" s="16">
        <f>Levels!Q165/Levels!Q164-1-Levels!$Y164</f>
        <v>6.0477292962242135E-3</v>
      </c>
      <c r="R164" s="16">
        <f>Levels!R165/Levels!R164-1-Levels!$Y164</f>
        <v>5.7807004498005021E-3</v>
      </c>
      <c r="S164" s="16">
        <f>Levels!S165/Levels!S164-1-Levels!$Y164</f>
        <v>1.3376316791742227E-3</v>
      </c>
      <c r="T164" s="16">
        <f>Levels!T165/Levels!T164-1-Levels!$Y164</f>
        <v>-7.6152345386331088E-3</v>
      </c>
      <c r="U164" s="16">
        <f>(Levels!U165/Levels!U164-1-Levels!$Y164)*$Y$2</f>
        <v>5.0487730194706246E-2</v>
      </c>
      <c r="V164" s="16">
        <f>(Levels!V165/Levels!V164-1-Levels!$Y164)</f>
        <v>6.0536742952523204E-2</v>
      </c>
    </row>
    <row r="165" spans="1:22" x14ac:dyDescent="0.35">
      <c r="A165" s="23">
        <v>44500</v>
      </c>
      <c r="B165" s="16">
        <f>Levels!B166/Levels!B165-1-Levels!$Y165</f>
        <v>-5.7467206140033866E-3</v>
      </c>
      <c r="C165" s="16">
        <f>Levels!C166/Levels!C165-1-Levels!$Y165</f>
        <v>1.856125513516127E-2</v>
      </c>
      <c r="D165" s="16">
        <f>Levels!D166/Levels!D165-1-Levels!$Y165</f>
        <v>-2.9548606587772586E-3</v>
      </c>
      <c r="E165" s="16">
        <f>Levels!E166/Levels!E165-1-Levels!$Y165</f>
        <v>-8.0397795382429749E-3</v>
      </c>
      <c r="F165" s="16">
        <f>Levels!F166/Levels!F165-1-Levels!$Y165</f>
        <v>-1.4081331788232676E-3</v>
      </c>
      <c r="G165" s="16">
        <f>Levels!G166/Levels!G165-1-Levels!$Y165</f>
        <v>3.1688988508835614E-3</v>
      </c>
      <c r="H165" s="16">
        <f>Levels!H166/Levels!H165-1-Levels!$Y165</f>
        <v>1.6993766027402213E-3</v>
      </c>
      <c r="I165" s="16">
        <f>Levels!I166/Levels!I165-1-Levels!$Y165</f>
        <v>2.6963141362486009E-3</v>
      </c>
      <c r="J165" s="16">
        <f>Levels!J166/Levels!J165-1-Levels!$Y165</f>
        <v>-2.2612558658803295E-3</v>
      </c>
      <c r="K165" s="16">
        <f>Levels!K166/Levels!K165-1-Levels!$Y165</f>
        <v>4.7230375926483603E-3</v>
      </c>
      <c r="L165" s="16">
        <f>Levels!L166/Levels!L165-1-Levels!$Y165</f>
        <v>-3.3624587805031192E-3</v>
      </c>
      <c r="M165" s="16">
        <f>Levels!M166/Levels!M165-1-Levels!$Y165</f>
        <v>-1.933072667670066E-3</v>
      </c>
      <c r="N165" s="16">
        <f>Levels!N166/Levels!N165-1-Levels!$Y165</f>
        <v>-3.9434266731365186E-3</v>
      </c>
      <c r="O165" s="16">
        <f>Levels!O166/Levels!O165-1-Levels!$Y165</f>
        <v>-3.4901149604594783E-3</v>
      </c>
      <c r="P165" s="16">
        <f>Levels!P166/Levels!P165-1-Levels!$Y165</f>
        <v>3.5110845270720503E-3</v>
      </c>
      <c r="Q165" s="16">
        <f>Levels!Q166/Levels!Q165-1-Levels!$Y165</f>
        <v>4.7023411443831709E-3</v>
      </c>
      <c r="R165" s="16">
        <f>Levels!R166/Levels!R165-1-Levels!$Y165</f>
        <v>2.6313724181195042E-3</v>
      </c>
      <c r="S165" s="16">
        <f>Levels!S166/Levels!S165-1-Levels!$Y165</f>
        <v>2.8286467478344512E-4</v>
      </c>
      <c r="T165" s="16">
        <f>Levels!T166/Levels!T165-1-Levels!$Y165</f>
        <v>-3.9294502595975667E-3</v>
      </c>
      <c r="U165" s="16">
        <f>(Levels!U166/Levels!U165-1-Levels!$Y165)*$Y$2</f>
        <v>-5.1376238630455574E-2</v>
      </c>
      <c r="V165" s="16">
        <f>(Levels!V166/Levels!V165-1-Levels!$Y165)</f>
        <v>3.3624307850430579E-3</v>
      </c>
    </row>
    <row r="166" spans="1:22" x14ac:dyDescent="0.35">
      <c r="A166" s="23">
        <v>44530</v>
      </c>
      <c r="B166" s="16">
        <f>Levels!B167/Levels!B166-1-Levels!$Y166</f>
        <v>2.5676904648284093E-3</v>
      </c>
      <c r="C166" s="16">
        <f>Levels!C167/Levels!C166-1-Levels!$Y166</f>
        <v>2.6495200659495177E-2</v>
      </c>
      <c r="D166" s="16">
        <f>Levels!D167/Levels!D166-1-Levels!$Y166</f>
        <v>8.4672861445540537E-3</v>
      </c>
      <c r="E166" s="16">
        <f>Levels!E167/Levels!E166-1-Levels!$Y166</f>
        <v>1.403667112797069E-2</v>
      </c>
      <c r="F166" s="16">
        <f>Levels!F167/Levels!F166-1-Levels!$Y166</f>
        <v>3.8363839222486096E-3</v>
      </c>
      <c r="G166" s="16">
        <f>Levels!G167/Levels!G166-1-Levels!$Y166</f>
        <v>2.6333761581234238E-3</v>
      </c>
      <c r="H166" s="16">
        <f>Levels!H167/Levels!H166-1-Levels!$Y166</f>
        <v>1.5455460164590651E-3</v>
      </c>
      <c r="I166" s="16">
        <f>Levels!I167/Levels!I166-1-Levels!$Y166</f>
        <v>-5.8658585139037545E-4</v>
      </c>
      <c r="J166" s="16">
        <f>Levels!J167/Levels!J166-1-Levels!$Y166</f>
        <v>-9.5591172853703998E-3</v>
      </c>
      <c r="K166" s="16">
        <f>Levels!K167/Levels!K166-1-Levels!$Y166</f>
        <v>-1.243367744874524E-2</v>
      </c>
      <c r="L166" s="16">
        <f>Levels!L167/Levels!L166-1-Levels!$Y166</f>
        <v>3.0528957335491658E-3</v>
      </c>
      <c r="M166" s="16">
        <f>Levels!M167/Levels!M166-1-Levels!$Y166</f>
        <v>-9.7487913766880485E-4</v>
      </c>
      <c r="N166" s="16">
        <f>Levels!N167/Levels!N166-1-Levels!$Y166</f>
        <v>-9.8249086744939262E-4</v>
      </c>
      <c r="O166" s="16">
        <f>Levels!O167/Levels!O166-1-Levels!$Y166</f>
        <v>-7.1337852589525852E-4</v>
      </c>
      <c r="P166" s="16">
        <f>Levels!P167/Levels!P166-1-Levels!$Y166</f>
        <v>2.6691103431248919E-3</v>
      </c>
      <c r="Q166" s="16">
        <f>Levels!Q167/Levels!Q166-1-Levels!$Y166</f>
        <v>3.2053433278431687E-3</v>
      </c>
      <c r="R166" s="16">
        <f>Levels!R167/Levels!R166-1-Levels!$Y166</f>
        <v>1.5726673014970771E-5</v>
      </c>
      <c r="S166" s="16">
        <f>Levels!S167/Levels!S166-1-Levels!$Y166</f>
        <v>-6.2932387082442753E-3</v>
      </c>
      <c r="T166" s="16">
        <f>Levels!T167/Levels!T166-1-Levels!$Y166</f>
        <v>-1.2075819795881459E-3</v>
      </c>
      <c r="U166" s="16">
        <f>(Levels!U167/Levels!U166-1-Levels!$Y166)*$Y$2</f>
        <v>2.5266650488770637E-2</v>
      </c>
      <c r="V166" s="16">
        <f>(Levels!V167/Levels!V166-1-Levels!$Y166)</f>
        <v>4.9508416348300832E-2</v>
      </c>
    </row>
    <row r="167" spans="1:22" x14ac:dyDescent="0.35">
      <c r="A167" s="23">
        <v>44561</v>
      </c>
      <c r="B167" s="16">
        <f>Levels!B168/Levels!B167-1-Levels!$Y167</f>
        <v>-2.6832323946591741E-3</v>
      </c>
      <c r="C167" s="16">
        <f>Levels!C168/Levels!C167-1-Levels!$Y167</f>
        <v>-1.4261992386279565E-2</v>
      </c>
      <c r="D167" s="16">
        <f>Levels!D168/Levels!D167-1-Levels!$Y167</f>
        <v>1.571139942297517E-3</v>
      </c>
      <c r="E167" s="16">
        <f>Levels!E168/Levels!E167-1-Levels!$Y167</f>
        <v>-7.2830576465255925E-3</v>
      </c>
      <c r="F167" s="16">
        <f>Levels!F168/Levels!F167-1-Levels!$Y167</f>
        <v>-3.3753993679320748E-3</v>
      </c>
      <c r="G167" s="16">
        <f>Levels!G168/Levels!G167-1-Levels!$Y167</f>
        <v>-3.5840021036396275E-3</v>
      </c>
      <c r="H167" s="16">
        <f>Levels!H168/Levels!H167-1-Levels!$Y167</f>
        <v>-1.9219707896512839E-3</v>
      </c>
      <c r="I167" s="16">
        <f>Levels!I168/Levels!I167-1-Levels!$Y167</f>
        <v>1.0555366657034604E-3</v>
      </c>
      <c r="J167" s="16">
        <f>Levels!J168/Levels!J167-1-Levels!$Y167</f>
        <v>1.8374544815777716E-2</v>
      </c>
      <c r="K167" s="16">
        <f>Levels!K168/Levels!K167-1-Levels!$Y167</f>
        <v>2.3086122543325205E-2</v>
      </c>
      <c r="L167" s="16">
        <f>Levels!L168/Levels!L167-1-Levels!$Y167</f>
        <v>-7.8382765367446261E-4</v>
      </c>
      <c r="M167" s="16">
        <f>Levels!M168/Levels!M167-1-Levels!$Y167</f>
        <v>-9.419933865940644E-4</v>
      </c>
      <c r="N167" s="16">
        <f>Levels!N168/Levels!N167-1-Levels!$Y167</f>
        <v>-1.5849065213028313E-3</v>
      </c>
      <c r="O167" s="16">
        <f>Levels!O168/Levels!O167-1-Levels!$Y167</f>
        <v>-1.6724165885668718E-3</v>
      </c>
      <c r="P167" s="16">
        <f>Levels!P168/Levels!P167-1-Levels!$Y167</f>
        <v>2.5199461825220482E-5</v>
      </c>
      <c r="Q167" s="16">
        <f>Levels!Q168/Levels!Q167-1-Levels!$Y167</f>
        <v>5.6066379092745144E-4</v>
      </c>
      <c r="R167" s="16">
        <f>Levels!R168/Levels!R167-1-Levels!$Y167</f>
        <v>4.8161196028839726E-3</v>
      </c>
      <c r="S167" s="16">
        <f>Levels!S168/Levels!S167-1-Levels!$Y167</f>
        <v>2.4206644707303049E-4</v>
      </c>
      <c r="T167" s="16">
        <f>Levels!T168/Levels!T167-1-Levels!$Y167</f>
        <v>-1.4983610601951858E-3</v>
      </c>
      <c r="U167" s="16">
        <f>(Levels!U168/Levels!U167-1-Levels!$Y167)*$Y$2</f>
        <v>-0.11595124239050122</v>
      </c>
      <c r="V167" s="16">
        <f>(Levels!V168/Levels!V167-1-Levels!$Y167)</f>
        <v>-4.4560192097773399E-2</v>
      </c>
    </row>
    <row r="168" spans="1:22" x14ac:dyDescent="0.35">
      <c r="A168" s="23">
        <v>44592</v>
      </c>
      <c r="B168" s="16">
        <f>Levels!B169/Levels!B168-1-Levels!$Y168</f>
        <v>-1.2880364932064681E-2</v>
      </c>
      <c r="C168" s="16">
        <f>Levels!C169/Levels!C168-1-Levels!$Y168</f>
        <v>-4.1423734942655943E-2</v>
      </c>
      <c r="D168" s="16">
        <f>Levels!D169/Levels!D168-1-Levels!$Y168</f>
        <v>-2.7410186392698321E-2</v>
      </c>
      <c r="E168" s="16">
        <f>Levels!E169/Levels!E168-1-Levels!$Y168</f>
        <v>-1.3487432782312347E-2</v>
      </c>
      <c r="F168" s="16">
        <f>Levels!F169/Levels!F168-1-Levels!$Y168</f>
        <v>-1.7190894226054021E-2</v>
      </c>
      <c r="G168" s="16">
        <f>Levels!G169/Levels!G168-1-Levels!$Y168</f>
        <v>-2.8597142802009423E-2</v>
      </c>
      <c r="H168" s="16">
        <f>Levels!H169/Levels!H168-1-Levels!$Y168</f>
        <v>-3.1193842897851543E-2</v>
      </c>
      <c r="I168" s="16">
        <f>Levels!I169/Levels!I168-1-Levels!$Y168</f>
        <v>-3.4848848309255387E-2</v>
      </c>
      <c r="J168" s="16">
        <f>Levels!J169/Levels!J168-1-Levels!$Y168</f>
        <v>-2.4900314588926054E-2</v>
      </c>
      <c r="K168" s="16">
        <f>Levels!K169/Levels!K168-1-Levels!$Y168</f>
        <v>-6.0352584525300457E-2</v>
      </c>
      <c r="L168" s="16">
        <f>Levels!L169/Levels!L168-1-Levels!$Y168</f>
        <v>-1.9249112673591751E-2</v>
      </c>
      <c r="M168" s="16">
        <f>Levels!M169/Levels!M168-1-Levels!$Y168</f>
        <v>-1.4867904924961262E-2</v>
      </c>
      <c r="N168" s="16">
        <f>Levels!N169/Levels!N168-1-Levels!$Y168</f>
        <v>-1.5908713554302678E-2</v>
      </c>
      <c r="O168" s="16">
        <f>Levels!O169/Levels!O168-1-Levels!$Y168</f>
        <v>-5.6570425309107053E-3</v>
      </c>
      <c r="P168" s="16">
        <f>Levels!P169/Levels!P168-1-Levels!$Y168</f>
        <v>-7.301510480220319E-3</v>
      </c>
      <c r="Q168" s="16">
        <f>Levels!Q169/Levels!Q168-1-Levels!$Y168</f>
        <v>-7.4552098809240741E-3</v>
      </c>
      <c r="R168" s="16">
        <f>Levels!R169/Levels!R168-1-Levels!$Y168</f>
        <v>4.0975194957559857E-3</v>
      </c>
      <c r="S168" s="16">
        <f>Levels!S169/Levels!S168-1-Levels!$Y168</f>
        <v>-5.6979054049310918E-3</v>
      </c>
      <c r="T168" s="16">
        <f>Levels!T169/Levels!T168-1-Levels!$Y168</f>
        <v>-1.5590355513100063E-2</v>
      </c>
      <c r="U168" s="16">
        <f>(Levels!U169/Levels!U168-1-Levels!$Y168)*$Y$2</f>
        <v>1.1574732526833208E-2</v>
      </c>
      <c r="V168" s="16">
        <f>(Levels!V169/Levels!V168-1-Levels!$Y168)</f>
        <v>-2.8097622126344257E-2</v>
      </c>
    </row>
    <row r="169" spans="1:22" x14ac:dyDescent="0.35">
      <c r="A169" s="23">
        <v>44620</v>
      </c>
      <c r="B169" s="16">
        <f>Levels!B170/Levels!B169-1-Levels!$Y169</f>
        <v>-4.610355134456845E-3</v>
      </c>
      <c r="C169" s="16">
        <f>Levels!C170/Levels!C169-1-Levels!$Y169</f>
        <v>-1.4771416055963105E-2</v>
      </c>
      <c r="D169" s="16">
        <f>Levels!D170/Levels!D169-1-Levels!$Y169</f>
        <v>-3.7371112363648873E-3</v>
      </c>
      <c r="E169" s="16">
        <f>Levels!E170/Levels!E169-1-Levels!$Y169</f>
        <v>-1.2730266565047277E-2</v>
      </c>
      <c r="F169" s="16">
        <f>Levels!F170/Levels!F169-1-Levels!$Y169</f>
        <v>-8.0505617495063575E-3</v>
      </c>
      <c r="G169" s="16">
        <f>Levels!G170/Levels!G169-1-Levels!$Y169</f>
        <v>-1.4504427674044806E-2</v>
      </c>
      <c r="H169" s="16">
        <f>Levels!H170/Levels!H169-1-Levels!$Y169</f>
        <v>-1.9009560653757918E-2</v>
      </c>
      <c r="I169" s="16">
        <f>Levels!I170/Levels!I169-1-Levels!$Y169</f>
        <v>-2.1532031674838636E-2</v>
      </c>
      <c r="J169" s="16">
        <f>Levels!J170/Levels!J169-1-Levels!$Y169</f>
        <v>-9.2268725413499064E-3</v>
      </c>
      <c r="K169" s="16">
        <f>Levels!K170/Levels!K169-1-Levels!$Y169</f>
        <v>-2.7634448907459919E-2</v>
      </c>
      <c r="L169" s="16">
        <f>Levels!L170/Levels!L169-1-Levels!$Y169</f>
        <v>-2.5162735228127286E-2</v>
      </c>
      <c r="M169" s="16">
        <f>Levels!M170/Levels!M169-1-Levels!$Y169</f>
        <v>-9.8233153284802421E-3</v>
      </c>
      <c r="N169" s="16">
        <f>Levels!N170/Levels!N169-1-Levels!$Y169</f>
        <v>-1.2158561463447182E-2</v>
      </c>
      <c r="O169" s="16">
        <f>Levels!O170/Levels!O169-1-Levels!$Y169</f>
        <v>-6.479893588563046E-3</v>
      </c>
      <c r="P169" s="16">
        <f>Levels!P170/Levels!P169-1-Levels!$Y169</f>
        <v>-1.0031266932322369E-2</v>
      </c>
      <c r="Q169" s="16">
        <f>Levels!Q170/Levels!Q169-1-Levels!$Y169</f>
        <v>-1.0726604804639717E-2</v>
      </c>
      <c r="R169" s="16">
        <f>Levels!R170/Levels!R169-1-Levels!$Y169</f>
        <v>-5.5300461329745865E-3</v>
      </c>
      <c r="S169" s="16">
        <f>Levels!S170/Levels!S169-1-Levels!$Y169</f>
        <v>-1.1151194630017458E-2</v>
      </c>
      <c r="T169" s="16">
        <f>Levels!T170/Levels!T169-1-Levels!$Y169</f>
        <v>-1.207352377169757E-2</v>
      </c>
      <c r="U169" s="16">
        <f>(Levels!U170/Levels!U169-1-Levels!$Y169)*$Y$2</f>
        <v>1.2727653389253479E-2</v>
      </c>
      <c r="V169" s="16">
        <f>(Levels!V170/Levels!V169-1-Levels!$Y169)</f>
        <v>5.0665046295950145E-2</v>
      </c>
    </row>
    <row r="170" spans="1:22" x14ac:dyDescent="0.35">
      <c r="A170" s="23">
        <v>44651</v>
      </c>
      <c r="B170" s="16">
        <f>Levels!B171/Levels!B170-1-Levels!$Y170</f>
        <v>-2.5515341582377449E-2</v>
      </c>
      <c r="C170" s="16">
        <f>Levels!C171/Levels!C170-1-Levels!$Y170</f>
        <v>-5.3642685520677524E-2</v>
      </c>
      <c r="D170" s="16">
        <f>Levels!D171/Levels!D170-1-Levels!$Y170</f>
        <v>-3.2672274187848682E-2</v>
      </c>
      <c r="E170" s="16">
        <f>Levels!E171/Levels!E170-1-Levels!$Y170</f>
        <v>-2.7738845011595292E-2</v>
      </c>
      <c r="F170" s="16">
        <f>Levels!F171/Levels!F170-1-Levels!$Y170</f>
        <v>-2.9052793290368917E-2</v>
      </c>
      <c r="G170" s="16">
        <f>Levels!G171/Levels!G170-1-Levels!$Y170</f>
        <v>-2.9261275219227612E-2</v>
      </c>
      <c r="H170" s="16">
        <f>Levels!H171/Levels!H170-1-Levels!$Y170</f>
        <v>-2.4761774220328658E-2</v>
      </c>
      <c r="I170" s="16">
        <f>Levels!I171/Levels!I170-1-Levels!$Y170</f>
        <v>-2.4926886522602776E-2</v>
      </c>
      <c r="J170" s="16">
        <f>Levels!J171/Levels!J170-1-Levels!$Y170</f>
        <v>-1.1090726236128168E-2</v>
      </c>
      <c r="K170" s="16">
        <f>Levels!K171/Levels!K170-1-Levels!$Y170</f>
        <v>-2.2432226675413225E-2</v>
      </c>
      <c r="L170" s="16">
        <f>Levels!L171/Levels!L170-1-Levels!$Y170</f>
        <v>-2.2653961955125146E-2</v>
      </c>
      <c r="M170" s="16">
        <f>Levels!M171/Levels!M170-1-Levels!$Y170</f>
        <v>-2.6262963359993896E-2</v>
      </c>
      <c r="N170" s="16">
        <f>Levels!N171/Levels!N170-1-Levels!$Y170</f>
        <v>-2.9258589323792994E-2</v>
      </c>
      <c r="O170" s="16">
        <f>Levels!O171/Levels!O170-1-Levels!$Y170</f>
        <v>-1.7346944575531764E-2</v>
      </c>
      <c r="P170" s="16">
        <f>Levels!P171/Levels!P170-1-Levels!$Y170</f>
        <v>-1.2296200043944605E-2</v>
      </c>
      <c r="Q170" s="16">
        <f>Levels!Q171/Levels!Q170-1-Levels!$Y170</f>
        <v>-1.3037262971035801E-2</v>
      </c>
      <c r="R170" s="16">
        <f>Levels!R171/Levels!R170-1-Levels!$Y170</f>
        <v>5.4004175294575241E-4</v>
      </c>
      <c r="S170" s="16">
        <f>Levels!S171/Levels!S170-1-Levels!$Y170</f>
        <v>-1.7662112947729902E-2</v>
      </c>
      <c r="T170" s="16">
        <f>Levels!T171/Levels!T170-1-Levels!$Y170</f>
        <v>-2.9347617678603943E-2</v>
      </c>
      <c r="U170" s="16">
        <f>(Levels!U171/Levels!U170-1-Levels!$Y170)*$Y$2</f>
        <v>-0.11973674958408331</v>
      </c>
      <c r="V170" s="16">
        <f>(Levels!V171/Levels!V170-1-Levels!$Y170)</f>
        <v>-4.5494227645849206E-3</v>
      </c>
    </row>
    <row r="171" spans="1:22" x14ac:dyDescent="0.35">
      <c r="A171" s="23">
        <v>44681</v>
      </c>
      <c r="B171" s="16">
        <f>Levels!B172/Levels!B171-1-Levels!$Y171</f>
        <v>-1.6456865080968663E-2</v>
      </c>
      <c r="C171" s="16">
        <f>Levels!C172/Levels!C171-1-Levels!$Y171</f>
        <v>-8.9334292508824409E-2</v>
      </c>
      <c r="D171" s="16">
        <f>Levels!D172/Levels!D171-1-Levels!$Y171</f>
        <v>-2.8071947233733074E-2</v>
      </c>
      <c r="E171" s="16">
        <f>Levels!E172/Levels!E171-1-Levels!$Y171</f>
        <v>-2.3459980101918632E-2</v>
      </c>
      <c r="F171" s="16">
        <f>Levels!F172/Levels!F171-1-Levels!$Y171</f>
        <v>-3.2354819427907411E-2</v>
      </c>
      <c r="G171" s="16">
        <f>Levels!G172/Levels!G171-1-Levels!$Y171</f>
        <v>-4.6102091294805136E-2</v>
      </c>
      <c r="H171" s="16">
        <f>Levels!H172/Levels!H171-1-Levels!$Y171</f>
        <v>-5.1640231772083989E-2</v>
      </c>
      <c r="I171" s="16">
        <f>Levels!I172/Levels!I171-1-Levels!$Y171</f>
        <v>-5.7767240931521524E-2</v>
      </c>
      <c r="J171" s="16">
        <f>Levels!J172/Levels!J171-1-Levels!$Y171</f>
        <v>-3.4352421127778476E-2</v>
      </c>
      <c r="K171" s="16">
        <f>Levels!K172/Levels!K171-1-Levels!$Y171</f>
        <v>-7.0800250149350097E-2</v>
      </c>
      <c r="L171" s="16">
        <f>Levels!L172/Levels!L171-1-Levels!$Y171</f>
        <v>-3.0542283100903456E-2</v>
      </c>
      <c r="M171" s="16">
        <f>Levels!M172/Levels!M171-1-Levels!$Y171</f>
        <v>-3.5513043836845393E-2</v>
      </c>
      <c r="N171" s="16">
        <f>Levels!N172/Levels!N171-1-Levels!$Y171</f>
        <v>-2.3480188371918453E-2</v>
      </c>
      <c r="O171" s="16">
        <f>Levels!O172/Levels!O171-1-Levels!$Y171</f>
        <v>-8.0457740808342892E-3</v>
      </c>
      <c r="P171" s="16">
        <f>Levels!P172/Levels!P171-1-Levels!$Y171</f>
        <v>-2.1016924474226206E-2</v>
      </c>
      <c r="Q171" s="16">
        <f>Levels!Q172/Levels!Q171-1-Levels!$Y171</f>
        <v>-2.2890158859990795E-2</v>
      </c>
      <c r="R171" s="16">
        <f>Levels!R172/Levels!R171-1-Levels!$Y171</f>
        <v>8.675870039929201E-4</v>
      </c>
      <c r="S171" s="16">
        <f>Levels!S172/Levels!S171-1-Levels!$Y171</f>
        <v>-2.0177819668113495E-2</v>
      </c>
      <c r="T171" s="16">
        <f>Levels!T172/Levels!T171-1-Levels!$Y171</f>
        <v>-2.3234956965112019E-2</v>
      </c>
      <c r="U171" s="16">
        <f>(Levels!U172/Levels!U171-1-Levels!$Y171)*$Y$2</f>
        <v>-5.3350052425860106E-4</v>
      </c>
      <c r="V171" s="16">
        <f>(Levels!V172/Levels!V171-1-Levels!$Y171)</f>
        <v>-6.1008799841125505E-2</v>
      </c>
    </row>
    <row r="172" spans="1:22" x14ac:dyDescent="0.35">
      <c r="A172" s="23">
        <v>44712</v>
      </c>
      <c r="B172" s="16">
        <f>Levels!B173/Levels!B172-1-Levels!$Y172</f>
        <v>6.1156424848021196E-3</v>
      </c>
      <c r="C172" s="16">
        <f>Levels!C173/Levels!C172-1-Levels!$Y172</f>
        <v>-1.9615358003424399E-2</v>
      </c>
      <c r="D172" s="16">
        <f>Levels!D173/Levels!D172-1-Levels!$Y172</f>
        <v>1.4162277908281951E-2</v>
      </c>
      <c r="E172" s="16">
        <f>Levels!E173/Levels!E172-1-Levels!$Y172</f>
        <v>-9.4160024334328796E-3</v>
      </c>
      <c r="F172" s="16">
        <f>Levels!F173/Levels!F172-1-Levels!$Y172</f>
        <v>4.8766565736444445E-3</v>
      </c>
      <c r="G172" s="16">
        <f>Levels!G173/Levels!G172-1-Levels!$Y172</f>
        <v>5.0644187728992041E-3</v>
      </c>
      <c r="H172" s="16">
        <f>Levels!H173/Levels!H172-1-Levels!$Y172</f>
        <v>9.0605110583068527E-3</v>
      </c>
      <c r="I172" s="16">
        <f>Levels!I173/Levels!I172-1-Levels!$Y172</f>
        <v>8.0023397175439381E-3</v>
      </c>
      <c r="J172" s="16">
        <f>Levels!J173/Levels!J172-1-Levels!$Y172</f>
        <v>1.8123433305774483E-3</v>
      </c>
      <c r="K172" s="16">
        <f>Levels!K173/Levels!K172-1-Levels!$Y172</f>
        <v>5.6781958064511251E-4</v>
      </c>
      <c r="L172" s="16">
        <f>Levels!L173/Levels!L172-1-Levels!$Y172</f>
        <v>-3.3572022529989587E-3</v>
      </c>
      <c r="M172" s="16">
        <f>Levels!M173/Levels!M172-1-Levels!$Y172</f>
        <v>1.0364625638199509E-2</v>
      </c>
      <c r="N172" s="16">
        <f>Levels!N173/Levels!N172-1-Levels!$Y172</f>
        <v>1.3766080848156559E-3</v>
      </c>
      <c r="O172" s="16">
        <f>Levels!O173/Levels!O172-1-Levels!$Y172</f>
        <v>2.417803351778991E-3</v>
      </c>
      <c r="P172" s="16">
        <f>Levels!P173/Levels!P172-1-Levels!$Y172</f>
        <v>-2.0510375969457484E-2</v>
      </c>
      <c r="Q172" s="16">
        <f>Levels!Q173/Levels!Q172-1-Levels!$Y172</f>
        <v>-2.2267083703435109E-2</v>
      </c>
      <c r="R172" s="16">
        <f>Levels!R173/Levels!R172-1-Levels!$Y172</f>
        <v>-2.4524526738658792E-2</v>
      </c>
      <c r="S172" s="16">
        <f>Levels!S173/Levels!S172-1-Levels!$Y172</f>
        <v>1.1092982463399625E-2</v>
      </c>
      <c r="T172" s="16">
        <f>Levels!T173/Levels!T172-1-Levels!$Y172</f>
        <v>1.0320158120911138E-3</v>
      </c>
      <c r="U172" s="16">
        <f>(Levels!U173/Levels!U172-1-Levels!$Y172)*$Y$2</f>
        <v>-0.10129004653226681</v>
      </c>
      <c r="V172" s="16">
        <f>(Levels!V173/Levels!V172-1-Levels!$Y172)</f>
        <v>-6.9105386440649452E-2</v>
      </c>
    </row>
    <row r="173" spans="1:22" x14ac:dyDescent="0.35">
      <c r="A173" s="23">
        <v>44742</v>
      </c>
      <c r="B173" s="16">
        <f>Levels!B174/Levels!B173-1-Levels!$Y173</f>
        <v>-8.2765300474106906E-3</v>
      </c>
      <c r="C173" s="16">
        <f>Levels!C174/Levels!C173-1-Levels!$Y173</f>
        <v>-1.562353764938329E-2</v>
      </c>
      <c r="D173" s="16">
        <f>Levels!D174/Levels!D173-1-Levels!$Y173</f>
        <v>-1.7255652693666801E-2</v>
      </c>
      <c r="E173" s="16">
        <f>Levels!E174/Levels!E173-1-Levels!$Y173</f>
        <v>-1.4805297893801805E-2</v>
      </c>
      <c r="F173" s="16">
        <f>Levels!F174/Levels!F173-1-Levels!$Y173</f>
        <v>-1.2396817442827834E-2</v>
      </c>
      <c r="G173" s="16">
        <f>Levels!G174/Levels!G173-1-Levels!$Y173</f>
        <v>-1.7595760086552392E-2</v>
      </c>
      <c r="H173" s="16">
        <f>Levels!H174/Levels!H173-1-Levels!$Y173</f>
        <v>-2.50022397153431E-2</v>
      </c>
      <c r="I173" s="16">
        <f>Levels!I174/Levels!I173-1-Levels!$Y173</f>
        <v>-3.2616250613280662E-2</v>
      </c>
      <c r="J173" s="16">
        <f>Levels!J174/Levels!J173-1-Levels!$Y173</f>
        <v>-6.7317945287714398E-2</v>
      </c>
      <c r="K173" s="16">
        <f>Levels!K174/Levels!K173-1-Levels!$Y173</f>
        <v>-8.9686938283375595E-2</v>
      </c>
      <c r="L173" s="16">
        <f>Levels!L174/Levels!L173-1-Levels!$Y173</f>
        <v>-2.5196738050854983E-2</v>
      </c>
      <c r="M173" s="16">
        <f>Levels!M174/Levels!M173-1-Levels!$Y173</f>
        <v>-1.6889768223447899E-2</v>
      </c>
      <c r="N173" s="16">
        <f>Levels!N174/Levels!N173-1-Levels!$Y173</f>
        <v>-8.513509531532848E-3</v>
      </c>
      <c r="O173" s="16">
        <f>Levels!O174/Levels!O173-1-Levels!$Y173</f>
        <v>-5.5005133159705677E-3</v>
      </c>
      <c r="P173" s="16">
        <f>Levels!P174/Levels!P173-1-Levels!$Y173</f>
        <v>-2.4577707303565566E-2</v>
      </c>
      <c r="Q173" s="16">
        <f>Levels!Q174/Levels!Q173-1-Levels!$Y173</f>
        <v>-2.8111190784056328E-2</v>
      </c>
      <c r="R173" s="16">
        <f>Levels!R174/Levels!R173-1-Levels!$Y173</f>
        <v>-1.808015752727099E-2</v>
      </c>
      <c r="S173" s="16">
        <f>Levels!S174/Levels!S173-1-Levels!$Y173</f>
        <v>-1.0503745780169216E-2</v>
      </c>
      <c r="T173" s="16">
        <f>Levels!T174/Levels!T173-1-Levels!$Y173</f>
        <v>-8.7242098076354413E-3</v>
      </c>
      <c r="U173" s="16">
        <f>(Levels!U174/Levels!U173-1-Levels!$Y173)*$Y$2</f>
        <v>0.12347241523977982</v>
      </c>
      <c r="V173" s="16">
        <f>(Levels!V174/Levels!V173-1-Levels!$Y173)</f>
        <v>0.10509951308049414</v>
      </c>
    </row>
    <row r="174" spans="1:22" x14ac:dyDescent="0.35">
      <c r="A174" s="23">
        <v>44773</v>
      </c>
      <c r="B174" s="16">
        <f>Levels!B175/Levels!B174-1-Levels!$Y174</f>
        <v>1.2028659277104614E-2</v>
      </c>
      <c r="C174" s="16">
        <f>Levels!C175/Levels!C174-1-Levels!$Y174</f>
        <v>2.5300479079195748E-2</v>
      </c>
      <c r="D174" s="16">
        <f>Levels!D175/Levels!D174-1-Levels!$Y174</f>
        <v>2.504297174097303E-2</v>
      </c>
      <c r="E174" s="16">
        <f>Levels!E175/Levels!E174-1-Levels!$Y174</f>
        <v>2.7814333856802209E-2</v>
      </c>
      <c r="F174" s="16">
        <f>Levels!F175/Levels!F174-1-Levels!$Y174</f>
        <v>2.0639992491765735E-2</v>
      </c>
      <c r="G174" s="16">
        <f>Levels!G175/Levels!G174-1-Levels!$Y174</f>
        <v>2.425862959938474E-2</v>
      </c>
      <c r="H174" s="16">
        <f>Levels!H175/Levels!H174-1-Levels!$Y174</f>
        <v>2.8739119509414213E-2</v>
      </c>
      <c r="I174" s="16">
        <f>Levels!I175/Levels!I174-1-Levels!$Y174</f>
        <v>3.198153187460484E-2</v>
      </c>
      <c r="J174" s="16">
        <f>Levels!J175/Levels!J174-1-Levels!$Y174</f>
        <v>5.7316392376996594E-2</v>
      </c>
      <c r="K174" s="16">
        <f>Levels!K175/Levels!K174-1-Levels!$Y174</f>
        <v>6.614017506761205E-2</v>
      </c>
      <c r="L174" s="16">
        <f>Levels!L175/Levels!L174-1-Levels!$Y174</f>
        <v>2.8215534313741131E-2</v>
      </c>
      <c r="M174" s="16">
        <f>Levels!M175/Levels!M174-1-Levels!$Y174</f>
        <v>3.0771429628211555E-2</v>
      </c>
      <c r="N174" s="16">
        <f>Levels!N175/Levels!N174-1-Levels!$Y174</f>
        <v>1.6884215250402512E-2</v>
      </c>
      <c r="O174" s="16">
        <f>Levels!O175/Levels!O174-1-Levels!$Y174</f>
        <v>3.4605834315040163E-3</v>
      </c>
      <c r="P174" s="16">
        <f>Levels!P175/Levels!P174-1-Levels!$Y174</f>
        <v>-1.5207449659101591E-2</v>
      </c>
      <c r="Q174" s="16">
        <f>Levels!Q175/Levels!Q174-1-Levels!$Y174</f>
        <v>-1.7739098198173209E-2</v>
      </c>
      <c r="R174" s="16">
        <f>Levels!R175/Levels!R174-1-Levels!$Y174</f>
        <v>1.2196853990224188E-2</v>
      </c>
      <c r="S174" s="16">
        <f>Levels!S175/Levels!S174-1-Levels!$Y174</f>
        <v>1.9211983691566958E-2</v>
      </c>
      <c r="T174" s="16">
        <f>Levels!T175/Levels!T174-1-Levels!$Y174</f>
        <v>1.679951333960461E-2</v>
      </c>
      <c r="U174" s="16">
        <f>(Levels!U175/Levels!U174-1-Levels!$Y174)*$Y$2</f>
        <v>-2.7822026859801861E-2</v>
      </c>
      <c r="V174" s="16">
        <f>(Levels!V175/Levels!V174-1-Levels!$Y174)</f>
        <v>-5.5212378547673024E-2</v>
      </c>
    </row>
    <row r="175" spans="1:22" x14ac:dyDescent="0.35">
      <c r="A175" s="23">
        <v>44804</v>
      </c>
      <c r="B175" s="16">
        <f>Levels!B176/Levels!B175-1-Levels!$Y175</f>
        <v>-2.2059510979175245E-2</v>
      </c>
      <c r="C175" s="16">
        <f>Levels!C176/Levels!C175-1-Levels!$Y175</f>
        <v>-4.6215009136429175E-2</v>
      </c>
      <c r="D175" s="16">
        <f>Levels!D176/Levels!D175-1-Levels!$Y175</f>
        <v>-2.3865622811971465E-2</v>
      </c>
      <c r="E175" s="16">
        <f>Levels!E176/Levels!E175-1-Levels!$Y175</f>
        <v>-3.1601252341348918E-2</v>
      </c>
      <c r="F175" s="16">
        <f>Levels!F176/Levels!F175-1-Levels!$Y175</f>
        <v>-3.0153889332591666E-2</v>
      </c>
      <c r="G175" s="16">
        <f>Levels!G176/Levels!G175-1-Levels!$Y175</f>
        <v>-2.9972431274772671E-2</v>
      </c>
      <c r="H175" s="16">
        <f>Levels!H176/Levels!H175-1-Levels!$Y175</f>
        <v>-3.1186195633148506E-2</v>
      </c>
      <c r="I175" s="16">
        <f>Levels!I176/Levels!I175-1-Levels!$Y175</f>
        <v>-2.9806853251367005E-2</v>
      </c>
      <c r="J175" s="16">
        <f>Levels!J176/Levels!J175-1-Levels!$Y175</f>
        <v>-2.5327505413073714E-2</v>
      </c>
      <c r="K175" s="16">
        <f>Levels!K176/Levels!K175-1-Levels!$Y175</f>
        <v>-1.6301061522976501E-2</v>
      </c>
      <c r="L175" s="16">
        <f>Levels!L176/Levels!L175-1-Levels!$Y175</f>
        <v>-3.033541163095832E-2</v>
      </c>
      <c r="M175" s="16">
        <f>Levels!M176/Levels!M175-1-Levels!$Y175</f>
        <v>-3.6141822979466887E-2</v>
      </c>
      <c r="N175" s="16">
        <f>Levels!N176/Levels!N175-1-Levels!$Y175</f>
        <v>-2.7408706673656469E-2</v>
      </c>
      <c r="O175" s="16">
        <f>Levels!O176/Levels!O175-1-Levels!$Y175</f>
        <v>-8.5916511877716095E-3</v>
      </c>
      <c r="P175" s="16">
        <f>Levels!P176/Levels!P175-1-Levels!$Y175</f>
        <v>-1.7422422204900201E-2</v>
      </c>
      <c r="Q175" s="16">
        <f>Levels!Q176/Levels!Q175-1-Levels!$Y175</f>
        <v>-1.9290684155033988E-2</v>
      </c>
      <c r="R175" s="16">
        <f>Levels!R176/Levels!R175-1-Levels!$Y175</f>
        <v>1.3492714811499606E-2</v>
      </c>
      <c r="S175" s="16">
        <f>Levels!S176/Levels!S175-1-Levels!$Y175</f>
        <v>-2.6562297375368527E-2</v>
      </c>
      <c r="T175" s="16">
        <f>Levels!T176/Levels!T175-1-Levels!$Y175</f>
        <v>-2.7171866103856357E-2</v>
      </c>
      <c r="U175" s="16">
        <f>(Levels!U176/Levels!U175-1-Levels!$Y175)*$Y$2</f>
        <v>-0.11907737340066657</v>
      </c>
      <c r="V175" s="16">
        <f>(Levels!V176/Levels!V175-1-Levels!$Y175)</f>
        <v>-0.10645630211196688</v>
      </c>
    </row>
    <row r="176" spans="1:22" x14ac:dyDescent="0.35">
      <c r="A176" s="23">
        <v>44834</v>
      </c>
      <c r="B176" s="16">
        <f>Levels!B177/Levels!B176-1-Levels!$Y176</f>
        <v>-2.6364008747179146E-2</v>
      </c>
      <c r="C176" s="16">
        <f>Levels!C177/Levels!C176-1-Levels!$Y176</f>
        <v>-8.1402463540621861E-2</v>
      </c>
      <c r="D176" s="16">
        <f>Levels!D177/Levels!D176-1-Levels!$Y176</f>
        <v>-4.0785789561597507E-2</v>
      </c>
      <c r="E176" s="16">
        <f>Levels!E177/Levels!E176-1-Levels!$Y176</f>
        <v>-2.9401177841253845E-2</v>
      </c>
      <c r="F176" s="16">
        <f>Levels!F177/Levels!F176-1-Levels!$Y176</f>
        <v>-4.2541935118625585E-2</v>
      </c>
      <c r="G176" s="16">
        <f>Levels!G177/Levels!G176-1-Levels!$Y176</f>
        <v>-4.8560014976598898E-2</v>
      </c>
      <c r="H176" s="16">
        <f>Levels!H177/Levels!H176-1-Levels!$Y176</f>
        <v>-5.4131874584555151E-2</v>
      </c>
      <c r="I176" s="16">
        <f>Levels!I177/Levels!I176-1-Levels!$Y176</f>
        <v>-5.5202942632166074E-2</v>
      </c>
      <c r="J176" s="16">
        <f>Levels!J177/Levels!J176-1-Levels!$Y176</f>
        <v>-4.1111517740275549E-2</v>
      </c>
      <c r="K176" s="16">
        <f>Levels!K177/Levels!K176-1-Levels!$Y176</f>
        <v>-6.8390667215193823E-2</v>
      </c>
      <c r="L176" s="16">
        <f>Levels!L177/Levels!L176-1-Levels!$Y176</f>
        <v>-4.0069975953125669E-2</v>
      </c>
      <c r="M176" s="16">
        <f>Levels!M177/Levels!M176-1-Levels!$Y176</f>
        <v>-5.2918152410093122E-2</v>
      </c>
      <c r="N176" s="16">
        <f>Levels!N177/Levels!N176-1-Levels!$Y176</f>
        <v>-3.348901977189811E-2</v>
      </c>
      <c r="O176" s="16">
        <f>Levels!O177/Levels!O176-1-Levels!$Y176</f>
        <v>-1.4024255528058527E-2</v>
      </c>
      <c r="P176" s="16">
        <f>Levels!P177/Levels!P176-1-Levels!$Y176</f>
        <v>-2.2170673619143155E-2</v>
      </c>
      <c r="Q176" s="16">
        <f>Levels!Q177/Levels!Q176-1-Levels!$Y176</f>
        <v>-2.4189177592807809E-2</v>
      </c>
      <c r="R176" s="16">
        <f>Levels!R177/Levels!R176-1-Levels!$Y176</f>
        <v>-2.1380002538428866E-2</v>
      </c>
      <c r="S176" s="16">
        <f>Levels!S177/Levels!S176-1-Levels!$Y176</f>
        <v>-4.3860947521107474E-2</v>
      </c>
      <c r="T176" s="16">
        <f>Levels!T177/Levels!T176-1-Levels!$Y176</f>
        <v>-3.3302719104120859E-2</v>
      </c>
      <c r="U176" s="16">
        <f>(Levels!U177/Levels!U176-1-Levels!$Y176)*$Y$2</f>
        <v>0.12840764733157276</v>
      </c>
      <c r="V176" s="16">
        <f>(Levels!V177/Levels!V176-1-Levels!$Y176)</f>
        <v>1.734035418672164E-2</v>
      </c>
    </row>
    <row r="177" spans="1:22" x14ac:dyDescent="0.35">
      <c r="A177" s="23">
        <v>44865</v>
      </c>
      <c r="B177" s="16">
        <f>Levels!B178/Levels!B177-1-Levels!$Y177</f>
        <v>-7.2087193282617257E-3</v>
      </c>
      <c r="C177" s="16">
        <f>Levels!C178/Levels!C177-1-Levels!$Y177</f>
        <v>-5.8172670689846551E-2</v>
      </c>
      <c r="D177" s="16">
        <f>Levels!D178/Levels!D177-1-Levels!$Y177</f>
        <v>-1.1001782992635545E-2</v>
      </c>
      <c r="E177" s="16">
        <f>Levels!E178/Levels!E177-1-Levels!$Y177</f>
        <v>1.8193844210323551E-3</v>
      </c>
      <c r="F177" s="16">
        <f>Levels!F178/Levels!F177-1-Levels!$Y177</f>
        <v>-1.6495929547729826E-2</v>
      </c>
      <c r="G177" s="16">
        <f>Levels!G178/Levels!G177-1-Levels!$Y177</f>
        <v>-1.8372167239039894E-2</v>
      </c>
      <c r="H177" s="16">
        <f>Levels!H178/Levels!H177-1-Levels!$Y177</f>
        <v>-1.5082272143585596E-2</v>
      </c>
      <c r="I177" s="16">
        <f>Levels!I178/Levels!I177-1-Levels!$Y177</f>
        <v>-1.0248365252510161E-2</v>
      </c>
      <c r="J177" s="16">
        <f>Levels!J178/Levels!J177-1-Levels!$Y177</f>
        <v>2.4162981983808507E-2</v>
      </c>
      <c r="K177" s="16">
        <f>Levels!K178/Levels!K177-1-Levels!$Y177</f>
        <v>2.7618247800753615E-4</v>
      </c>
      <c r="L177" s="16">
        <f>Levels!L178/Levels!L177-1-Levels!$Y177</f>
        <v>-5.8062405554938357E-3</v>
      </c>
      <c r="M177" s="16">
        <f>Levels!M178/Levels!M177-1-Levels!$Y177</f>
        <v>-1.6930767339428776E-2</v>
      </c>
      <c r="N177" s="16">
        <f>Levels!N178/Levels!N177-1-Levels!$Y177</f>
        <v>-1.8725385399061212E-2</v>
      </c>
      <c r="O177" s="16">
        <f>Levels!O178/Levels!O177-1-Levels!$Y177</f>
        <v>-1.1029367055718331E-2</v>
      </c>
      <c r="P177" s="16">
        <f>Levels!P178/Levels!P177-1-Levels!$Y177</f>
        <v>-1.5697133901482307E-2</v>
      </c>
      <c r="Q177" s="16">
        <f>Levels!Q178/Levels!Q177-1-Levels!$Y177</f>
        <v>-1.5840480785614952E-2</v>
      </c>
      <c r="R177" s="16">
        <f>Levels!R178/Levels!R177-1-Levels!$Y177</f>
        <v>3.5308474013198143E-3</v>
      </c>
      <c r="S177" s="16">
        <f>Levels!S178/Levels!S177-1-Levels!$Y177</f>
        <v>-1.4422811918614276E-2</v>
      </c>
      <c r="T177" s="16">
        <f>Levels!T178/Levels!T177-1-Levels!$Y177</f>
        <v>-1.8730862485089594E-2</v>
      </c>
      <c r="U177" s="16">
        <f>(Levels!U178/Levels!U177-1-Levels!$Y177)*$Y$2</f>
        <v>2.2586137437743403E-2</v>
      </c>
      <c r="V177" s="16">
        <f>(Levels!V178/Levels!V177-1-Levels!$Y177)</f>
        <v>1.9461868579671471E-2</v>
      </c>
    </row>
    <row r="178" spans="1:22" x14ac:dyDescent="0.35">
      <c r="A178" s="23">
        <v>44895</v>
      </c>
      <c r="B178" s="16">
        <f>Levels!B179/Levels!B178-1-Levels!$Y178</f>
        <v>1.3915755147479336E-2</v>
      </c>
      <c r="C178" s="16">
        <f>Levels!C179/Levels!C178-1-Levels!$Y178</f>
        <v>6.7386209033234223E-2</v>
      </c>
      <c r="D178" s="16">
        <f>Levels!D179/Levels!D178-1-Levels!$Y178</f>
        <v>4.3440444466070094E-2</v>
      </c>
      <c r="E178" s="16">
        <f>Levels!E179/Levels!E178-1-Levels!$Y178</f>
        <v>1.9077546656556921E-2</v>
      </c>
      <c r="F178" s="16">
        <f>Levels!F179/Levels!F178-1-Levels!$Y178</f>
        <v>2.8400052443623647E-2</v>
      </c>
      <c r="G178" s="16">
        <f>Levels!G179/Levels!G178-1-Levels!$Y178</f>
        <v>3.8595837759651586E-2</v>
      </c>
      <c r="H178" s="16">
        <f>Levels!H179/Levels!H178-1-Levels!$Y178</f>
        <v>4.6113267440841543E-2</v>
      </c>
      <c r="I178" s="16">
        <f>Levels!I179/Levels!I178-1-Levels!$Y178</f>
        <v>5.0708507731438202E-2</v>
      </c>
      <c r="J178" s="16">
        <f>Levels!J179/Levels!J178-1-Levels!$Y178</f>
        <v>1.7641299901816954E-2</v>
      </c>
      <c r="K178" s="16">
        <f>Levels!K179/Levels!K178-1-Levels!$Y178</f>
        <v>3.7938867154419631E-2</v>
      </c>
      <c r="L178" s="16">
        <f>Levels!L179/Levels!L178-1-Levels!$Y178</f>
        <v>3.1710203722084218E-2</v>
      </c>
      <c r="M178" s="16">
        <f>Levels!M179/Levels!M178-1-Levels!$Y178</f>
        <v>3.7425757747940214E-2</v>
      </c>
      <c r="N178" s="16">
        <f>Levels!N179/Levels!N178-1-Levels!$Y178</f>
        <v>2.2917357871490962E-2</v>
      </c>
      <c r="O178" s="16">
        <f>Levels!O179/Levels!O178-1-Levels!$Y178</f>
        <v>6.531190655979513E-3</v>
      </c>
      <c r="P178" s="16">
        <f>Levels!P179/Levels!P178-1-Levels!$Y178</f>
        <v>-1.0386879095987123E-2</v>
      </c>
      <c r="Q178" s="16">
        <f>Levels!Q179/Levels!Q178-1-Levels!$Y178</f>
        <v>-9.602860935024049E-3</v>
      </c>
      <c r="R178" s="16">
        <f>Levels!R179/Levels!R178-1-Levels!$Y178</f>
        <v>9.0827162832773922E-3</v>
      </c>
      <c r="S178" s="16">
        <f>Levels!S179/Levels!S178-1-Levels!$Y178</f>
        <v>3.8034888043898762E-2</v>
      </c>
      <c r="T178" s="16">
        <f>Levels!T179/Levels!T178-1-Levels!$Y178</f>
        <v>2.2287697047395083E-2</v>
      </c>
      <c r="U178" s="16">
        <f>(Levels!U179/Levels!U178-1-Levels!$Y178)*$Y$2</f>
        <v>-8.3718707596984701E-2</v>
      </c>
      <c r="V178" s="16">
        <f>(Levels!V179/Levels!V178-1-Levels!$Y178)</f>
        <v>-6.9254517232717916E-2</v>
      </c>
    </row>
    <row r="179" spans="1:22" x14ac:dyDescent="0.35">
      <c r="A179" s="23">
        <v>44926</v>
      </c>
      <c r="B179" s="16">
        <f>Levels!B180/Levels!B179-1-Levels!$Y179</f>
        <v>-5.9958165950741993E-3</v>
      </c>
      <c r="C179" s="16">
        <f>Levels!C180/Levels!C179-1-Levels!$Y179</f>
        <v>-2.0564352645067285E-2</v>
      </c>
      <c r="D179" s="16">
        <f>Levels!D180/Levels!D179-1-Levels!$Y179</f>
        <v>-6.9061272576620425E-4</v>
      </c>
      <c r="E179" s="16">
        <f>Levels!E180/Levels!E179-1-Levels!$Y179</f>
        <v>-2.377766228504774E-2</v>
      </c>
      <c r="F179" s="16">
        <f>Levels!F180/Levels!F179-1-Levels!$Y179</f>
        <v>-8.1457972540295298E-3</v>
      </c>
      <c r="G179" s="16">
        <f>Levels!G180/Levels!G179-1-Levels!$Y179</f>
        <v>-9.0255561461917155E-3</v>
      </c>
      <c r="H179" s="16">
        <f>Levels!H180/Levels!H179-1-Levels!$Y179</f>
        <v>-7.5638058104652295E-3</v>
      </c>
      <c r="I179" s="16">
        <f>Levels!I180/Levels!I179-1-Levels!$Y179</f>
        <v>-7.7338758768427107E-3</v>
      </c>
      <c r="J179" s="16">
        <f>Levels!J180/Levels!J179-1-Levels!$Y179</f>
        <v>-1.0056066099711436E-2</v>
      </c>
      <c r="K179" s="16">
        <f>Levels!K180/Levels!K179-1-Levels!$Y179</f>
        <v>-3.0810283859246113E-3</v>
      </c>
      <c r="L179" s="16">
        <f>Levels!L180/Levels!L179-1-Levels!$Y179</f>
        <v>-1.1665518169730271E-2</v>
      </c>
      <c r="M179" s="16">
        <f>Levels!M180/Levels!M179-1-Levels!$Y179</f>
        <v>-7.9631167946929704E-3</v>
      </c>
      <c r="N179" s="16">
        <f>Levels!N180/Levels!N179-1-Levels!$Y179</f>
        <v>-3.1116801997839172E-3</v>
      </c>
      <c r="O179" s="16">
        <f>Levels!O180/Levels!O179-1-Levels!$Y179</f>
        <v>3.0613739197788981E-3</v>
      </c>
      <c r="P179" s="16">
        <f>Levels!P180/Levels!P179-1-Levels!$Y179</f>
        <v>-7.1342366779933997E-3</v>
      </c>
      <c r="Q179" s="16">
        <f>Levels!Q180/Levels!Q179-1-Levels!$Y179</f>
        <v>-5.0363463574296663E-3</v>
      </c>
      <c r="R179" s="16">
        <f>Levels!R180/Levels!R179-1-Levels!$Y179</f>
        <v>1.5348839602482567E-3</v>
      </c>
      <c r="S179" s="16">
        <f>Levels!S180/Levels!S179-1-Levels!$Y179</f>
        <v>-5.2873303994888099E-3</v>
      </c>
      <c r="T179" s="16">
        <f>Levels!T180/Levels!T179-1-Levels!$Y179</f>
        <v>-3.1936396362943764E-3</v>
      </c>
      <c r="U179" s="16">
        <f>(Levels!U180/Levels!U179-1-Levels!$Y179)*$Y$2</f>
        <v>0.1120323016569177</v>
      </c>
      <c r="V179" s="16">
        <f>(Levels!V180/Levels!V179-1-Levels!$Y179)</f>
        <v>6.6256809928730398E-2</v>
      </c>
    </row>
    <row r="180" spans="1:22" x14ac:dyDescent="0.35">
      <c r="A180" s="23">
        <v>44957</v>
      </c>
      <c r="B180" s="16">
        <f>Levels!B181/Levels!B180-1-Levels!$Y180</f>
        <v>1.2467121892370647E-2</v>
      </c>
      <c r="C180" s="16">
        <f>Levels!C181/Levels!C180-1-Levels!$Y180</f>
        <v>6.0526531005019368E-2</v>
      </c>
      <c r="D180" s="16">
        <f>Levels!D181/Levels!D180-1-Levels!$Y180</f>
        <v>2.5150804207087152E-2</v>
      </c>
      <c r="E180" s="16">
        <f>Levels!E181/Levels!E180-1-Levels!$Y180</f>
        <v>1.869159689505695E-2</v>
      </c>
      <c r="F180" s="16">
        <f>Levels!F181/Levels!F180-1-Levels!$Y180</f>
        <v>2.4220796261178679E-2</v>
      </c>
      <c r="G180" s="16">
        <f>Levels!G181/Levels!G180-1-Levels!$Y180</f>
        <v>2.9761928228380308E-2</v>
      </c>
      <c r="H180" s="16">
        <f>Levels!H181/Levels!H180-1-Levels!$Y180</f>
        <v>3.417057538160817E-2</v>
      </c>
      <c r="I180" s="16">
        <f>Levels!I181/Levels!I180-1-Levels!$Y180</f>
        <v>3.7796537283008913E-2</v>
      </c>
      <c r="J180" s="16">
        <f>Levels!J181/Levels!J180-1-Levels!$Y180</f>
        <v>3.4019435871852854E-2</v>
      </c>
      <c r="K180" s="16">
        <f>Levels!K181/Levels!K180-1-Levels!$Y180</f>
        <v>4.6862606805847973E-2</v>
      </c>
      <c r="L180" s="16">
        <f>Levels!L181/Levels!L180-1-Levels!$Y180</f>
        <v>2.25961338476941E-2</v>
      </c>
      <c r="M180" s="16">
        <f>Levels!M181/Levels!M180-1-Levels!$Y180</f>
        <v>2.9370635793130262E-2</v>
      </c>
      <c r="N180" s="16">
        <f>Levels!N181/Levels!N180-1-Levels!$Y180</f>
        <v>2.2775883283969289E-2</v>
      </c>
      <c r="O180" s="16">
        <f>Levels!O181/Levels!O180-1-Levels!$Y180</f>
        <v>1.0576377926909464E-2</v>
      </c>
      <c r="P180" s="16">
        <f>Levels!P181/Levels!P180-1-Levels!$Y180</f>
        <v>-6.0049562991406624E-3</v>
      </c>
      <c r="Q180" s="16">
        <f>Levels!Q181/Levels!Q180-1-Levels!$Y180</f>
        <v>-3.7670086673736725E-3</v>
      </c>
      <c r="R180" s="16">
        <f>Levels!R181/Levels!R180-1-Levels!$Y180</f>
        <v>2.1750479483247265E-2</v>
      </c>
      <c r="S180" s="16">
        <f>Levels!S181/Levels!S180-1-Levels!$Y180</f>
        <v>2.6960303097415261E-2</v>
      </c>
      <c r="T180" s="16">
        <f>Levels!T181/Levels!T180-1-Levels!$Y180</f>
        <v>2.2849673563081208E-2</v>
      </c>
      <c r="U180" s="16">
        <f>(Levels!U181/Levels!U180-1-Levels!$Y180)*$Y$2</f>
        <v>-2.5997435820164939E-2</v>
      </c>
      <c r="V180" s="16">
        <f>(Levels!V181/Levels!V180-1-Levels!$Y180)</f>
        <v>-2.6498463625828084E-2</v>
      </c>
    </row>
    <row r="181" spans="1:22" x14ac:dyDescent="0.35">
      <c r="A181" s="23">
        <v>44985</v>
      </c>
      <c r="B181" s="16">
        <f>Levels!B182/Levels!B181-1-Levels!$Y181</f>
        <v>-2.1322153090003848E-2</v>
      </c>
      <c r="C181" s="16">
        <f>Levels!C182/Levels!C181-1-Levels!$Y181</f>
        <v>-5.1242673836026431E-2</v>
      </c>
      <c r="D181" s="16">
        <f>Levels!D182/Levels!D181-1-Levels!$Y181</f>
        <v>-2.6418903961979989E-2</v>
      </c>
      <c r="E181" s="16">
        <f>Levels!E182/Levels!E181-1-Levels!$Y181</f>
        <v>-1.8444199779810821E-2</v>
      </c>
      <c r="F181" s="16">
        <f>Levels!F182/Levels!F181-1-Levels!$Y181</f>
        <v>-2.7998731234285756E-2</v>
      </c>
      <c r="G181" s="16">
        <f>Levels!G182/Levels!G181-1-Levels!$Y181</f>
        <v>-2.9242400795095103E-2</v>
      </c>
      <c r="H181" s="16">
        <f>Levels!H182/Levels!H181-1-Levels!$Y181</f>
        <v>-3.3984225975793092E-2</v>
      </c>
      <c r="I181" s="16">
        <f>Levels!I182/Levels!I181-1-Levels!$Y181</f>
        <v>-3.5599208675530347E-2</v>
      </c>
      <c r="J181" s="16">
        <f>Levels!J182/Levels!J181-1-Levels!$Y181</f>
        <v>-1.6031054912782006E-2</v>
      </c>
      <c r="K181" s="16">
        <f>Levels!K182/Levels!K181-1-Levels!$Y181</f>
        <v>-3.2727988750166359E-2</v>
      </c>
      <c r="L181" s="16">
        <f>Levels!L182/Levels!L181-1-Levels!$Y181</f>
        <v>-2.0680887296089079E-2</v>
      </c>
      <c r="M181" s="16">
        <f>Levels!M182/Levels!M181-1-Levels!$Y181</f>
        <v>-3.0209889389219091E-2</v>
      </c>
      <c r="N181" s="16">
        <f>Levels!N182/Levels!N181-1-Levels!$Y181</f>
        <v>-2.2490315672000993E-2</v>
      </c>
      <c r="O181" s="16">
        <f>Levels!O182/Levels!O181-1-Levels!$Y181</f>
        <v>-1.2299813763978484E-2</v>
      </c>
      <c r="P181" s="16">
        <f>Levels!P182/Levels!P181-1-Levels!$Y181</f>
        <v>-6.3354242228944591E-3</v>
      </c>
      <c r="Q181" s="16">
        <f>Levels!Q182/Levels!Q181-1-Levels!$Y181</f>
        <v>-4.680655950397794E-3</v>
      </c>
      <c r="R181" s="16">
        <f>Levels!R182/Levels!R181-1-Levels!$Y181</f>
        <v>2.6623614660583605E-3</v>
      </c>
      <c r="S181" s="16">
        <f>Levels!S182/Levels!S181-1-Levels!$Y181</f>
        <v>-2.7726040089233739E-2</v>
      </c>
      <c r="T181" s="16">
        <f>Levels!T182/Levels!T181-1-Levels!$Y181</f>
        <v>-2.2385267936150255E-2</v>
      </c>
      <c r="U181" s="16">
        <f>(Levels!U182/Levels!U181-1-Levels!$Y181)*$Y$2</f>
        <v>-6.435337040044331E-2</v>
      </c>
      <c r="V181" s="16">
        <f>(Levels!V182/Levels!V181-1-Levels!$Y181)</f>
        <v>-6.4439788136174347E-2</v>
      </c>
    </row>
    <row r="182" spans="1:22" x14ac:dyDescent="0.35">
      <c r="A182" s="23">
        <v>45016</v>
      </c>
      <c r="B182" s="16">
        <f>Levels!B183/Levels!B182-1-Levels!$Y182</f>
        <v>2.0587486768491425E-2</v>
      </c>
      <c r="C182" s="16">
        <f>Levels!C183/Levels!C182-1-Levels!$Y182</f>
        <v>4.347617486468125E-2</v>
      </c>
      <c r="D182" s="16">
        <f>Levels!D183/Levels!D182-1-Levels!$Y182</f>
        <v>1.8264021025588217E-2</v>
      </c>
      <c r="E182" s="16">
        <f>Levels!E183/Levels!E182-1-Levels!$Y182</f>
        <v>2.066066840766756E-2</v>
      </c>
      <c r="F182" s="16">
        <f>Levels!F183/Levels!F182-1-Levels!$Y182</f>
        <v>2.0896456903896743E-2</v>
      </c>
      <c r="G182" s="16">
        <f>Levels!G183/Levels!G182-1-Levels!$Y182</f>
        <v>2.3317612436688062E-2</v>
      </c>
      <c r="H182" s="16">
        <f>Levels!H183/Levels!H182-1-Levels!$Y182</f>
        <v>2.2600952183274625E-2</v>
      </c>
      <c r="I182" s="16">
        <f>Levels!I183/Levels!I182-1-Levels!$Y182</f>
        <v>2.3323821035478476E-2</v>
      </c>
      <c r="J182" s="16">
        <f>Levels!J183/Levels!J182-1-Levels!$Y182</f>
        <v>6.5557921514018958E-3</v>
      </c>
      <c r="K182" s="16">
        <f>Levels!K183/Levels!K182-1-Levels!$Y182</f>
        <v>1.2394336588898103E-2</v>
      </c>
      <c r="L182" s="16">
        <f>Levels!L183/Levels!L182-1-Levels!$Y182</f>
        <v>1.3135024699919784E-2</v>
      </c>
      <c r="M182" s="16">
        <f>Levels!M183/Levels!M182-1-Levels!$Y182</f>
        <v>1.5554517896418041E-2</v>
      </c>
      <c r="N182" s="16">
        <f>Levels!N183/Levels!N182-1-Levels!$Y182</f>
        <v>6.9457456816242047E-3</v>
      </c>
      <c r="O182" s="16">
        <f>Levels!O183/Levels!O182-1-Levels!$Y182</f>
        <v>9.0635488848640477E-3</v>
      </c>
      <c r="P182" s="16">
        <f>Levels!P183/Levels!P182-1-Levels!$Y182</f>
        <v>6.8555545141715246E-3</v>
      </c>
      <c r="Q182" s="16">
        <f>Levels!Q183/Levels!Q182-1-Levels!$Y182</f>
        <v>8.7739948454481631E-3</v>
      </c>
      <c r="R182" s="16">
        <f>Levels!R183/Levels!R182-1-Levels!$Y182</f>
        <v>-5.1000806352182737E-3</v>
      </c>
      <c r="S182" s="16">
        <f>Levels!S183/Levels!S182-1-Levels!$Y182</f>
        <v>1.7603052110899631E-2</v>
      </c>
      <c r="T182" s="16">
        <f>Levels!T183/Levels!T182-1-Levels!$Y182</f>
        <v>5.6916235517141534E-3</v>
      </c>
      <c r="U182" s="16">
        <f>(Levels!U183/Levels!U182-1-Levels!$Y182)*$Y$2</f>
        <v>-2.7004971564078373E-2</v>
      </c>
      <c r="V182" s="16">
        <f>(Levels!V183/Levels!V182-1-Levels!$Y182)</f>
        <v>-3.0442852616183735E-3</v>
      </c>
    </row>
    <row r="183" spans="1:22" x14ac:dyDescent="0.35">
      <c r="A183" s="23">
        <v>45046</v>
      </c>
      <c r="B183" s="16">
        <f>Levels!B184/Levels!B183-1-Levels!$Y183</f>
        <v>1.518077906050852E-3</v>
      </c>
      <c r="C183" s="16">
        <f>Levels!C184/Levels!C183-1-Levels!$Y183</f>
        <v>1.3355171910338637E-3</v>
      </c>
      <c r="D183" s="16">
        <f>Levels!D184/Levels!D183-1-Levels!$Y183</f>
        <v>-6.1584182710283653E-3</v>
      </c>
      <c r="E183" s="16">
        <f>Levels!E184/Levels!E183-1-Levels!$Y183</f>
        <v>-1.5498425249254044E-3</v>
      </c>
      <c r="F183" s="16">
        <f>Levels!F184/Levels!F183-1-Levels!$Y183</f>
        <v>1.5176339910831782E-3</v>
      </c>
      <c r="G183" s="16">
        <f>Levels!G184/Levels!G183-1-Levels!$Y183</f>
        <v>3.354272029748584E-3</v>
      </c>
      <c r="H183" s="16">
        <f>Levels!H184/Levels!H183-1-Levels!$Y183</f>
        <v>4.0972404461419032E-3</v>
      </c>
      <c r="I183" s="16">
        <f>Levels!I184/Levels!I183-1-Levels!$Y183</f>
        <v>4.1767909179992735E-3</v>
      </c>
      <c r="J183" s="16">
        <f>Levels!J184/Levels!J183-1-Levels!$Y183</f>
        <v>6.2485958765694516E-3</v>
      </c>
      <c r="K183" s="16">
        <f>Levels!K184/Levels!K183-1-Levels!$Y183</f>
        <v>2.2821963171257842E-3</v>
      </c>
      <c r="L183" s="16">
        <f>Levels!L184/Levels!L183-1-Levels!$Y183</f>
        <v>3.9510332699863593E-3</v>
      </c>
      <c r="M183" s="16">
        <f>Levels!M184/Levels!M183-1-Levels!$Y183</f>
        <v>1.3020024630165938E-3</v>
      </c>
      <c r="N183" s="16">
        <f>Levels!N184/Levels!N183-1-Levels!$Y183</f>
        <v>4.708514707425282E-3</v>
      </c>
      <c r="O183" s="16">
        <f>Levels!O184/Levels!O183-1-Levels!$Y183</f>
        <v>1.0953646820677232E-3</v>
      </c>
      <c r="P183" s="16">
        <f>Levels!P184/Levels!P183-1-Levels!$Y183</f>
        <v>1.0143760719908634E-2</v>
      </c>
      <c r="Q183" s="16">
        <f>Levels!Q184/Levels!Q183-1-Levels!$Y183</f>
        <v>1.1246715458779422E-2</v>
      </c>
      <c r="R183" s="16">
        <f>Levels!R184/Levels!R183-1-Levels!$Y183</f>
        <v>5.6091919228329346E-3</v>
      </c>
      <c r="S183" s="16">
        <f>Levels!S184/Levels!S183-1-Levels!$Y183</f>
        <v>-1.6613366265156859E-3</v>
      </c>
      <c r="T183" s="16">
        <f>Levels!T184/Levels!T183-1-Levels!$Y183</f>
        <v>4.5846273662830672E-3</v>
      </c>
      <c r="U183" s="16">
        <f>(Levels!U184/Levels!U183-1-Levels!$Y183)*$Y$2</f>
        <v>-1.7768014223325145E-2</v>
      </c>
      <c r="V183" s="16">
        <f>(Levels!V184/Levels!V183-1-Levels!$Y183)</f>
        <v>-1.7158482091004901E-2</v>
      </c>
    </row>
    <row r="184" spans="1:22" x14ac:dyDescent="0.35">
      <c r="A184" s="23">
        <v>45077</v>
      </c>
      <c r="B184" s="16">
        <f>Levels!B185/Levels!B184-1-Levels!$Y184</f>
        <v>-1.1636259567468499E-2</v>
      </c>
      <c r="C184" s="16">
        <f>Levels!C185/Levels!C184-1-Levels!$Y184</f>
        <v>-3.2066303960154419E-2</v>
      </c>
      <c r="D184" s="16">
        <f>Levels!D185/Levels!D184-1-Levels!$Y184</f>
        <v>-1.2784827846201274E-2</v>
      </c>
      <c r="E184" s="16">
        <f>Levels!E185/Levels!E184-1-Levels!$Y184</f>
        <v>-5.6850639692372917E-3</v>
      </c>
      <c r="F184" s="16">
        <f>Levels!F185/Levels!F184-1-Levels!$Y184</f>
        <v>-1.3833200590536165E-2</v>
      </c>
      <c r="G184" s="16">
        <f>Levels!G185/Levels!G184-1-Levels!$Y184</f>
        <v>-1.7199261616445582E-2</v>
      </c>
      <c r="H184" s="16">
        <f>Levels!H185/Levels!H184-1-Levels!$Y184</f>
        <v>-1.8243466554908716E-2</v>
      </c>
      <c r="I184" s="16">
        <f>Levels!I185/Levels!I184-1-Levels!$Y184</f>
        <v>-1.837107907535529E-2</v>
      </c>
      <c r="J184" s="16">
        <f>Levels!J185/Levels!J184-1-Levels!$Y184</f>
        <v>-1.2951363978376262E-2</v>
      </c>
      <c r="K184" s="16">
        <f>Levels!K185/Levels!K184-1-Levels!$Y184</f>
        <v>-2.2458147370990833E-2</v>
      </c>
      <c r="L184" s="16">
        <f>Levels!L185/Levels!L184-1-Levels!$Y184</f>
        <v>-7.8956632250732905E-3</v>
      </c>
      <c r="M184" s="16">
        <f>Levels!M185/Levels!M184-1-Levels!$Y184</f>
        <v>-1.1445394310678814E-2</v>
      </c>
      <c r="N184" s="16">
        <f>Levels!N185/Levels!N184-1-Levels!$Y184</f>
        <v>-1.0177939772908928E-2</v>
      </c>
      <c r="O184" s="16">
        <f>Levels!O185/Levels!O184-1-Levels!$Y184</f>
        <v>-7.5062537622699876E-3</v>
      </c>
      <c r="P184" s="16">
        <f>Levels!P185/Levels!P184-1-Levels!$Y184</f>
        <v>-4.2365558306944884E-4</v>
      </c>
      <c r="Q184" s="16">
        <f>Levels!Q185/Levels!Q184-1-Levels!$Y184</f>
        <v>-4.3472362643237616E-5</v>
      </c>
      <c r="R184" s="16">
        <f>Levels!R185/Levels!R184-1-Levels!$Y184</f>
        <v>-4.7142020005837004E-3</v>
      </c>
      <c r="S184" s="16">
        <f>Levels!S185/Levels!S184-1-Levels!$Y184</f>
        <v>-1.4237838124887325E-2</v>
      </c>
      <c r="T184" s="16">
        <f>Levels!T185/Levels!T184-1-Levels!$Y184</f>
        <v>-1.0239223422518373E-2</v>
      </c>
      <c r="U184" s="16">
        <f>(Levels!U185/Levels!U184-1-Levels!$Y184)*$Y$2</f>
        <v>9.0445734426622779E-2</v>
      </c>
      <c r="V184" s="16">
        <f>(Levels!V185/Levels!V184-1-Levels!$Y184)</f>
        <v>-2.3941243495513298E-3</v>
      </c>
    </row>
    <row r="185" spans="1:22" x14ac:dyDescent="0.35">
      <c r="A185" s="23">
        <v>45107</v>
      </c>
      <c r="B185" s="16">
        <f>Levels!B186/Levels!B185-1-Levels!$Y185</f>
        <v>-1.3725488909211325E-2</v>
      </c>
      <c r="C185" s="16">
        <f>Levels!C186/Levels!C185-1-Levels!$Y185</f>
        <v>-4.5605705426027265E-3</v>
      </c>
      <c r="D185" s="16">
        <f>Levels!D186/Levels!D185-1-Levels!$Y185</f>
        <v>5.6227870383456224E-3</v>
      </c>
      <c r="E185" s="16">
        <f>Levels!E186/Levels!E185-1-Levels!$Y185</f>
        <v>-4.0224221506539592E-3</v>
      </c>
      <c r="F185" s="16">
        <f>Levels!F186/Levels!F185-1-Levels!$Y185</f>
        <v>-1.0660475320658391E-2</v>
      </c>
      <c r="G185" s="16">
        <f>Levels!G186/Levels!G185-1-Levels!$Y185</f>
        <v>-5.0270002939971636E-3</v>
      </c>
      <c r="H185" s="16">
        <f>Levels!H186/Levels!H185-1-Levels!$Y185</f>
        <v>-2.0996956614969253E-3</v>
      </c>
      <c r="I185" s="16">
        <f>Levels!I186/Levels!I185-1-Levels!$Y185</f>
        <v>1.6495341089746152E-3</v>
      </c>
      <c r="J185" s="16">
        <f>Levels!J186/Levels!J185-1-Levels!$Y185</f>
        <v>1.202499015172509E-2</v>
      </c>
      <c r="K185" s="16">
        <f>Levels!K186/Levels!K185-1-Levels!$Y185</f>
        <v>2.2569643677150752E-2</v>
      </c>
      <c r="L185" s="16">
        <f>Levels!L186/Levels!L185-1-Levels!$Y185</f>
        <v>-5.9068839757263625E-3</v>
      </c>
      <c r="M185" s="16">
        <f>Levels!M186/Levels!M185-1-Levels!$Y185</f>
        <v>-8.6611629797991307E-3</v>
      </c>
      <c r="N185" s="16">
        <f>Levels!N186/Levels!N185-1-Levels!$Y185</f>
        <v>-1.2889324648105993E-2</v>
      </c>
      <c r="O185" s="16">
        <f>Levels!O186/Levels!O185-1-Levels!$Y185</f>
        <v>-7.1358575030746607E-3</v>
      </c>
      <c r="P185" s="16">
        <f>Levels!P186/Levels!P185-1-Levels!$Y185</f>
        <v>3.2533175672599945E-4</v>
      </c>
      <c r="Q185" s="16">
        <f>Levels!Q186/Levels!Q185-1-Levels!$Y185</f>
        <v>1.3556684479092418E-3</v>
      </c>
      <c r="R185" s="16">
        <f>Levels!R186/Levels!R185-1-Levels!$Y185</f>
        <v>1.5593642767368188E-2</v>
      </c>
      <c r="S185" s="16">
        <f>Levels!S186/Levels!S185-1-Levels!$Y185</f>
        <v>-6.5912919329609299E-3</v>
      </c>
      <c r="T185" s="16">
        <f>Levels!T186/Levels!T185-1-Levels!$Y185</f>
        <v>-1.2922530914054486E-2</v>
      </c>
      <c r="U185" s="16">
        <f>(Levels!U186/Levels!U185-1-Levels!$Y185)*$Y$2</f>
        <v>6.7441882934878183E-2</v>
      </c>
      <c r="V185" s="16">
        <f>(Levels!V186/Levels!V185-1-Levels!$Y185)</f>
        <v>2.1045069063355237E-2</v>
      </c>
    </row>
    <row r="186" spans="1:22" x14ac:dyDescent="0.35">
      <c r="A186" s="23">
        <v>45138</v>
      </c>
      <c r="B186" s="16">
        <f>Levels!B187/Levels!B186-1-Levels!$Y186</f>
        <v>-3.2653493618537421E-3</v>
      </c>
      <c r="C186" s="16">
        <f>Levels!C187/Levels!C186-1-Levels!$Y186</f>
        <v>-2.5990010508430861E-2</v>
      </c>
      <c r="D186" s="16">
        <f>Levels!D187/Levels!D186-1-Levels!$Y186</f>
        <v>-3.5532155460415993E-4</v>
      </c>
      <c r="E186" s="16">
        <f>Levels!E187/Levels!E186-1-Levels!$Y186</f>
        <v>-3.342179991938421E-3</v>
      </c>
      <c r="F186" s="16">
        <f>Levels!F187/Levels!F186-1-Levels!$Y186</f>
        <v>-6.5081485665472449E-3</v>
      </c>
      <c r="G186" s="16">
        <f>Levels!G187/Levels!G186-1-Levels!$Y186</f>
        <v>-4.9196482582529732E-3</v>
      </c>
      <c r="H186" s="16">
        <f>Levels!H187/Levels!H186-1-Levels!$Y186</f>
        <v>-1.7769962082445634E-3</v>
      </c>
      <c r="I186" s="16">
        <f>Levels!I187/Levels!I186-1-Levels!$Y186</f>
        <v>6.3749047428429684E-4</v>
      </c>
      <c r="J186" s="16">
        <f>Levels!J187/Levels!J186-1-Levels!$Y186</f>
        <v>9.5436307986167535E-3</v>
      </c>
      <c r="K186" s="16">
        <f>Levels!K187/Levels!K186-1-Levels!$Y186</f>
        <v>7.3679856509687447E-3</v>
      </c>
      <c r="L186" s="16">
        <f>Levels!L187/Levels!L186-1-Levels!$Y186</f>
        <v>2.645982753811893E-3</v>
      </c>
      <c r="M186" s="16">
        <f>Levels!M187/Levels!M186-1-Levels!$Y186</f>
        <v>-5.0568799530273933E-3</v>
      </c>
      <c r="N186" s="16">
        <f>Levels!N187/Levels!N186-1-Levels!$Y186</f>
        <v>-2.1274406830753545E-3</v>
      </c>
      <c r="O186" s="16">
        <f>Levels!O187/Levels!O186-1-Levels!$Y186</f>
        <v>-1.0579506267061056E-4</v>
      </c>
      <c r="P186" s="16">
        <f>Levels!P187/Levels!P186-1-Levels!$Y186</f>
        <v>-5.3042105074138091E-3</v>
      </c>
      <c r="Q186" s="16">
        <f>Levels!Q187/Levels!Q186-1-Levels!$Y186</f>
        <v>-4.4456007645492512E-3</v>
      </c>
      <c r="R186" s="16">
        <f>Levels!R187/Levels!R186-1-Levels!$Y186</f>
        <v>9.754182248009835E-3</v>
      </c>
      <c r="S186" s="16">
        <f>Levels!S187/Levels!S186-1-Levels!$Y186</f>
        <v>-5.4924443010962998E-3</v>
      </c>
      <c r="T186" s="16">
        <f>Levels!T187/Levels!T186-1-Levels!$Y186</f>
        <v>-2.2011208668777371E-3</v>
      </c>
      <c r="U186" s="16">
        <f>(Levels!U187/Levels!U186-1-Levels!$Y186)*$Y$2</f>
        <v>-6.7174962074143044E-2</v>
      </c>
      <c r="V186" s="16">
        <f>(Levels!V187/Levels!V186-1-Levels!$Y186)</f>
        <v>-2.4838908181086472E-2</v>
      </c>
    </row>
    <row r="187" spans="1:22" x14ac:dyDescent="0.35">
      <c r="A187" s="23">
        <v>45169</v>
      </c>
      <c r="B187" s="16">
        <f>Levels!B188/Levels!B187-1-Levels!$Y187</f>
        <v>-3.9296228168810288E-3</v>
      </c>
      <c r="C187" s="16">
        <f>Levels!C188/Levels!C187-1-Levels!$Y187</f>
        <v>-3.2287103671878703E-2</v>
      </c>
      <c r="D187" s="16">
        <f>Levels!D188/Levels!D187-1-Levels!$Y187</f>
        <v>-1.8801538774276483E-2</v>
      </c>
      <c r="E187" s="16">
        <f>Levels!E188/Levels!E187-1-Levels!$Y187</f>
        <v>-2.998715358519366E-3</v>
      </c>
      <c r="F187" s="16">
        <f>Levels!F188/Levels!F187-1-Levels!$Y187</f>
        <v>-1.0381065830187608E-2</v>
      </c>
      <c r="G187" s="16">
        <f>Levels!G188/Levels!G187-1-Levels!$Y187</f>
        <v>-1.0273200246375791E-2</v>
      </c>
      <c r="H187" s="16">
        <f>Levels!H188/Levels!H187-1-Levels!$Y187</f>
        <v>-1.2232598850619669E-2</v>
      </c>
      <c r="I187" s="16">
        <f>Levels!I188/Levels!I187-1-Levels!$Y187</f>
        <v>-1.1964265433169308E-2</v>
      </c>
      <c r="J187" s="16">
        <f>Levels!J188/Levels!J187-1-Levels!$Y187</f>
        <v>-1.5657254602563508E-3</v>
      </c>
      <c r="K187" s="16">
        <f>Levels!K188/Levels!K187-1-Levels!$Y187</f>
        <v>-4.2388195178537647E-3</v>
      </c>
      <c r="L187" s="16">
        <f>Levels!L188/Levels!L187-1-Levels!$Y187</f>
        <v>-4.9005298684262621E-3</v>
      </c>
      <c r="M187" s="16">
        <f>Levels!M188/Levels!M187-1-Levels!$Y187</f>
        <v>-1.2632050375100179E-2</v>
      </c>
      <c r="N187" s="16">
        <f>Levels!N188/Levels!N187-1-Levels!$Y187</f>
        <v>-4.9078935099213794E-3</v>
      </c>
      <c r="O187" s="16">
        <f>Levels!O188/Levels!O187-1-Levels!$Y187</f>
        <v>-1.7773378960506125E-3</v>
      </c>
      <c r="P187" s="16">
        <f>Levels!P188/Levels!P187-1-Levels!$Y187</f>
        <v>-1.6309786185269015E-3</v>
      </c>
      <c r="Q187" s="16">
        <f>Levels!Q188/Levels!Q187-1-Levels!$Y187</f>
        <v>-4.6360807774026291E-4</v>
      </c>
      <c r="R187" s="16">
        <f>Levels!R188/Levels!R187-1-Levels!$Y187</f>
        <v>6.462450943861775E-3</v>
      </c>
      <c r="S187" s="16">
        <f>Levels!S188/Levels!S187-1-Levels!$Y187</f>
        <v>-1.1883283512107212E-2</v>
      </c>
      <c r="T187" s="16">
        <f>Levels!T188/Levels!T187-1-Levels!$Y187</f>
        <v>-4.8884809089676518E-3</v>
      </c>
      <c r="U187" s="16">
        <f>(Levels!U188/Levels!U187-1-Levels!$Y187)*$Y$2</f>
        <v>-7.7664538459770241E-2</v>
      </c>
      <c r="V187" s="16">
        <f>(Levels!V188/Levels!V187-1-Levels!$Y187)</f>
        <v>-4.59012312504673E-2</v>
      </c>
    </row>
    <row r="188" spans="1:22" x14ac:dyDescent="0.35">
      <c r="A188" s="23">
        <v>45199</v>
      </c>
      <c r="B188" s="16">
        <f>Levels!B189/Levels!B188-1-Levels!$Y188</f>
        <v>-1.4046038608121703E-2</v>
      </c>
      <c r="C188" s="16">
        <f>Levels!C189/Levels!C188-1-Levels!$Y188</f>
        <v>-7.7376994392320708E-2</v>
      </c>
      <c r="D188" s="16">
        <f>Levels!D189/Levels!D188-1-Levels!$Y188</f>
        <v>-3.3741485788349235E-2</v>
      </c>
      <c r="E188" s="16">
        <f>Levels!E189/Levels!E188-1-Levels!$Y188</f>
        <v>-1.9588691826627147E-2</v>
      </c>
      <c r="F188" s="16">
        <f>Levels!F189/Levels!F188-1-Levels!$Y188</f>
        <v>-1.6370449617504446E-2</v>
      </c>
      <c r="G188" s="16">
        <f>Levels!G189/Levels!G188-1-Levels!$Y188</f>
        <v>-3.0125964740501332E-2</v>
      </c>
      <c r="H188" s="16">
        <f>Levels!H189/Levels!H188-1-Levels!$Y188</f>
        <v>-3.1654339890540228E-2</v>
      </c>
      <c r="I188" s="16">
        <f>Levels!I189/Levels!I188-1-Levels!$Y188</f>
        <v>-3.0707164820193644E-2</v>
      </c>
      <c r="J188" s="16">
        <f>Levels!J189/Levels!J188-1-Levels!$Y188</f>
        <v>-1.5847979167388671E-2</v>
      </c>
      <c r="K188" s="16">
        <f>Levels!K189/Levels!K188-1-Levels!$Y188</f>
        <v>-3.2093246603076109E-2</v>
      </c>
      <c r="L188" s="16">
        <f>Levels!L189/Levels!L188-1-Levels!$Y188</f>
        <v>-1.7409005921111276E-2</v>
      </c>
      <c r="M188" s="16">
        <f>Levels!M189/Levels!M188-1-Levels!$Y188</f>
        <v>-3.6294851624763314E-2</v>
      </c>
      <c r="N188" s="16">
        <f>Levels!N189/Levels!N188-1-Levels!$Y188</f>
        <v>-1.6306429403719624E-2</v>
      </c>
      <c r="O188" s="16">
        <f>Levels!O189/Levels!O188-1-Levels!$Y188</f>
        <v>-8.7735173226088925E-3</v>
      </c>
      <c r="P188" s="16">
        <f>Levels!P189/Levels!P188-1-Levels!$Y188</f>
        <v>-1.0487030963338806E-2</v>
      </c>
      <c r="Q188" s="16">
        <f>Levels!Q189/Levels!Q188-1-Levels!$Y188</f>
        <v>-9.2893076692580623E-3</v>
      </c>
      <c r="R188" s="16">
        <f>Levels!R189/Levels!R188-1-Levels!$Y188</f>
        <v>5.0882867366399687E-3</v>
      </c>
      <c r="S188" s="16">
        <f>Levels!S189/Levels!S188-1-Levels!$Y188</f>
        <v>-3.1905489966819633E-2</v>
      </c>
      <c r="T188" s="16">
        <f>Levels!T189/Levels!T188-1-Levels!$Y188</f>
        <v>-1.6063033828721651E-2</v>
      </c>
      <c r="U188" s="16">
        <f>(Levels!U189/Levels!U188-1-Levels!$Y188)*$Y$2</f>
        <v>-8.7882817402272731E-2</v>
      </c>
      <c r="V188" s="16">
        <f>(Levels!V189/Levels!V188-1-Levels!$Y188)</f>
        <v>-5.1772201060072298E-2</v>
      </c>
    </row>
    <row r="189" spans="1:22" x14ac:dyDescent="0.35">
      <c r="A189" s="23">
        <v>45230</v>
      </c>
      <c r="B189" s="16">
        <f>Levels!B190/Levels!B189-1-Levels!$Y189</f>
        <v>-7.8704349067618695E-3</v>
      </c>
      <c r="C189" s="16">
        <f>Levels!C190/Levels!C189-1-Levels!$Y189</f>
        <v>-5.3780643451426191E-2</v>
      </c>
      <c r="D189" s="16">
        <f>Levels!D190/Levels!D189-1-Levels!$Y189</f>
        <v>-1.2942721891761266E-2</v>
      </c>
      <c r="E189" s="16">
        <f>Levels!E190/Levels!E189-1-Levels!$Y189</f>
        <v>-6.5747547992424105E-3</v>
      </c>
      <c r="F189" s="16">
        <f>Levels!F190/Levels!F189-1-Levels!$Y189</f>
        <v>-1.112878666381667E-2</v>
      </c>
      <c r="G189" s="16">
        <f>Levels!G190/Levels!G189-1-Levels!$Y189</f>
        <v>-1.974239844156922E-2</v>
      </c>
      <c r="H189" s="16">
        <f>Levels!H190/Levels!H189-1-Levels!$Y189</f>
        <v>-2.2973455356577022E-2</v>
      </c>
      <c r="I189" s="16">
        <f>Levels!I190/Levels!I189-1-Levels!$Y189</f>
        <v>-2.3142502532683795E-2</v>
      </c>
      <c r="J189" s="16">
        <f>Levels!J190/Levels!J189-1-Levels!$Y189</f>
        <v>-1.5719700465264941E-2</v>
      </c>
      <c r="K189" s="16">
        <f>Levels!K190/Levels!K189-1-Levels!$Y189</f>
        <v>-3.0139203641095902E-2</v>
      </c>
      <c r="L189" s="16">
        <f>Levels!L190/Levels!L189-1-Levels!$Y189</f>
        <v>-7.7197115830577312E-3</v>
      </c>
      <c r="M189" s="16">
        <f>Levels!M190/Levels!M189-1-Levels!$Y189</f>
        <v>-2.5091530365200843E-2</v>
      </c>
      <c r="N189" s="16">
        <f>Levels!N190/Levels!N189-1-Levels!$Y189</f>
        <v>-1.3292283450336284E-2</v>
      </c>
      <c r="O189" s="16">
        <f>Levels!O190/Levels!O189-1-Levels!$Y189</f>
        <v>-6.0779556980349314E-3</v>
      </c>
      <c r="P189" s="16">
        <f>Levels!P190/Levels!P189-1-Levels!$Y189</f>
        <v>-1.4866184888450373E-2</v>
      </c>
      <c r="Q189" s="16">
        <f>Levels!Q190/Levels!Q189-1-Levels!$Y189</f>
        <v>-1.3701211501649935E-2</v>
      </c>
      <c r="R189" s="16">
        <f>Levels!R190/Levels!R189-1-Levels!$Y189</f>
        <v>-3.5107625478536519E-3</v>
      </c>
      <c r="S189" s="16">
        <f>Levels!S190/Levels!S189-1-Levels!$Y189</f>
        <v>-2.5876437902836225E-2</v>
      </c>
      <c r="T189" s="16">
        <f>Levels!T190/Levels!T189-1-Levels!$Y189</f>
        <v>-1.2987445870322301E-2</v>
      </c>
      <c r="U189" s="16">
        <f>(Levels!U190/Levels!U189-1-Levels!$Y189)*$Y$2</f>
        <v>0.10061223642450602</v>
      </c>
      <c r="V189" s="16">
        <f>(Levels!V190/Levels!V189-1-Levels!$Y189)</f>
        <v>6.4728461241555291E-2</v>
      </c>
    </row>
    <row r="190" spans="1:22" x14ac:dyDescent="0.35">
      <c r="A190" s="23">
        <v>45260</v>
      </c>
      <c r="B190" s="16">
        <f>Levels!B191/Levels!B190-1-Levels!$Y190</f>
        <v>1.7598886476157594E-2</v>
      </c>
      <c r="C190" s="16">
        <f>Levels!C191/Levels!C190-1-Levels!$Y190</f>
        <v>8.7114566571595997E-2</v>
      </c>
      <c r="D190" s="16">
        <f>Levels!D191/Levels!D190-1-Levels!$Y190</f>
        <v>5.9034288159294235E-2</v>
      </c>
      <c r="E190" s="16">
        <f>Levels!E191/Levels!E190-1-Levels!$Y190</f>
        <v>2.6263199315929242E-2</v>
      </c>
      <c r="F190" s="16">
        <f>Levels!F191/Levels!F190-1-Levels!$Y190</f>
        <v>2.3484551450793756E-2</v>
      </c>
      <c r="G190" s="16">
        <f>Levels!G191/Levels!G190-1-Levels!$Y190</f>
        <v>3.7089790941945866E-2</v>
      </c>
      <c r="H190" s="16">
        <f>Levels!H191/Levels!H190-1-Levels!$Y190</f>
        <v>5.2881021441154141E-2</v>
      </c>
      <c r="I190" s="16">
        <f>Levels!I191/Levels!I190-1-Levels!$Y190</f>
        <v>5.6795379290278447E-2</v>
      </c>
      <c r="J190" s="16">
        <f>Levels!J191/Levels!J190-1-Levels!$Y190</f>
        <v>3.9947650518905142E-2</v>
      </c>
      <c r="K190" s="16">
        <f>Levels!K191/Levels!K190-1-Levels!$Y190</f>
        <v>8.0185738477838386E-2</v>
      </c>
      <c r="L190" s="16">
        <f>Levels!L191/Levels!L190-1-Levels!$Y190</f>
        <v>2.8795587122006694E-2</v>
      </c>
      <c r="M190" s="16">
        <f>Levels!M191/Levels!M190-1-Levels!$Y190</f>
        <v>4.7681157514503747E-2</v>
      </c>
      <c r="N190" s="16">
        <f>Levels!N191/Levels!N190-1-Levels!$Y190</f>
        <v>2.6170387364775838E-2</v>
      </c>
      <c r="O190" s="16">
        <f>Levels!O191/Levels!O190-1-Levels!$Y190</f>
        <v>1.2635650183031144E-2</v>
      </c>
      <c r="P190" s="16">
        <f>Levels!P191/Levels!P190-1-Levels!$Y190</f>
        <v>-3.3641851420995739E-3</v>
      </c>
      <c r="Q190" s="16">
        <f>Levels!Q191/Levels!Q190-1-Levels!$Y190</f>
        <v>-1.5168818974007348E-3</v>
      </c>
      <c r="R190" s="16">
        <f>Levels!R191/Levels!R190-1-Levels!$Y190</f>
        <v>7.0987241711530924E-3</v>
      </c>
      <c r="S190" s="16">
        <f>Levels!S191/Levels!S190-1-Levels!$Y190</f>
        <v>5.0076835934048214E-2</v>
      </c>
      <c r="T190" s="16">
        <f>Levels!T191/Levels!T190-1-Levels!$Y190</f>
        <v>2.6012441295108157E-2</v>
      </c>
      <c r="U190" s="16">
        <f>(Levels!U191/Levels!U190-1-Levels!$Y190)*$Y$2</f>
        <v>0.13930533084102645</v>
      </c>
      <c r="V190" s="16">
        <f>(Levels!V191/Levels!V190-1-Levels!$Y190)</f>
        <v>7.2185866378332131E-2</v>
      </c>
    </row>
    <row r="191" spans="1:22" x14ac:dyDescent="0.35">
      <c r="A191" s="23">
        <v>45291</v>
      </c>
      <c r="B191" s="16">
        <f>Levels!B192/Levels!B191-1-Levels!$Y191</f>
        <v>1.6623825630313949E-2</v>
      </c>
      <c r="C191" s="16">
        <f>Levels!C192/Levels!C191-1-Levels!$Y191</f>
        <v>8.1698810589695636E-2</v>
      </c>
      <c r="D191" s="16">
        <f>Levels!D192/Levels!D191-1-Levels!$Y191</f>
        <v>1.8854281533626782E-2</v>
      </c>
      <c r="E191" s="16">
        <f>Levels!E192/Levels!E191-1-Levels!$Y191</f>
        <v>2.7689921650272176E-2</v>
      </c>
      <c r="F191" s="16">
        <f>Levels!F192/Levels!F191-1-Levels!$Y191</f>
        <v>2.1245426099921749E-2</v>
      </c>
      <c r="G191" s="16">
        <f>Levels!G192/Levels!G191-1-Levels!$Y191</f>
        <v>3.2796549197789737E-2</v>
      </c>
      <c r="H191" s="16">
        <f>Levels!H192/Levels!H191-1-Levels!$Y191</f>
        <v>3.7699760978823216E-2</v>
      </c>
      <c r="I191" s="16">
        <f>Levels!I192/Levels!I191-1-Levels!$Y191</f>
        <v>4.0374278498867211E-2</v>
      </c>
      <c r="J191" s="16">
        <f>Levels!J192/Levels!J191-1-Levels!$Y191</f>
        <v>3.2256872095017597E-2</v>
      </c>
      <c r="K191" s="16">
        <f>Levels!K192/Levels!K191-1-Levels!$Y191</f>
        <v>6.16523457880922E-2</v>
      </c>
      <c r="L191" s="16">
        <f>Levels!L192/Levels!L191-1-Levels!$Y191</f>
        <v>2.8561401345888138E-2</v>
      </c>
      <c r="M191" s="16">
        <f>Levels!M192/Levels!M191-1-Levels!$Y191</f>
        <v>3.8708291609451662E-2</v>
      </c>
      <c r="N191" s="16">
        <f>Levels!N192/Levels!N191-1-Levels!$Y191</f>
        <v>2.5951724083775218E-2</v>
      </c>
      <c r="O191" s="16">
        <f>Levels!O192/Levels!O191-1-Levels!$Y191</f>
        <v>1.4703523451100597E-2</v>
      </c>
      <c r="P191" s="16">
        <f>Levels!P192/Levels!P191-1-Levels!$Y191</f>
        <v>3.447566867379015E-3</v>
      </c>
      <c r="Q191" s="16">
        <f>Levels!Q192/Levels!Q191-1-Levels!$Y191</f>
        <v>5.1462691552552897E-3</v>
      </c>
      <c r="R191" s="16">
        <f>Levels!R192/Levels!R191-1-Levels!$Y191</f>
        <v>1.0979215500954043E-2</v>
      </c>
      <c r="S191" s="16">
        <f>Levels!S192/Levels!S191-1-Levels!$Y191</f>
        <v>3.8402310542581253E-2</v>
      </c>
      <c r="T191" s="16">
        <f>Levels!T192/Levels!T191-1-Levels!$Y191</f>
        <v>2.567446983389865E-2</v>
      </c>
      <c r="U191" s="16">
        <f>(Levels!U192/Levels!U191-1-Levels!$Y191)*$Y$2</f>
        <v>-5.2464228349885775E-2</v>
      </c>
      <c r="V191" s="16">
        <f>(Levels!V192/Levels!V191-1-Levels!$Y191)</f>
        <v>-2.9194301363718034E-2</v>
      </c>
    </row>
    <row r="192" spans="1:22" x14ac:dyDescent="0.35">
      <c r="A192" s="23">
        <v>45322</v>
      </c>
      <c r="B192" s="16">
        <f>Levels!B193/Levels!B192-1-Levels!$Y192</f>
        <v>-2.1931058414752513E-3</v>
      </c>
      <c r="C192" s="16">
        <f>Levels!C193/Levels!C192-1-Levels!$Y192</f>
        <v>-2.636448857708984E-2</v>
      </c>
      <c r="D192" s="16">
        <f>Levels!D193/Levels!D192-1-Levels!$Y192</f>
        <v>-9.4549169959395885E-3</v>
      </c>
      <c r="E192" s="16">
        <f>Levels!E193/Levels!E192-1-Levels!$Y192</f>
        <v>-7.860599470465246E-3</v>
      </c>
      <c r="F192" s="16">
        <f>Levels!F193/Levels!F192-1-Levels!$Y192</f>
        <v>-1.6512244702511225E-3</v>
      </c>
      <c r="G192" s="16">
        <f>Levels!G193/Levels!G192-1-Levels!$Y192</f>
        <v>-7.7509701773165185E-3</v>
      </c>
      <c r="H192" s="16">
        <f>Levels!H193/Levels!H192-1-Levels!$Y192</f>
        <v>-6.3449093232907927E-3</v>
      </c>
      <c r="I192" s="16">
        <f>Levels!I193/Levels!I192-1-Levels!$Y192</f>
        <v>-5.6267682731482305E-3</v>
      </c>
      <c r="J192" s="16">
        <f>Levels!J193/Levels!J192-1-Levels!$Y192</f>
        <v>-4.453360838838516E-3</v>
      </c>
      <c r="K192" s="16">
        <f>Levels!K193/Levels!K192-1-Levels!$Y192</f>
        <v>-1.5546718353049993E-3</v>
      </c>
      <c r="L192" s="16">
        <f>Levels!L193/Levels!L192-1-Levels!$Y192</f>
        <v>-5.1117732872310029E-3</v>
      </c>
      <c r="M192" s="16">
        <f>Levels!M193/Levels!M192-1-Levels!$Y192</f>
        <v>-8.9723411798848796E-3</v>
      </c>
      <c r="N192" s="16">
        <f>Levels!N193/Levels!N192-1-Levels!$Y192</f>
        <v>2.8443151675594525E-3</v>
      </c>
      <c r="O192" s="16">
        <f>Levels!O193/Levels!O192-1-Levels!$Y192</f>
        <v>3.4214291247414153E-4</v>
      </c>
      <c r="P192" s="16">
        <f>Levels!P193/Levels!P192-1-Levels!$Y192</f>
        <v>2.6511861024596239E-3</v>
      </c>
      <c r="Q192" s="16">
        <f>Levels!Q193/Levels!Q192-1-Levels!$Y192</f>
        <v>4.0449474099368832E-3</v>
      </c>
      <c r="R192" s="16">
        <f>Levels!R193/Levels!R192-1-Levels!$Y192</f>
        <v>3.456209991205661E-3</v>
      </c>
      <c r="S192" s="16">
        <f>Levels!S193/Levels!S192-1-Levels!$Y192</f>
        <v>-6.0639767639852904E-3</v>
      </c>
      <c r="T192" s="16">
        <f>Levels!T193/Levels!T192-1-Levels!$Y192</f>
        <v>3.3618617718584876E-3</v>
      </c>
      <c r="U192" s="16">
        <f>(Levels!U193/Levels!U192-1-Levels!$Y192)*$Y$2</f>
        <v>6.1026800623503602E-2</v>
      </c>
      <c r="V192" s="16">
        <f>(Levels!V193/Levels!V192-1-Levels!$Y192)</f>
        <v>-8.7230369616028147E-3</v>
      </c>
    </row>
    <row r="193" spans="1:22" x14ac:dyDescent="0.35">
      <c r="A193" s="23">
        <v>45350</v>
      </c>
      <c r="B193" s="16">
        <f>Levels!B194/Levels!B193-1-Levels!$Y193</f>
        <v>-1.5026356231144233E-2</v>
      </c>
      <c r="C193" s="16">
        <f>Levels!C194/Levels!C193-1-Levels!$Y193</f>
        <v>-2.719318298687301E-2</v>
      </c>
      <c r="D193" s="16">
        <f>Levels!D194/Levels!D193-1-Levels!$Y193</f>
        <v>-3.0825386526989185E-3</v>
      </c>
      <c r="E193" s="16">
        <f>Levels!E194/Levels!E193-1-Levels!$Y193</f>
        <v>-7.4899906608041356E-3</v>
      </c>
      <c r="F193" s="16">
        <f>Levels!F194/Levels!F193-1-Levels!$Y193</f>
        <v>-1.3599467881919347E-2</v>
      </c>
      <c r="G193" s="16">
        <f>Levels!G194/Levels!G193-1-Levels!$Y193</f>
        <v>-1.8571317881797111E-2</v>
      </c>
      <c r="H193" s="16">
        <f>Levels!H194/Levels!H193-1-Levels!$Y193</f>
        <v>-1.9311026375623763E-2</v>
      </c>
      <c r="I193" s="16">
        <f>Levels!I194/Levels!I193-1-Levels!$Y193</f>
        <v>-1.8729999208200288E-2</v>
      </c>
      <c r="J193" s="16">
        <f>Levels!J194/Levels!J193-1-Levels!$Y193</f>
        <v>-1.4069537819640932E-3</v>
      </c>
      <c r="K193" s="16">
        <f>Levels!K194/Levels!K193-1-Levels!$Y193</f>
        <v>-3.1905397068039409E-3</v>
      </c>
      <c r="L193" s="16">
        <f>Levels!L194/Levels!L193-1-Levels!$Y193</f>
        <v>-1.1238451008049544E-2</v>
      </c>
      <c r="M193" s="16">
        <f>Levels!M194/Levels!M193-1-Levels!$Y193</f>
        <v>-2.0634930992229239E-2</v>
      </c>
      <c r="N193" s="16">
        <f>Levels!N194/Levels!N193-1-Levels!$Y193</f>
        <v>-1.2116114630694952E-2</v>
      </c>
      <c r="O193" s="16">
        <f>Levels!O194/Levels!O193-1-Levels!$Y193</f>
        <v>-7.2152337713946579E-3</v>
      </c>
      <c r="P193" s="16">
        <f>Levels!P194/Levels!P193-1-Levels!$Y193</f>
        <v>1.2918431744348702E-3</v>
      </c>
      <c r="Q193" s="16">
        <f>Levels!Q194/Levels!Q193-1-Levels!$Y193</f>
        <v>2.7053226283022536E-3</v>
      </c>
      <c r="R193" s="16">
        <f>Levels!R194/Levels!R193-1-Levels!$Y193</f>
        <v>5.611782058050796E-3</v>
      </c>
      <c r="S193" s="16">
        <f>Levels!S194/Levels!S193-1-Levels!$Y193</f>
        <v>-2.335033956729915E-2</v>
      </c>
      <c r="T193" s="16">
        <f>Levels!T194/Levels!T193-1-Levels!$Y193</f>
        <v>-1.1488946787287846E-2</v>
      </c>
      <c r="U193" s="16">
        <f>(Levels!U194/Levels!U193-1-Levels!$Y193)*$Y$2</f>
        <v>3.5469450361845567E-2</v>
      </c>
      <c r="V193" s="16">
        <f>(Levels!V194/Levels!V193-1-Levels!$Y193)</f>
        <v>2.7185653374202534E-2</v>
      </c>
    </row>
    <row r="194" spans="1:22" x14ac:dyDescent="0.35">
      <c r="A194" s="23">
        <v>45382</v>
      </c>
      <c r="B194" s="16">
        <f>Levels!B195/Levels!B194-1-Levels!$Y194</f>
        <v>5.6520895216283229E-4</v>
      </c>
      <c r="C194" s="16">
        <f>Levels!C195/Levels!C194-1-Levels!$Y194</f>
        <v>7.9427627738393181E-3</v>
      </c>
      <c r="D194" s="16">
        <f>Levels!D195/Levels!D194-1-Levels!$Y194</f>
        <v>-4.4108273909303497E-3</v>
      </c>
      <c r="E194" s="16">
        <f>Levels!E195/Levels!E194-1-Levels!$Y194</f>
        <v>4.1968091500834692E-3</v>
      </c>
      <c r="F194" s="16">
        <f>Levels!F195/Levels!F194-1-Levels!$Y194</f>
        <v>2.420440366372123E-3</v>
      </c>
      <c r="G194" s="16">
        <f>Levels!G195/Levels!G194-1-Levels!$Y194</f>
        <v>3.7029419509730932E-3</v>
      </c>
      <c r="H194" s="16">
        <f>Levels!H195/Levels!H194-1-Levels!$Y194</f>
        <v>7.5928089228538553E-3</v>
      </c>
      <c r="I194" s="16">
        <f>Levels!I195/Levels!I194-1-Levels!$Y194</f>
        <v>9.5256111488377648E-3</v>
      </c>
      <c r="J194" s="16">
        <f>Levels!J195/Levels!J194-1-Levels!$Y194</f>
        <v>7.343572618697447E-3</v>
      </c>
      <c r="K194" s="16">
        <f>Levels!K195/Levels!K194-1-Levels!$Y194</f>
        <v>1.2242471296900703E-2</v>
      </c>
      <c r="L194" s="16">
        <f>Levels!L195/Levels!L194-1-Levels!$Y194</f>
        <v>6.9948773999384262E-3</v>
      </c>
      <c r="M194" s="16">
        <f>Levels!M195/Levels!M194-1-Levels!$Y194</f>
        <v>6.2119590864562202E-3</v>
      </c>
      <c r="N194" s="16">
        <f>Levels!N195/Levels!N194-1-Levels!$Y194</f>
        <v>4.6887033713056692E-3</v>
      </c>
      <c r="O194" s="16">
        <f>Levels!O195/Levels!O194-1-Levels!$Y194</f>
        <v>5.6629674774510974E-4</v>
      </c>
      <c r="P194" s="16">
        <f>Levels!P195/Levels!P194-1-Levels!$Y194</f>
        <v>7.7684725745958971E-3</v>
      </c>
      <c r="Q194" s="16">
        <f>Levels!Q195/Levels!Q194-1-Levels!$Y194</f>
        <v>9.3235348035083376E-3</v>
      </c>
      <c r="R194" s="16">
        <f>Levels!R195/Levels!R194-1-Levels!$Y194</f>
        <v>3.3747920928057784E-3</v>
      </c>
      <c r="S194" s="16">
        <f>Levels!S195/Levels!S194-1-Levels!$Y194</f>
        <v>5.8737262410590851E-3</v>
      </c>
      <c r="T194" s="16">
        <f>Levels!T195/Levels!T194-1-Levels!$Y194</f>
        <v>5.0593327237782315E-3</v>
      </c>
      <c r="U194" s="16">
        <f>(Levels!U195/Levels!U194-1-Levels!$Y194)*$Y$2</f>
        <v>-9.0340850905156506E-2</v>
      </c>
      <c r="V194" s="16">
        <f>(Levels!V195/Levels!V194-1-Levels!$Y194)</f>
        <v>-5.6301538409426866E-2</v>
      </c>
    </row>
    <row r="195" spans="1:22" x14ac:dyDescent="0.35">
      <c r="A195" s="23">
        <v>45412</v>
      </c>
      <c r="B195" s="16">
        <f>Levels!B196/Levels!B195-1-Levels!$Y195</f>
        <v>-1.8072381339888866E-2</v>
      </c>
      <c r="C195" s="16">
        <f>Levels!C196/Levels!C195-1-Levels!$Y195</f>
        <v>-6.528976901334127E-2</v>
      </c>
      <c r="D195" s="16">
        <f>Levels!D196/Levels!D195-1-Levels!$Y195</f>
        <v>-1.6754074401316266E-2</v>
      </c>
      <c r="E195" s="16">
        <f>Levels!E196/Levels!E195-1-Levels!$Y195</f>
        <v>-1.761019775361794E-2</v>
      </c>
      <c r="F195" s="16">
        <f>Levels!F196/Levels!F195-1-Levels!$Y195</f>
        <v>-2.0267894832992961E-2</v>
      </c>
      <c r="G195" s="16">
        <f>Levels!G196/Levels!G195-1-Levels!$Y195</f>
        <v>-3.0116778616529505E-2</v>
      </c>
      <c r="H195" s="16">
        <f>Levels!H196/Levels!H195-1-Levels!$Y195</f>
        <v>-2.9824689792706804E-2</v>
      </c>
      <c r="I195" s="16">
        <f>Levels!I196/Levels!I195-1-Levels!$Y195</f>
        <v>-2.9304786848676989E-2</v>
      </c>
      <c r="J195" s="16">
        <f>Levels!J196/Levels!J195-1-Levels!$Y195</f>
        <v>-1.3245336118245632E-2</v>
      </c>
      <c r="K195" s="16">
        <f>Levels!K196/Levels!K195-1-Levels!$Y195</f>
        <v>-3.9863494590961723E-2</v>
      </c>
      <c r="L195" s="16">
        <f>Levels!L196/Levels!L195-1-Levels!$Y195</f>
        <v>-1.7705996276315417E-2</v>
      </c>
      <c r="M195" s="16">
        <f>Levels!M196/Levels!M195-1-Levels!$Y195</f>
        <v>-3.4624875575934744E-2</v>
      </c>
      <c r="N195" s="16">
        <f>Levels!N196/Levels!N195-1-Levels!$Y195</f>
        <v>-2.2119066259068898E-2</v>
      </c>
      <c r="O195" s="16">
        <f>Levels!O196/Levels!O195-1-Levels!$Y195</f>
        <v>-1.0527833134645781E-2</v>
      </c>
      <c r="P195" s="16">
        <f>Levels!P196/Levels!P195-1-Levels!$Y195</f>
        <v>6.2331510492388276E-3</v>
      </c>
      <c r="Q195" s="16">
        <f>Levels!Q196/Levels!Q195-1-Levels!$Y195</f>
        <v>7.8317503466776017E-3</v>
      </c>
      <c r="R195" s="16">
        <f>Levels!R196/Levels!R195-1-Levels!$Y195</f>
        <v>1.8335894927030694E-3</v>
      </c>
      <c r="S195" s="16">
        <f>Levels!S196/Levels!S195-1-Levels!$Y195</f>
        <v>-3.3237429300906229E-2</v>
      </c>
      <c r="T195" s="16">
        <f>Levels!T196/Levels!T195-1-Levels!$Y195</f>
        <v>-2.1826812784610294E-2</v>
      </c>
      <c r="U195" s="16">
        <f>(Levels!U196/Levels!U195-1-Levels!$Y195)*$Y$2</f>
        <v>5.3251920008059006E-2</v>
      </c>
      <c r="V195" s="16">
        <f>(Levels!V196/Levels!V195-1-Levels!$Y195)</f>
        <v>1.1684172986867747E-2</v>
      </c>
    </row>
    <row r="196" spans="1:22" x14ac:dyDescent="0.35">
      <c r="A196" s="23">
        <v>45443</v>
      </c>
      <c r="B196" s="16">
        <f>Levels!B197/Levels!B196-1-Levels!$Y196</f>
        <v>6.7823031783413867E-3</v>
      </c>
      <c r="C196" s="16">
        <f>Levels!C197/Levels!C196-1-Levels!$Y196</f>
        <v>2.417338706479244E-2</v>
      </c>
      <c r="D196" s="16">
        <f>Levels!D197/Levels!D196-1-Levels!$Y196</f>
        <v>-7.3259740344790991E-3</v>
      </c>
      <c r="E196" s="16">
        <f>Levels!E197/Levels!E196-1-Levels!$Y196</f>
        <v>-3.5540390815302914E-4</v>
      </c>
      <c r="F196" s="16">
        <f>Levels!F197/Levels!F196-1-Levels!$Y196</f>
        <v>8.4586069505350192E-3</v>
      </c>
      <c r="G196" s="16">
        <f>Levels!G197/Levels!G196-1-Levels!$Y196</f>
        <v>1.2140449356813576E-2</v>
      </c>
      <c r="H196" s="16">
        <f>Levels!H197/Levels!H196-1-Levels!$Y196</f>
        <v>1.3729733169402625E-2</v>
      </c>
      <c r="I196" s="16">
        <f>Levels!I197/Levels!I196-1-Levels!$Y196</f>
        <v>1.516050232237065E-2</v>
      </c>
      <c r="J196" s="16">
        <f>Levels!J197/Levels!J196-1-Levels!$Y196</f>
        <v>6.6020141896072637E-3</v>
      </c>
      <c r="K196" s="16">
        <f>Levels!K197/Levels!K196-1-Levels!$Y196</f>
        <v>6.159114905527785E-3</v>
      </c>
      <c r="L196" s="16">
        <f>Levels!L197/Levels!L196-1-Levels!$Y196</f>
        <v>5.8460501206387683E-3</v>
      </c>
      <c r="M196" s="16">
        <f>Levels!M197/Levels!M196-1-Levels!$Y196</f>
        <v>1.5588694784794299E-2</v>
      </c>
      <c r="N196" s="16">
        <f>Levels!N197/Levels!N196-1-Levels!$Y196</f>
        <v>1.1008322407648485E-2</v>
      </c>
      <c r="O196" s="16">
        <f>Levels!O197/Levels!O196-1-Levels!$Y196</f>
        <v>4.9027362539415531E-3</v>
      </c>
      <c r="P196" s="16">
        <f>Levels!P197/Levels!P196-1-Levels!$Y196</f>
        <v>2.6324156001367172E-4</v>
      </c>
      <c r="Q196" s="16">
        <f>Levels!Q197/Levels!Q196-1-Levels!$Y196</f>
        <v>1.5367221534781095E-3</v>
      </c>
      <c r="R196" s="16">
        <f>Levels!R197/Levels!R196-1-Levels!$Y196</f>
        <v>4.9745768885385289E-3</v>
      </c>
      <c r="S196" s="16">
        <f>Levels!S197/Levels!S196-1-Levels!$Y196</f>
        <v>1.3218634197449397E-2</v>
      </c>
      <c r="T196" s="16">
        <f>Levels!T197/Levels!T196-1-Levels!$Y196</f>
        <v>1.1259771528319362E-2</v>
      </c>
      <c r="U196" s="16">
        <f>(Levels!U197/Levels!U196-1-Levels!$Y196)*$Y$2</f>
        <v>-1.8278665456854658E-2</v>
      </c>
      <c r="V196" s="16">
        <f>(Levels!V197/Levels!V196-1-Levels!$Y196)</f>
        <v>7.3477517752031929E-3</v>
      </c>
    </row>
    <row r="197" spans="1:22" x14ac:dyDescent="0.35">
      <c r="A197" s="23">
        <v>45473</v>
      </c>
      <c r="B197" s="16">
        <f>Levels!B198/Levels!B197-1-Levels!$Y197</f>
        <v>4.0986919006433808E-3</v>
      </c>
      <c r="C197" s="16">
        <f>Levels!C198/Levels!C197-1-Levels!$Y197</f>
        <v>1.2110801096974821E-2</v>
      </c>
      <c r="D197" s="16">
        <f>Levels!D198/Levels!D197-1-Levels!$Y197</f>
        <v>1.0931715056524682E-2</v>
      </c>
      <c r="E197" s="16">
        <f>Levels!E198/Levels!E197-1-Levels!$Y197</f>
        <v>4.8706912022116189E-3</v>
      </c>
      <c r="F197" s="16">
        <f>Levels!F198/Levels!F197-1-Levels!$Y197</f>
        <v>4.1645393596689839E-3</v>
      </c>
      <c r="G197" s="16">
        <f>Levels!G198/Levels!G197-1-Levels!$Y197</f>
        <v>6.1330665813652541E-3</v>
      </c>
      <c r="H197" s="16">
        <f>Levels!H198/Levels!H197-1-Levels!$Y197</f>
        <v>2.0605967590405783E-3</v>
      </c>
      <c r="I197" s="16">
        <f>Levels!I198/Levels!I197-1-Levels!$Y197</f>
        <v>1.9614846486413207E-3</v>
      </c>
      <c r="J197" s="16">
        <f>Levels!J198/Levels!J197-1-Levels!$Y197</f>
        <v>5.2949080627735512E-3</v>
      </c>
      <c r="K197" s="16">
        <f>Levels!K198/Levels!K197-1-Levels!$Y197</f>
        <v>-8.8929070978726044E-3</v>
      </c>
      <c r="L197" s="16">
        <f>Levels!L198/Levels!L197-1-Levels!$Y197</f>
        <v>2.6080882156627183E-3</v>
      </c>
      <c r="M197" s="16">
        <f>Levels!M198/Levels!M197-1-Levels!$Y197</f>
        <v>7.3027834194563379E-3</v>
      </c>
      <c r="N197" s="16">
        <f>Levels!N198/Levels!N197-1-Levels!$Y197</f>
        <v>4.9989487124417753E-3</v>
      </c>
      <c r="O197" s="16">
        <f>Levels!O198/Levels!O197-1-Levels!$Y197</f>
        <v>2.2680999848341266E-3</v>
      </c>
      <c r="P197" s="16">
        <f>Levels!P198/Levels!P197-1-Levels!$Y197</f>
        <v>-5.4957014965022477E-3</v>
      </c>
      <c r="Q197" s="16">
        <f>Levels!Q198/Levels!Q197-1-Levels!$Y197</f>
        <v>-4.6462397009875422E-3</v>
      </c>
      <c r="R197" s="16">
        <f>Levels!R198/Levels!R197-1-Levels!$Y197</f>
        <v>-1.580954030274917E-3</v>
      </c>
      <c r="S197" s="16">
        <f>Levels!S198/Levels!S197-1-Levels!$Y197</f>
        <v>7.0544115769364257E-3</v>
      </c>
      <c r="T197" s="16">
        <f>Levels!T198/Levels!T197-1-Levels!$Y197</f>
        <v>5.1132994424165634E-3</v>
      </c>
      <c r="U197" s="16">
        <f>(Levels!U198/Levels!U197-1-Levels!$Y197)*$Y$2</f>
        <v>0.11590880767011633</v>
      </c>
      <c r="V197" s="16">
        <f>(Levels!V198/Levels!V197-1-Levels!$Y197)</f>
        <v>4.4436761304903261E-2</v>
      </c>
    </row>
    <row r="198" spans="1:22" x14ac:dyDescent="0.35">
      <c r="A198" s="23">
        <v>45504</v>
      </c>
      <c r="B198" s="16">
        <f>Levels!B199/Levels!B198-1-Levels!$Y198</f>
        <v>1.4046099671787715E-2</v>
      </c>
      <c r="C198" s="16">
        <f>Levels!C199/Levels!C198-1-Levels!$Y198</f>
        <v>3.1383233203798211E-2</v>
      </c>
      <c r="D198" s="16">
        <f>Levels!D199/Levels!D198-1-Levels!$Y198</f>
        <v>4.7552093931706452E-3</v>
      </c>
      <c r="E198" s="16">
        <f>Levels!E199/Levels!E198-1-Levels!$Y198</f>
        <v>1.3980897243084378E-2</v>
      </c>
      <c r="F198" s="16">
        <f>Levels!F199/Levels!F198-1-Levels!$Y198</f>
        <v>1.4801620450333175E-2</v>
      </c>
      <c r="G198" s="16">
        <f>Levels!G199/Levels!G198-1-Levels!$Y198</f>
        <v>1.907928162079231E-2</v>
      </c>
      <c r="H198" s="16">
        <f>Levels!H199/Levels!H198-1-Levels!$Y198</f>
        <v>1.9292719499189648E-2</v>
      </c>
      <c r="I198" s="16">
        <f>Levels!I199/Levels!I198-1-Levels!$Y198</f>
        <v>1.9388332051782475E-2</v>
      </c>
      <c r="J198" s="16">
        <f>Levels!J199/Levels!J198-1-Levels!$Y198</f>
        <v>1.4893758751588493E-2</v>
      </c>
      <c r="K198" s="16">
        <f>Levels!K199/Levels!K198-1-Levels!$Y198</f>
        <v>2.5916604739352644E-2</v>
      </c>
      <c r="L198" s="16">
        <f>Levels!L199/Levels!L198-1-Levels!$Y198</f>
        <v>1.4840947437751106E-2</v>
      </c>
      <c r="M198" s="16">
        <f>Levels!M199/Levels!M198-1-Levels!$Y198</f>
        <v>2.2002116933728555E-2</v>
      </c>
      <c r="N198" s="16">
        <f>Levels!N199/Levels!N198-1-Levels!$Y198</f>
        <v>1.6162654095054796E-2</v>
      </c>
      <c r="O198" s="16">
        <f>Levels!O199/Levels!O198-1-Levels!$Y198</f>
        <v>9.2986068165439306E-3</v>
      </c>
      <c r="P198" s="16">
        <f>Levels!P199/Levels!P198-1-Levels!$Y198</f>
        <v>-1.157489307415549E-3</v>
      </c>
      <c r="Q198" s="16">
        <f>Levels!Q199/Levels!Q198-1-Levels!$Y198</f>
        <v>-4.0532570844931115E-4</v>
      </c>
      <c r="R198" s="16">
        <f>Levels!R199/Levels!R198-1-Levels!$Y198</f>
        <v>2.6959704918465555E-3</v>
      </c>
      <c r="S198" s="16">
        <f>Levels!S199/Levels!S198-1-Levels!$Y198</f>
        <v>2.411086091757797E-2</v>
      </c>
      <c r="T198" s="16">
        <f>Levels!T199/Levels!T198-1-Levels!$Y198</f>
        <v>1.6191671498388294E-2</v>
      </c>
      <c r="U198" s="16">
        <f>(Levels!U199/Levels!U198-1-Levels!$Y198)*$Y$2</f>
        <v>-2.4845035313759745E-2</v>
      </c>
      <c r="V198" s="16">
        <f>(Levels!V199/Levels!V198-1-Levels!$Y198)</f>
        <v>3.2070470721596633E-2</v>
      </c>
    </row>
    <row r="199" spans="1:22" x14ac:dyDescent="0.35">
      <c r="A199" s="23">
        <v>45535</v>
      </c>
      <c r="B199" s="16">
        <f>Levels!B200/Levels!B199-1-Levels!$Y199</f>
        <v>6.5667516963718864E-3</v>
      </c>
      <c r="C199" s="16">
        <f>Levels!C200/Levels!C199-1-Levels!$Y199</f>
        <v>1.6063937978706866E-2</v>
      </c>
      <c r="D199" s="16">
        <f>Levels!D200/Levels!D199-1-Levels!$Y199</f>
        <v>3.5844284306798535E-3</v>
      </c>
      <c r="E199" s="16">
        <f>Levels!E200/Levels!E199-1-Levels!$Y199</f>
        <v>3.7437507335178477E-3</v>
      </c>
      <c r="F199" s="16">
        <f>Levels!F200/Levels!F199-1-Levels!$Y199</f>
        <v>7.9054812034691224E-3</v>
      </c>
      <c r="G199" s="16">
        <f>Levels!G200/Levels!G199-1-Levels!$Y199</f>
        <v>9.7225712022213084E-3</v>
      </c>
      <c r="H199" s="16">
        <f>Levels!H200/Levels!H199-1-Levels!$Y199</f>
        <v>1.1386434484768726E-2</v>
      </c>
      <c r="I199" s="16">
        <f>Levels!I200/Levels!I199-1-Levels!$Y199</f>
        <v>1.1539341933662906E-2</v>
      </c>
      <c r="J199" s="16">
        <f>Levels!J200/Levels!J199-1-Levels!$Y199</f>
        <v>1.1768835270547617E-2</v>
      </c>
      <c r="K199" s="16">
        <f>Levels!K200/Levels!K199-1-Levels!$Y199</f>
        <v>2.5846241047305707E-2</v>
      </c>
      <c r="L199" s="16">
        <f>Levels!L200/Levels!L199-1-Levels!$Y199</f>
        <v>5.7203454660714748E-3</v>
      </c>
      <c r="M199" s="16">
        <f>Levels!M200/Levels!M199-1-Levels!$Y199</f>
        <v>1.1833119834886441E-2</v>
      </c>
      <c r="N199" s="16">
        <f>Levels!N200/Levels!N199-1-Levels!$Y199</f>
        <v>7.9931763062301986E-3</v>
      </c>
      <c r="O199" s="16">
        <f>Levels!O200/Levels!O199-1-Levels!$Y199</f>
        <v>5.3912159435003382E-3</v>
      </c>
      <c r="P199" s="16">
        <f>Levels!P200/Levels!P199-1-Levels!$Y199</f>
        <v>4.0812078511236471E-3</v>
      </c>
      <c r="Q199" s="16">
        <f>Levels!Q200/Levels!Q199-1-Levels!$Y199</f>
        <v>4.7521174260618526E-3</v>
      </c>
      <c r="R199" s="16">
        <f>Levels!R200/Levels!R199-1-Levels!$Y199</f>
        <v>1.5790535883497547E-3</v>
      </c>
      <c r="S199" s="16">
        <f>Levels!S200/Levels!S199-1-Levels!$Y199</f>
        <v>1.0342715241951517E-2</v>
      </c>
      <c r="T199" s="16">
        <f>Levels!T200/Levels!T199-1-Levels!$Y199</f>
        <v>7.8648729824271069E-3</v>
      </c>
      <c r="U199" s="16">
        <f>(Levels!U200/Levels!U199-1-Levels!$Y199)*$Y$2</f>
        <v>1.514346598959193E-3</v>
      </c>
      <c r="V199" s="16">
        <f>(Levels!V200/Levels!V199-1-Levels!$Y199)</f>
        <v>1.3861630507347789E-2</v>
      </c>
    </row>
    <row r="200" spans="1:22" x14ac:dyDescent="0.35">
      <c r="A200" s="23">
        <v>45565</v>
      </c>
      <c r="B200" s="16">
        <f>Levels!B201/Levels!B200-1-Levels!$Y200</f>
        <v>5.7398577741136769E-3</v>
      </c>
      <c r="C200" s="16">
        <f>Levels!C201/Levels!C200-1-Levels!$Y200</f>
        <v>1.605696698250525E-2</v>
      </c>
      <c r="D200" s="16">
        <f>Levels!D201/Levels!D200-1-Levels!$Y200</f>
        <v>5.7162729356734499E-3</v>
      </c>
      <c r="E200" s="16">
        <f>Levels!E201/Levels!E200-1-Levels!$Y200</f>
        <v>6.4280324149357249E-3</v>
      </c>
      <c r="F200" s="16">
        <f>Levels!F201/Levels!F200-1-Levels!$Y200</f>
        <v>7.6790607282870571E-3</v>
      </c>
      <c r="G200" s="16">
        <f>Levels!G201/Levels!G200-1-Levels!$Y200</f>
        <v>7.9176969605458947E-3</v>
      </c>
      <c r="H200" s="16">
        <f>Levels!H201/Levels!H200-1-Levels!$Y200</f>
        <v>1.3665222950620448E-2</v>
      </c>
      <c r="I200" s="16">
        <f>Levels!I201/Levels!I200-1-Levels!$Y200</f>
        <v>1.3241649133037603E-2</v>
      </c>
      <c r="J200" s="16">
        <f>Levels!J201/Levels!J200-1-Levels!$Y200</f>
        <v>1.1960695449541703E-2</v>
      </c>
      <c r="K200" s="16">
        <f>Levels!K201/Levels!K200-1-Levels!$Y200</f>
        <v>1.4859379669958539E-2</v>
      </c>
      <c r="L200" s="16">
        <f>Levels!L201/Levels!L200-1-Levels!$Y200</f>
        <v>8.4673550816307674E-3</v>
      </c>
      <c r="M200" s="16">
        <f>Levels!M201/Levels!M200-1-Levels!$Y200</f>
        <v>7.6933966232095585E-3</v>
      </c>
      <c r="N200" s="16">
        <f>Levels!N201/Levels!N200-1-Levels!$Y200</f>
        <v>8.8708187261117288E-3</v>
      </c>
      <c r="O200" s="16">
        <f>Levels!O201/Levels!O200-1-Levels!$Y200</f>
        <v>5.6371092473237461E-3</v>
      </c>
      <c r="P200" s="16">
        <f>Levels!P201/Levels!P200-1-Levels!$Y200</f>
        <v>5.2559854001603679E-3</v>
      </c>
      <c r="Q200" s="16">
        <f>Levels!Q201/Levels!Q200-1-Levels!$Y200</f>
        <v>5.5349903816888091E-3</v>
      </c>
      <c r="R200" s="16">
        <f>Levels!R201/Levels!R200-1-Levels!$Y200</f>
        <v>2.0344011714885646E-3</v>
      </c>
      <c r="S200" s="16">
        <f>Levels!S201/Levels!S200-1-Levels!$Y200</f>
        <v>1.0356546075792616E-2</v>
      </c>
      <c r="T200" s="16">
        <f>Levels!T201/Levels!T200-1-Levels!$Y200</f>
        <v>8.8826732827960164E-3</v>
      </c>
      <c r="U200" s="16">
        <f>(Levels!U201/Levels!U200-1-Levels!$Y200)*$Y$2</f>
        <v>-2.2931060043890339E-2</v>
      </c>
      <c r="V200" s="16">
        <f>(Levels!V201/Levels!V200-1-Levels!$Y200)</f>
        <v>-2.8980222942535661E-2</v>
      </c>
    </row>
    <row r="201" spans="1:22" x14ac:dyDescent="0.35">
      <c r="A201" s="23">
        <v>45596</v>
      </c>
      <c r="B201" s="16">
        <f>Levels!B202/Levels!B201-1-Levels!$Y201</f>
        <v>-2.0209091113535083E-2</v>
      </c>
      <c r="C201" s="16">
        <f>Levels!C202/Levels!C201-1-Levels!$Y201</f>
        <v>-5.5832383725278212E-2</v>
      </c>
      <c r="D201" s="16">
        <f>Levels!D202/Levels!D201-1-Levels!$Y201</f>
        <v>-1.8357551588071841E-2</v>
      </c>
      <c r="E201" s="16">
        <f>Levels!E202/Levels!E201-1-Levels!$Y201</f>
        <v>-1.2659637238434329E-2</v>
      </c>
      <c r="F201" s="16">
        <f>Levels!F202/Levels!F201-1-Levels!$Y201</f>
        <v>-2.1390895123730491E-2</v>
      </c>
      <c r="G201" s="16">
        <f>Levels!G202/Levels!G201-1-Levels!$Y201</f>
        <v>-2.9133373511291083E-2</v>
      </c>
      <c r="H201" s="16">
        <f>Levels!H202/Levels!H201-1-Levels!$Y201</f>
        <v>-2.8975447106233565E-2</v>
      </c>
      <c r="I201" s="16">
        <f>Levels!I202/Levels!I201-1-Levels!$Y201</f>
        <v>-2.6923791717828105E-2</v>
      </c>
      <c r="J201" s="16">
        <f>Levels!J202/Levels!J201-1-Levels!$Y201</f>
        <v>-9.0559360826169E-3</v>
      </c>
      <c r="K201" s="16">
        <f>Levels!K202/Levels!K201-1-Levels!$Y201</f>
        <v>-1.6096503845829946E-2</v>
      </c>
      <c r="L201" s="16">
        <f>Levels!L202/Levels!L201-1-Levels!$Y201</f>
        <v>-1.4103557435969583E-2</v>
      </c>
      <c r="M201" s="16">
        <f>Levels!M202/Levels!M201-1-Levels!$Y201</f>
        <v>-3.2085450731863197E-2</v>
      </c>
      <c r="N201" s="16">
        <f>Levels!N202/Levels!N201-1-Levels!$Y201</f>
        <v>-2.22016073222292E-2</v>
      </c>
      <c r="O201" s="16">
        <f>Levels!O202/Levels!O201-1-Levels!$Y201</f>
        <v>-1.0762000992050158E-2</v>
      </c>
      <c r="P201" s="16">
        <f>Levels!P202/Levels!P201-1-Levels!$Y201</f>
        <v>5.3658302986261397E-3</v>
      </c>
      <c r="Q201" s="16">
        <f>Levels!Q202/Levels!Q201-1-Levels!$Y201</f>
        <v>5.9037230033305299E-3</v>
      </c>
      <c r="R201" s="16">
        <f>Levels!R202/Levels!R201-1-Levels!$Y201</f>
        <v>4.8084073229910373E-3</v>
      </c>
      <c r="S201" s="16">
        <f>Levels!S202/Levels!S201-1-Levels!$Y201</f>
        <v>-3.5243961658723566E-2</v>
      </c>
      <c r="T201" s="16">
        <f>Levels!T202/Levels!T201-1-Levels!$Y201</f>
        <v>-2.1945555646525117E-2</v>
      </c>
      <c r="U201" s="16">
        <f>(Levels!U202/Levels!U201-1-Levels!$Y201)*$Y$2</f>
        <v>0.12552818279002079</v>
      </c>
      <c r="V201" s="16">
        <f>(Levels!V202/Levels!V201-1-Levels!$Y201)</f>
        <v>4.6812824677875398E-2</v>
      </c>
    </row>
    <row r="202" spans="1:22" x14ac:dyDescent="0.35">
      <c r="A202" s="23">
        <v>45626</v>
      </c>
      <c r="B202" s="16">
        <f>Levels!B203/Levels!B202-1-Levels!$Y202</f>
        <v>1.4369823629964973E-3</v>
      </c>
      <c r="C202" s="16">
        <f>Levels!C203/Levels!C202-1-Levels!$Y202</f>
        <v>1.4438114300559413E-2</v>
      </c>
      <c r="D202" s="16">
        <f>Levels!D203/Levels!D202-1-Levels!$Y202</f>
        <v>1.3560882490794901E-2</v>
      </c>
      <c r="E202" s="16">
        <f>Levels!E203/Levels!E202-1-Levels!$Y202</f>
        <v>1.2070889341490254E-2</v>
      </c>
      <c r="F202" s="16">
        <f>Levels!F203/Levels!F202-1-Levels!$Y202</f>
        <v>3.4319487591947251E-3</v>
      </c>
      <c r="G202" s="16">
        <f>Levels!G203/Levels!G202-1-Levels!$Y202</f>
        <v>6.1158204324451848E-3</v>
      </c>
      <c r="H202" s="16">
        <f>Levels!H203/Levels!H202-1-Levels!$Y202</f>
        <v>8.4138975736620658E-3</v>
      </c>
      <c r="I202" s="16">
        <f>Levels!I203/Levels!I202-1-Levels!$Y202</f>
        <v>1.0638283483157318E-2</v>
      </c>
      <c r="J202" s="16">
        <f>Levels!J203/Levels!J202-1-Levels!$Y202</f>
        <v>7.6586393916342477E-3</v>
      </c>
      <c r="K202" s="16">
        <f>Levels!K203/Levels!K202-1-Levels!$Y202</f>
        <v>1.5018226314021943E-2</v>
      </c>
      <c r="L202" s="16">
        <f>Levels!L203/Levels!L202-1-Levels!$Y202</f>
        <v>8.3157416054451261E-3</v>
      </c>
      <c r="M202" s="16">
        <f>Levels!M203/Levels!M202-1-Levels!$Y202</f>
        <v>9.6168464443642243E-3</v>
      </c>
      <c r="N202" s="16">
        <f>Levels!N203/Levels!N202-1-Levels!$Y202</f>
        <v>5.5022303050580312E-3</v>
      </c>
      <c r="O202" s="16">
        <f>Levels!O203/Levels!O202-1-Levels!$Y202</f>
        <v>3.3215224855116521E-3</v>
      </c>
      <c r="P202" s="16">
        <f>Levels!P203/Levels!P202-1-Levels!$Y202</f>
        <v>4.5042619674462436E-3</v>
      </c>
      <c r="Q202" s="16">
        <f>Levels!Q203/Levels!Q202-1-Levels!$Y202</f>
        <v>5.1872790174360972E-3</v>
      </c>
      <c r="R202" s="16">
        <f>Levels!R203/Levels!R202-1-Levels!$Y202</f>
        <v>4.6323413186726281E-3</v>
      </c>
      <c r="S202" s="16">
        <f>Levels!S203/Levels!S202-1-Levels!$Y202</f>
        <v>1.1406686585958115E-2</v>
      </c>
      <c r="T202" s="16">
        <f>Levels!T203/Levels!T202-1-Levels!$Y202</f>
        <v>5.5999359703808871E-3</v>
      </c>
      <c r="U202" s="16">
        <f>(Levels!U203/Levels!U202-1-Levels!$Y202)*$Y$2</f>
        <v>-0.10528182766245391</v>
      </c>
      <c r="V202" s="16">
        <f>(Levels!V203/Levels!V202-1-Levels!$Y202)</f>
        <v>-5.976285938638326E-2</v>
      </c>
    </row>
    <row r="203" spans="1:22" x14ac:dyDescent="0.35">
      <c r="A203" s="23">
        <v>45657</v>
      </c>
      <c r="B203" s="16">
        <f>Levels!B204/Levels!B203-1-Levels!$Y203</f>
        <v>-9.3582505619114187E-3</v>
      </c>
      <c r="C203" s="16">
        <f>Levels!C204/Levels!C203-1-Levels!$Y203</f>
        <v>-5.6871125396765976E-2</v>
      </c>
      <c r="D203" s="16">
        <f>Levels!D204/Levels!D203-1-Levels!$Y203</f>
        <v>-1.8227254953745331E-2</v>
      </c>
      <c r="E203" s="16">
        <f>Levels!E204/Levels!E203-1-Levels!$Y203</f>
        <v>-8.6458219525389346E-3</v>
      </c>
      <c r="F203" s="16">
        <f>Levels!F204/Levels!F203-1-Levels!$Y203</f>
        <v>-1.1110914111225334E-2</v>
      </c>
      <c r="G203" s="16">
        <f>Levels!G204/Levels!G203-1-Levels!$Y203</f>
        <v>-1.9467834138183204E-2</v>
      </c>
      <c r="H203" s="16">
        <f>Levels!H204/Levels!H203-1-Levels!$Y203</f>
        <v>-2.3392312422273132E-2</v>
      </c>
      <c r="I203" s="16">
        <f>Levels!I204/Levels!I203-1-Levels!$Y203</f>
        <v>-2.2588038980323577E-2</v>
      </c>
      <c r="J203" s="16">
        <f>Levels!J204/Levels!J203-1-Levels!$Y203</f>
        <v>-7.7566665790811395E-3</v>
      </c>
      <c r="K203" s="16">
        <f>Levels!K204/Levels!K203-1-Levels!$Y203</f>
        <v>-1.817042627294374E-2</v>
      </c>
      <c r="L203" s="16">
        <f>Levels!L204/Levels!L203-1-Levels!$Y203</f>
        <v>-1.0729672721733419E-2</v>
      </c>
      <c r="M203" s="16">
        <f>Levels!M204/Levels!M203-1-Levels!$Y203</f>
        <v>-2.0140314926061387E-2</v>
      </c>
      <c r="N203" s="16">
        <f>Levels!N204/Levels!N203-1-Levels!$Y203</f>
        <v>-9.1226730380453702E-3</v>
      </c>
      <c r="O203" s="16">
        <f>Levels!O204/Levels!O203-1-Levels!$Y203</f>
        <v>-4.172781603761222E-3</v>
      </c>
      <c r="P203" s="16">
        <f>Levels!P204/Levels!P203-1-Levels!$Y203</f>
        <v>1.2389055654993264E-4</v>
      </c>
      <c r="Q203" s="16">
        <f>Levels!Q204/Levels!Q203-1-Levels!$Y203</f>
        <v>9.3788307025999273E-4</v>
      </c>
      <c r="R203" s="16">
        <f>Levels!R204/Levels!R203-1-Levels!$Y203</f>
        <v>6.9284485002119034E-4</v>
      </c>
      <c r="S203" s="16">
        <f>Levels!S204/Levels!S203-1-Levels!$Y203</f>
        <v>-2.1916443041500533E-2</v>
      </c>
      <c r="T203" s="16">
        <f>Levels!T204/Levels!T203-1-Levels!$Y203</f>
        <v>-8.9359078328811181E-3</v>
      </c>
      <c r="U203" s="16">
        <f>(Levels!U204/Levels!U203-1-Levels!$Y203)*$Y$2</f>
        <v>2.6553539126129431E-2</v>
      </c>
      <c r="V203" s="16">
        <f>(Levels!V204/Levels!V203-1-Levels!$Y203)</f>
        <v>8.6768071359863974E-3</v>
      </c>
    </row>
    <row r="204" spans="1:22" x14ac:dyDescent="0.35">
      <c r="A204" s="23">
        <v>45688</v>
      </c>
      <c r="B204" s="16">
        <f>Levels!B205/Levels!B204-1-Levels!$Y204</f>
        <v>1.8939643916791038E-3</v>
      </c>
      <c r="C204" s="16">
        <f>Levels!C205/Levels!C204-1-Levels!$Y204</f>
        <v>6.320255925187368E-4</v>
      </c>
      <c r="D204" s="16">
        <f>Levels!D205/Levels!D204-1-Levels!$Y204</f>
        <v>1.4805563214934647E-3</v>
      </c>
      <c r="E204" s="16">
        <f>Levels!E205/Levels!E204-1-Levels!$Y204</f>
        <v>1.8371733029920456E-4</v>
      </c>
      <c r="F204" s="16">
        <f>Levels!F205/Levels!F204-1-Levels!$Y204</f>
        <v>1.8090969372939192E-3</v>
      </c>
      <c r="G204" s="16">
        <f>Levels!G205/Levels!G204-1-Levels!$Y204</f>
        <v>1.6242973479443368E-3</v>
      </c>
      <c r="H204" s="16">
        <f>Levels!H205/Levels!H204-1-Levels!$Y204</f>
        <v>2.0054381542731203E-3</v>
      </c>
      <c r="I204" s="16">
        <f>Levels!I205/Levels!I204-1-Levels!$Y204</f>
        <v>2.4255594999456065E-3</v>
      </c>
      <c r="J204" s="16">
        <f>Levels!J205/Levels!J204-1-Levels!$Y204</f>
        <v>1.0098596286559181E-2</v>
      </c>
      <c r="K204" s="16">
        <f>Levels!K205/Levels!K204-1-Levels!$Y204</f>
        <v>1.2251974039903413E-2</v>
      </c>
      <c r="L204" s="16">
        <f>Levels!L205/Levels!L204-1-Levels!$Y204</f>
        <v>2.1722703261386478E-3</v>
      </c>
      <c r="M204" s="16">
        <f>Levels!M205/Levels!M204-1-Levels!$Y204</f>
        <v>1.5764108843605573E-3</v>
      </c>
      <c r="N204" s="16">
        <f>Levels!N205/Levels!N204-1-Levels!$Y204</f>
        <v>3.616489761257613E-3</v>
      </c>
      <c r="O204" s="16">
        <f>Levels!O205/Levels!O204-1-Levels!$Y204</f>
        <v>-3.0179715116651629E-4</v>
      </c>
      <c r="P204" s="16">
        <f>Levels!P205/Levels!P204-1-Levels!$Y204</f>
        <v>-2.6445171613218577E-3</v>
      </c>
      <c r="Q204" s="16">
        <f>Levels!Q205/Levels!Q204-1-Levels!$Y204</f>
        <v>-1.7734570511682701E-3</v>
      </c>
      <c r="R204" s="16">
        <f>Levels!R205/Levels!R204-1-Levels!$Y204</f>
        <v>3.1667233113659154E-3</v>
      </c>
      <c r="S204" s="16">
        <f>Levels!S205/Levels!S204-1-Levels!$Y204</f>
        <v>1.3820949756651046E-3</v>
      </c>
      <c r="T204" s="16">
        <f>Levels!T205/Levels!T204-1-Levels!$Y204</f>
        <v>3.6755350018073951E-3</v>
      </c>
      <c r="U204" s="16">
        <f>(Levels!U205/Levels!U204-1-Levels!$Y204)*$Y$2</f>
        <v>-6.9606711501815702E-2</v>
      </c>
      <c r="V204" s="16">
        <f>(Levels!V205/Levels!V204-1-Levels!$Y204)</f>
        <v>1.6428139458451785E-2</v>
      </c>
    </row>
    <row r="205" spans="1:22" x14ac:dyDescent="0.35">
      <c r="A205" s="23">
        <v>45716</v>
      </c>
      <c r="B205" s="16">
        <f>Levels!B206/Levels!B205-1-Levels!$Y205</f>
        <v>1.0580259604492381E-2</v>
      </c>
      <c r="C205" s="16">
        <f>Levels!C206/Levels!C205-1-Levels!$Y205</f>
        <v>4.8259768857521035E-2</v>
      </c>
      <c r="D205" s="16">
        <f>Levels!D206/Levels!D205-1-Levels!$Y205</f>
        <v>6.40936247952828E-3</v>
      </c>
      <c r="E205" s="16">
        <f>Levels!E206/Levels!E205-1-Levels!$Y205</f>
        <v>3.7033734987692579E-3</v>
      </c>
      <c r="F205" s="16">
        <f>Levels!F206/Levels!F205-1-Levels!$Y205</f>
        <v>1.173313986761837E-2</v>
      </c>
      <c r="G205" s="16">
        <f>Levels!G206/Levels!G205-1-Levels!$Y205</f>
        <v>1.9296213412334673E-2</v>
      </c>
      <c r="H205" s="16">
        <f>Levels!H206/Levels!H205-1-Levels!$Y205</f>
        <v>1.6857440213547958E-2</v>
      </c>
      <c r="I205" s="16">
        <f>Levels!I206/Levels!I205-1-Levels!$Y205</f>
        <v>1.7019486265656747E-2</v>
      </c>
      <c r="J205" s="16">
        <f>Levels!J206/Levels!J205-1-Levels!$Y205</f>
        <v>3.2228731273873379E-3</v>
      </c>
      <c r="K205" s="16">
        <f>Levels!K206/Levels!K205-1-Levels!$Y205</f>
        <v>2.1414793837013502E-3</v>
      </c>
      <c r="L205" s="16">
        <f>Levels!L206/Levels!L205-1-Levels!$Y205</f>
        <v>8.4690046191724377E-3</v>
      </c>
      <c r="M205" s="16">
        <f>Levels!M206/Levels!M205-1-Levels!$Y205</f>
        <v>2.1991337555254065E-2</v>
      </c>
      <c r="N205" s="16">
        <f>Levels!N206/Levels!N205-1-Levels!$Y205</f>
        <v>1.221817081593235E-2</v>
      </c>
      <c r="O205" s="16">
        <f>Levels!O206/Levels!O205-1-Levels!$Y205</f>
        <v>6.2273825863534693E-3</v>
      </c>
      <c r="P205" s="16">
        <f>Levels!P206/Levels!P205-1-Levels!$Y205</f>
        <v>-1.8331244291458493E-3</v>
      </c>
      <c r="Q205" s="16">
        <f>Levels!Q206/Levels!Q205-1-Levels!$Y205</f>
        <v>-9.4690945322017939E-4</v>
      </c>
      <c r="R205" s="16">
        <f>Levels!R206/Levels!R205-1-Levels!$Y205</f>
        <v>-1.3639745874185483E-3</v>
      </c>
      <c r="S205" s="16">
        <f>Levels!S206/Levels!S205-1-Levels!$Y205</f>
        <v>2.4861918794103932E-2</v>
      </c>
      <c r="T205" s="16">
        <f>Levels!T206/Levels!T205-1-Levels!$Y205</f>
        <v>1.2277951780508056E-2</v>
      </c>
      <c r="U205" s="16">
        <f>(Levels!U206/Levels!U205-1-Levels!$Y205)*$Y$2</f>
        <v>-8.8065517496638393E-2</v>
      </c>
      <c r="V205" s="16">
        <f>(Levels!V206/Levels!V205-1-Levels!$Y205)</f>
        <v>-6.7510266805176689E-2</v>
      </c>
    </row>
    <row r="206" spans="1:22" x14ac:dyDescent="0.35">
      <c r="A206" s="23">
        <v>45747</v>
      </c>
      <c r="B206" s="16">
        <f>Levels!B207/Levels!B206-1-Levels!$Y206</f>
        <v>1.6665747776221096E-3</v>
      </c>
      <c r="C206" s="16">
        <f>Levels!C207/Levels!C206-1-Levels!$Y206</f>
        <v>-1.2411473976597032E-2</v>
      </c>
      <c r="D206" s="16">
        <f>Levels!D207/Levels!D206-1-Levels!$Y206</f>
        <v>-2.0461078661127341E-2</v>
      </c>
      <c r="E206" s="16">
        <f>Levels!E207/Levels!E206-1-Levels!$Y206</f>
        <v>-1.0711102157707098E-2</v>
      </c>
      <c r="F206" s="16">
        <f>Levels!F207/Levels!F206-1-Levels!$Y206</f>
        <v>-5.8046500880370999E-4</v>
      </c>
      <c r="G206" s="16">
        <f>Levels!G207/Levels!G206-1-Levels!$Y206</f>
        <v>-2.2144683107672147E-3</v>
      </c>
      <c r="H206" s="16">
        <f>Levels!H207/Levels!H206-1-Levels!$Y206</f>
        <v>-5.4891099934329945E-3</v>
      </c>
      <c r="I206" s="16">
        <f>Levels!I207/Levels!I206-1-Levels!$Y206</f>
        <v>-7.218284222148208E-3</v>
      </c>
      <c r="J206" s="16">
        <f>Levels!J207/Levels!J206-1-Levels!$Y206</f>
        <v>-1.3793868666491127E-2</v>
      </c>
      <c r="K206" s="16">
        <f>Levels!K207/Levels!K206-1-Levels!$Y206</f>
        <v>-1.0161743851177296E-2</v>
      </c>
      <c r="L206" s="16">
        <f>Levels!L207/Levels!L206-1-Levels!$Y206</f>
        <v>-8.9383554155509914E-3</v>
      </c>
      <c r="M206" s="16">
        <f>Levels!M207/Levels!M206-1-Levels!$Y206</f>
        <v>-3.6848268705066411E-3</v>
      </c>
      <c r="N206" s="16">
        <f>Levels!N207/Levels!N206-1-Levels!$Y206</f>
        <v>-9.2366389698006479E-4</v>
      </c>
      <c r="O206" s="16">
        <f>Levels!O207/Levels!O206-1-Levels!$Y206</f>
        <v>-1.2471777651676952E-3</v>
      </c>
      <c r="P206" s="16">
        <f>Levels!P207/Levels!P206-1-Levels!$Y206</f>
        <v>-5.1493581887639417E-3</v>
      </c>
      <c r="Q206" s="16">
        <f>Levels!Q207/Levels!Q206-1-Levels!$Y206</f>
        <v>-4.4788660953168913E-3</v>
      </c>
      <c r="R206" s="16">
        <f>Levels!R207/Levels!R206-1-Levels!$Y206</f>
        <v>-6.4413963964761178E-3</v>
      </c>
      <c r="S206" s="16">
        <f>Levels!S207/Levels!S206-1-Levels!$Y206</f>
        <v>-6.1138499831621118E-3</v>
      </c>
      <c r="T206" s="16">
        <f>Levels!T207/Levels!T206-1-Levels!$Y206</f>
        <v>-9.5058759005040017E-4</v>
      </c>
      <c r="U206" s="16">
        <f>(Levels!U207/Levels!U206-1-Levels!$Y206)*$Y$2</f>
        <v>-3.2720806702808011E-2</v>
      </c>
      <c r="V206" s="16">
        <f>(Levels!V207/Levels!V206-1-Levels!$Y206)</f>
        <v>-4.5679350396173435E-2</v>
      </c>
    </row>
    <row r="207" spans="1:22" x14ac:dyDescent="0.35">
      <c r="A207" s="23">
        <v>45777</v>
      </c>
      <c r="B207" s="16">
        <f>Levels!B208/Levels!B207-1-Levels!$Y207</f>
        <v>7.2234199280079014E-3</v>
      </c>
      <c r="C207" s="16">
        <f>Levels!C208/Levels!C207-1-Levels!$Y207</f>
        <v>-1.4396422603365822E-2</v>
      </c>
      <c r="D207" s="16">
        <f>Levels!D208/Levels!D207-1-Levels!$Y207</f>
        <v>-1.1570201925505397E-2</v>
      </c>
      <c r="E207" s="16">
        <f>Levels!E208/Levels!E207-1-Levels!$Y207</f>
        <v>1.3051577750984533E-2</v>
      </c>
      <c r="F207" s="16">
        <f>Levels!F208/Levels!F207-1-Levels!$Y207</f>
        <v>5.8137803743705252E-3</v>
      </c>
      <c r="G207" s="16">
        <f>Levels!G208/Levels!G207-1-Levels!$Y207</f>
        <v>1.5173975224500591E-3</v>
      </c>
      <c r="H207" s="16">
        <f>Levels!H208/Levels!H207-1-Levels!$Y207</f>
        <v>-1.9018424693808544E-3</v>
      </c>
      <c r="I207" s="16">
        <f>Levels!I208/Levels!I207-1-Levels!$Y207</f>
        <v>-5.6032600435643731E-3</v>
      </c>
      <c r="J207" s="16">
        <f>Levels!J208/Levels!J207-1-Levels!$Y207</f>
        <v>-3.3797878457353381E-3</v>
      </c>
      <c r="K207" s="16">
        <f>Levels!K208/Levels!K207-1-Levels!$Y207</f>
        <v>-2.54040152229279E-2</v>
      </c>
      <c r="L207" s="16">
        <f>Levels!L208/Levels!L207-1-Levels!$Y207</f>
        <v>5.8094509995074706E-3</v>
      </c>
      <c r="M207" s="16">
        <f>Levels!M208/Levels!M207-1-Levels!$Y207</f>
        <v>-6.4620447970398232E-4</v>
      </c>
      <c r="N207" s="16">
        <f>Levels!N208/Levels!N207-1-Levels!$Y207</f>
        <v>5.558274552470488E-3</v>
      </c>
      <c r="O207" s="16">
        <f>Levels!O208/Levels!O207-1-Levels!$Y207</f>
        <v>1.3571050989387157E-3</v>
      </c>
      <c r="P207" s="16">
        <f>Levels!P208/Levels!P207-1-Levels!$Y207</f>
        <v>-5.9791885164695024E-4</v>
      </c>
      <c r="Q207" s="16">
        <f>Levels!Q208/Levels!Q207-1-Levels!$Y207</f>
        <v>-9.1470637229074114E-4</v>
      </c>
      <c r="R207" s="16">
        <f>Levels!R208/Levels!R207-1-Levels!$Y207</f>
        <v>-5.2276164988188656E-3</v>
      </c>
      <c r="S207" s="16">
        <f>Levels!S208/Levels!S207-1-Levels!$Y207</f>
        <v>1.1114714836526485E-3</v>
      </c>
      <c r="T207" s="16">
        <f>Levels!T208/Levels!T207-1-Levels!$Y207</f>
        <v>5.349298682005621E-3</v>
      </c>
      <c r="U207" s="16">
        <f>(Levels!U208/Levels!U207-1-Levels!$Y207)*$Y$2</f>
        <v>5.8205298398135416E-2</v>
      </c>
      <c r="V207" s="16">
        <f>(Levels!V208/Levels!V207-1-Levels!$Y207)</f>
        <v>2.0397126020187173E-2</v>
      </c>
    </row>
    <row r="208" spans="1:22" x14ac:dyDescent="0.35">
      <c r="A208" s="23">
        <v>45808</v>
      </c>
      <c r="B208" s="16">
        <f>Levels!B209/Levels!B208-1-Levels!$Y208</f>
        <v>-9.1391105001293882E-3</v>
      </c>
      <c r="C208" s="16">
        <f>Levels!C209/Levels!C208-1-Levels!$Y208</f>
        <v>-3.221696206946012E-2</v>
      </c>
      <c r="D208" s="16">
        <f>Levels!D209/Levels!D208-1-Levels!$Y208</f>
        <v>-2.8630325230076803E-3</v>
      </c>
      <c r="E208" s="16">
        <f>Levels!E209/Levels!E208-1-Levels!$Y208</f>
        <v>-5.285992714704757E-3</v>
      </c>
      <c r="F208" s="16">
        <f>Levels!F209/Levels!F208-1-Levels!$Y208</f>
        <v>-7.8384959261370568E-3</v>
      </c>
      <c r="G208" s="16">
        <f>Levels!G209/Levels!G208-1-Levels!$Y208</f>
        <v>-1.3131899369043021E-2</v>
      </c>
      <c r="H208" s="16">
        <f>Levels!H209/Levels!H208-1-Levels!$Y208</f>
        <v>-5.6439867973216984E-3</v>
      </c>
      <c r="I208" s="16">
        <f>Levels!I209/Levels!I208-1-Levels!$Y208</f>
        <v>-8.8354470027329768E-4</v>
      </c>
      <c r="J208" s="16">
        <f>Levels!J209/Levels!J208-1-Levels!$Y208</f>
        <v>1.3218662280669369E-2</v>
      </c>
      <c r="K208" s="16">
        <f>Levels!K209/Levels!K208-1-Levels!$Y208</f>
        <v>1.8177082778796372E-2</v>
      </c>
      <c r="L208" s="16">
        <f>Levels!L209/Levels!L208-1-Levels!$Y208</f>
        <v>-1.200129777596981E-3</v>
      </c>
      <c r="M208" s="16">
        <f>Levels!M209/Levels!M208-1-Levels!$Y208</f>
        <v>-1.2635259559536371E-2</v>
      </c>
      <c r="N208" s="16">
        <f>Levels!N209/Levels!N208-1-Levels!$Y208</f>
        <v>-6.0651807318972129E-3</v>
      </c>
      <c r="O208" s="16">
        <f>Levels!O209/Levels!O208-1-Levels!$Y208</f>
        <v>-3.2823917034525696E-3</v>
      </c>
      <c r="P208" s="16">
        <f>Levels!P209/Levels!P208-1-Levels!$Y208</f>
        <v>-2.9604767099029594E-3</v>
      </c>
      <c r="Q208" s="16">
        <f>Levels!Q209/Levels!Q208-1-Levels!$Y208</f>
        <v>-2.8396296467874116E-3</v>
      </c>
      <c r="R208" s="16">
        <f>Levels!R209/Levels!R208-1-Levels!$Y208</f>
        <v>1.1767931596546433E-2</v>
      </c>
      <c r="S208" s="16">
        <f>Levels!S209/Levels!S208-1-Levels!$Y208</f>
        <v>-1.3548863262196842E-2</v>
      </c>
      <c r="T208" s="16">
        <f>Levels!T209/Levels!T208-1-Levels!$Y208</f>
        <v>-6.0511121634748699E-3</v>
      </c>
      <c r="U208" s="16">
        <f>(Levels!U209/Levels!U208-1-Levels!$Y208)*$Y$2</f>
        <v>5.8950706720801181E-2</v>
      </c>
      <c r="V208" s="16">
        <f>(Levels!V209/Levels!V208-1-Levels!$Y208)</f>
        <v>-3.24792306267917E-2</v>
      </c>
    </row>
    <row r="209" spans="1:22" x14ac:dyDescent="0.35">
      <c r="A209" s="23">
        <v>45838</v>
      </c>
      <c r="B209" s="16">
        <f>Levels!B210/Levels!B209-1-Levels!$Y209</f>
        <v>5.9192051392447098E-3</v>
      </c>
      <c r="C209" s="16">
        <f>Levels!C210/Levels!C209-1-Levels!$Y209</f>
        <v>2.1444690067422778E-2</v>
      </c>
      <c r="D209" s="16">
        <f>Levels!D210/Levels!D209-1-Levels!$Y209</f>
        <v>2.6775037253774503E-3</v>
      </c>
      <c r="E209" s="16">
        <f>Levels!E210/Levels!E209-1-Levels!$Y209</f>
        <v>1.6958891042568869E-3</v>
      </c>
      <c r="F209" s="16">
        <f>Levels!F210/Levels!F209-1-Levels!$Y209</f>
        <v>7.5948949339899041E-3</v>
      </c>
      <c r="G209" s="16">
        <f>Levels!G210/Levels!G209-1-Levels!$Y209</f>
        <v>1.0860960045236068E-2</v>
      </c>
      <c r="H209" s="16">
        <f>Levels!H210/Levels!H209-1-Levels!$Y209</f>
        <v>1.4947951115066305E-2</v>
      </c>
      <c r="I209" s="16">
        <f>Levels!I210/Levels!I209-1-Levels!$Y209</f>
        <v>1.588837175774227E-2</v>
      </c>
      <c r="J209" s="16">
        <f>Levels!J210/Levels!J209-1-Levels!$Y209</f>
        <v>1.4635146107700781E-2</v>
      </c>
      <c r="K209" s="16">
        <f>Levels!K210/Levels!K209-1-Levels!$Y209</f>
        <v>2.897051137937745E-2</v>
      </c>
      <c r="L209" s="16">
        <f>Levels!L210/Levels!L209-1-Levels!$Y209</f>
        <v>5.6796662671405596E-3</v>
      </c>
      <c r="M209" s="16">
        <f>Levels!M210/Levels!M209-1-Levels!$Y209</f>
        <v>1.4228227331906318E-2</v>
      </c>
      <c r="N209" s="16">
        <f>Levels!N210/Levels!N209-1-Levels!$Y209</f>
        <v>8.6588714069109063E-3</v>
      </c>
      <c r="O209" s="16">
        <f>Levels!O210/Levels!O209-1-Levels!$Y209</f>
        <v>5.1056793953205837E-3</v>
      </c>
      <c r="P209" s="16">
        <f>Levels!P210/Levels!P209-1-Levels!$Y209</f>
        <v>3.3928312627062862E-3</v>
      </c>
      <c r="Q209" s="16">
        <f>Levels!Q210/Levels!Q209-1-Levels!$Y209</f>
        <v>3.5393972292998566E-3</v>
      </c>
      <c r="R209" s="16">
        <f>Levels!R210/Levels!R209-1-Levels!$Y209</f>
        <v>4.0654281289942418E-3</v>
      </c>
      <c r="S209" s="16">
        <f>Levels!S210/Levels!S209-1-Levels!$Y209</f>
        <v>1.4350757090164645E-2</v>
      </c>
      <c r="T209" s="16">
        <f>Levels!T210/Levels!T209-1-Levels!$Y209</f>
        <v>8.7127471863381878E-3</v>
      </c>
      <c r="U209" s="16">
        <f>(Levels!U210/Levels!U209-1-Levels!$Y209)*$Y$2</f>
        <v>1.5940334999463346E-2</v>
      </c>
      <c r="V209" s="16">
        <f>(Levels!V210/Levels!V209-1-Levels!$Y209)</f>
        <v>8.9221503738550201E-3</v>
      </c>
    </row>
    <row r="210" spans="1:22" x14ac:dyDescent="0.35">
      <c r="A210" s="23"/>
      <c r="U210" s="18"/>
    </row>
    <row r="211" spans="1:22" x14ac:dyDescent="0.35">
      <c r="A211" s="23"/>
      <c r="L211" s="2" cm="1">
        <f t="array" ref="L211">CORREL(IF(ISNUMBER(L2:L209),L2:L209),IF(ISNUMBER(M2:M209),M2:M209))</f>
        <v>0.7735354208681523</v>
      </c>
      <c r="U211" s="18"/>
      <c r="V211" s="19"/>
    </row>
    <row r="212" spans="1:22" x14ac:dyDescent="0.35">
      <c r="A212" s="23"/>
    </row>
    <row r="213" spans="1:22" x14ac:dyDescent="0.35">
      <c r="A213" s="23"/>
    </row>
    <row r="214" spans="1:22" x14ac:dyDescent="0.35">
      <c r="A214" s="23"/>
    </row>
    <row r="215" spans="1:22" x14ac:dyDescent="0.35">
      <c r="A215" s="23"/>
    </row>
    <row r="216" spans="1:22" x14ac:dyDescent="0.35">
      <c r="A216" s="23"/>
    </row>
    <row r="217" spans="1:22" x14ac:dyDescent="0.35">
      <c r="A217" s="23"/>
    </row>
    <row r="218" spans="1:22" x14ac:dyDescent="0.35">
      <c r="A218" s="23"/>
    </row>
    <row r="219" spans="1:22" x14ac:dyDescent="0.35">
      <c r="A219" s="23"/>
    </row>
    <row r="220" spans="1:22" x14ac:dyDescent="0.35">
      <c r="A220" s="23"/>
    </row>
    <row r="221" spans="1:22" x14ac:dyDescent="0.35">
      <c r="A221" s="23"/>
    </row>
    <row r="222" spans="1:22" x14ac:dyDescent="0.35">
      <c r="A222" s="23"/>
    </row>
    <row r="223" spans="1:22" x14ac:dyDescent="0.35">
      <c r="A223" s="23"/>
    </row>
    <row r="224" spans="1:22" x14ac:dyDescent="0.35">
      <c r="A224" s="23"/>
    </row>
    <row r="225" spans="1:1" x14ac:dyDescent="0.35">
      <c r="A225" s="23"/>
    </row>
    <row r="226" spans="1:1" x14ac:dyDescent="0.35">
      <c r="A226" s="23"/>
    </row>
    <row r="227" spans="1:1" x14ac:dyDescent="0.35">
      <c r="A227" s="23"/>
    </row>
    <row r="228" spans="1:1" x14ac:dyDescent="0.35">
      <c r="A228" s="23"/>
    </row>
    <row r="229" spans="1:1" x14ac:dyDescent="0.35">
      <c r="A229" s="23"/>
    </row>
    <row r="230" spans="1:1" x14ac:dyDescent="0.35">
      <c r="A230" s="23"/>
    </row>
    <row r="231" spans="1:1" x14ac:dyDescent="0.35">
      <c r="A231" s="23"/>
    </row>
    <row r="232" spans="1:1" x14ac:dyDescent="0.35">
      <c r="A232" s="23"/>
    </row>
    <row r="233" spans="1:1" x14ac:dyDescent="0.35">
      <c r="A233" s="23"/>
    </row>
    <row r="234" spans="1:1" x14ac:dyDescent="0.35">
      <c r="A234" s="23"/>
    </row>
    <row r="235" spans="1:1" x14ac:dyDescent="0.35">
      <c r="A235" s="23"/>
    </row>
    <row r="236" spans="1:1" x14ac:dyDescent="0.35">
      <c r="A236" s="23"/>
    </row>
    <row r="237" spans="1:1" x14ac:dyDescent="0.35">
      <c r="A237" s="23"/>
    </row>
    <row r="238" spans="1:1" x14ac:dyDescent="0.35">
      <c r="A238" s="23"/>
    </row>
    <row r="239" spans="1:1" x14ac:dyDescent="0.35">
      <c r="A239" s="23"/>
    </row>
    <row r="240" spans="1:1" x14ac:dyDescent="0.35">
      <c r="A240" s="23"/>
    </row>
    <row r="241" spans="1:1" x14ac:dyDescent="0.35">
      <c r="A241" s="23"/>
    </row>
    <row r="242" spans="1:1" x14ac:dyDescent="0.35">
      <c r="A242" s="23"/>
    </row>
    <row r="243" spans="1:1" x14ac:dyDescent="0.35">
      <c r="A243" s="23"/>
    </row>
    <row r="244" spans="1:1" x14ac:dyDescent="0.35">
      <c r="A244" s="23"/>
    </row>
    <row r="245" spans="1:1" x14ac:dyDescent="0.35">
      <c r="A245" s="23"/>
    </row>
    <row r="246" spans="1:1" x14ac:dyDescent="0.35">
      <c r="A246" s="23"/>
    </row>
    <row r="247" spans="1:1" x14ac:dyDescent="0.35">
      <c r="A247" s="23"/>
    </row>
    <row r="248" spans="1:1" x14ac:dyDescent="0.35">
      <c r="A248" s="23"/>
    </row>
    <row r="249" spans="1:1" x14ac:dyDescent="0.35">
      <c r="A249" s="23"/>
    </row>
    <row r="250" spans="1:1" x14ac:dyDescent="0.35">
      <c r="A250" s="23"/>
    </row>
    <row r="251" spans="1:1" x14ac:dyDescent="0.35">
      <c r="A251" s="23"/>
    </row>
    <row r="252" spans="1:1" x14ac:dyDescent="0.35">
      <c r="A252" s="23"/>
    </row>
    <row r="253" spans="1:1" x14ac:dyDescent="0.35">
      <c r="A253" s="23"/>
    </row>
    <row r="254" spans="1:1" x14ac:dyDescent="0.35">
      <c r="A254" s="23"/>
    </row>
    <row r="255" spans="1:1" x14ac:dyDescent="0.35">
      <c r="A255" s="23"/>
    </row>
    <row r="256" spans="1:1" x14ac:dyDescent="0.35">
      <c r="A256" s="23"/>
    </row>
    <row r="257" spans="1:1" x14ac:dyDescent="0.35">
      <c r="A257" s="23"/>
    </row>
    <row r="258" spans="1:1" x14ac:dyDescent="0.35">
      <c r="A258" s="23"/>
    </row>
    <row r="259" spans="1:1" x14ac:dyDescent="0.35">
      <c r="A259" s="23"/>
    </row>
    <row r="260" spans="1:1" x14ac:dyDescent="0.35">
      <c r="A260" s="23"/>
    </row>
    <row r="261" spans="1:1" x14ac:dyDescent="0.35">
      <c r="A261" s="23"/>
    </row>
    <row r="262" spans="1:1" x14ac:dyDescent="0.35">
      <c r="A262" s="23"/>
    </row>
    <row r="263" spans="1:1" x14ac:dyDescent="0.35">
      <c r="A263" s="23"/>
    </row>
    <row r="264" spans="1:1" x14ac:dyDescent="0.35">
      <c r="A264" s="23"/>
    </row>
    <row r="265" spans="1:1" x14ac:dyDescent="0.35">
      <c r="A265" s="23"/>
    </row>
    <row r="266" spans="1:1" x14ac:dyDescent="0.35">
      <c r="A266" s="23"/>
    </row>
    <row r="267" spans="1:1" x14ac:dyDescent="0.35">
      <c r="A267" s="23"/>
    </row>
    <row r="268" spans="1:1" x14ac:dyDescent="0.35">
      <c r="A268" s="23"/>
    </row>
    <row r="269" spans="1:1" x14ac:dyDescent="0.35">
      <c r="A269" s="23"/>
    </row>
    <row r="270" spans="1:1" x14ac:dyDescent="0.35">
      <c r="A270" s="23"/>
    </row>
    <row r="271" spans="1:1" x14ac:dyDescent="0.35">
      <c r="A271" s="23"/>
    </row>
    <row r="272" spans="1:1" x14ac:dyDescent="0.35">
      <c r="A272" s="23"/>
    </row>
    <row r="273" spans="1:1" x14ac:dyDescent="0.35">
      <c r="A273" s="23"/>
    </row>
    <row r="274" spans="1:1" x14ac:dyDescent="0.35">
      <c r="A274" s="23"/>
    </row>
    <row r="275" spans="1:1" x14ac:dyDescent="0.35">
      <c r="A275" s="23"/>
    </row>
    <row r="276" spans="1:1" x14ac:dyDescent="0.35">
      <c r="A276" s="23"/>
    </row>
    <row r="277" spans="1:1" x14ac:dyDescent="0.35">
      <c r="A277" s="23"/>
    </row>
    <row r="278" spans="1:1" x14ac:dyDescent="0.35">
      <c r="A278" s="23"/>
    </row>
    <row r="279" spans="1:1" x14ac:dyDescent="0.35">
      <c r="A279" s="23"/>
    </row>
    <row r="280" spans="1:1" x14ac:dyDescent="0.35">
      <c r="A280" s="23"/>
    </row>
    <row r="281" spans="1:1" x14ac:dyDescent="0.35">
      <c r="A281" s="23"/>
    </row>
    <row r="282" spans="1:1" x14ac:dyDescent="0.35">
      <c r="A282" s="23"/>
    </row>
    <row r="283" spans="1:1" x14ac:dyDescent="0.35">
      <c r="A283" s="23"/>
    </row>
    <row r="284" spans="1:1" x14ac:dyDescent="0.35">
      <c r="A284" s="23"/>
    </row>
    <row r="285" spans="1:1" x14ac:dyDescent="0.35">
      <c r="A285" s="23"/>
    </row>
    <row r="286" spans="1:1" x14ac:dyDescent="0.35">
      <c r="A286" s="23"/>
    </row>
    <row r="287" spans="1:1" x14ac:dyDescent="0.35">
      <c r="A287" s="23"/>
    </row>
    <row r="288" spans="1:1" x14ac:dyDescent="0.35">
      <c r="A288" s="23"/>
    </row>
    <row r="289" spans="1:1" x14ac:dyDescent="0.35">
      <c r="A289" s="23"/>
    </row>
    <row r="290" spans="1:1" x14ac:dyDescent="0.35">
      <c r="A290" s="23"/>
    </row>
    <row r="291" spans="1:1" x14ac:dyDescent="0.35">
      <c r="A291" s="23"/>
    </row>
    <row r="292" spans="1:1" x14ac:dyDescent="0.35">
      <c r="A292" s="23"/>
    </row>
    <row r="293" spans="1:1" x14ac:dyDescent="0.35">
      <c r="A293" s="23"/>
    </row>
    <row r="294" spans="1:1" x14ac:dyDescent="0.35">
      <c r="A294" s="23"/>
    </row>
    <row r="295" spans="1:1" x14ac:dyDescent="0.35">
      <c r="A295" s="23"/>
    </row>
    <row r="296" spans="1:1" x14ac:dyDescent="0.35">
      <c r="A296" s="23"/>
    </row>
    <row r="297" spans="1:1" x14ac:dyDescent="0.35">
      <c r="A297" s="23"/>
    </row>
    <row r="298" spans="1:1" x14ac:dyDescent="0.35">
      <c r="A298" s="23"/>
    </row>
    <row r="299" spans="1:1" x14ac:dyDescent="0.35">
      <c r="A299" s="23"/>
    </row>
    <row r="300" spans="1:1" x14ac:dyDescent="0.35">
      <c r="A300" s="23"/>
    </row>
    <row r="301" spans="1:1" x14ac:dyDescent="0.35">
      <c r="A301" s="23"/>
    </row>
    <row r="302" spans="1:1" x14ac:dyDescent="0.35">
      <c r="A302" s="23"/>
    </row>
    <row r="303" spans="1:1" x14ac:dyDescent="0.35">
      <c r="A303" s="23"/>
    </row>
    <row r="304" spans="1:1" x14ac:dyDescent="0.35">
      <c r="A304" s="23"/>
    </row>
    <row r="305" spans="1:1" x14ac:dyDescent="0.35">
      <c r="A305" s="23"/>
    </row>
    <row r="306" spans="1:1" x14ac:dyDescent="0.35">
      <c r="A306" s="23"/>
    </row>
    <row r="307" spans="1:1" x14ac:dyDescent="0.35">
      <c r="A307" s="23"/>
    </row>
    <row r="308" spans="1:1" x14ac:dyDescent="0.35">
      <c r="A308" s="23"/>
    </row>
    <row r="309" spans="1:1" x14ac:dyDescent="0.35">
      <c r="A309" s="23"/>
    </row>
    <row r="310" spans="1:1" x14ac:dyDescent="0.35">
      <c r="A310" s="23"/>
    </row>
    <row r="311" spans="1:1" x14ac:dyDescent="0.35">
      <c r="A311" s="23"/>
    </row>
    <row r="312" spans="1:1" x14ac:dyDescent="0.35">
      <c r="A312" s="23"/>
    </row>
    <row r="313" spans="1:1" x14ac:dyDescent="0.35">
      <c r="A313" s="23"/>
    </row>
    <row r="314" spans="1:1" x14ac:dyDescent="0.35">
      <c r="A314" s="23"/>
    </row>
    <row r="315" spans="1:1" x14ac:dyDescent="0.35">
      <c r="A315" s="23"/>
    </row>
    <row r="316" spans="1:1" x14ac:dyDescent="0.35">
      <c r="A316" s="23"/>
    </row>
    <row r="317" spans="1:1" x14ac:dyDescent="0.35">
      <c r="A317" s="23"/>
    </row>
    <row r="318" spans="1:1" x14ac:dyDescent="0.35">
      <c r="A318" s="23"/>
    </row>
    <row r="319" spans="1:1" x14ac:dyDescent="0.35">
      <c r="A319" s="23"/>
    </row>
    <row r="320" spans="1:1" x14ac:dyDescent="0.35">
      <c r="A320" s="23"/>
    </row>
    <row r="321" spans="1:1" x14ac:dyDescent="0.35">
      <c r="A321" s="23"/>
    </row>
    <row r="322" spans="1:1" x14ac:dyDescent="0.35">
      <c r="A322" s="23"/>
    </row>
    <row r="323" spans="1:1" x14ac:dyDescent="0.35">
      <c r="A323" s="23"/>
    </row>
    <row r="324" spans="1:1" x14ac:dyDescent="0.35">
      <c r="A324" s="23"/>
    </row>
    <row r="325" spans="1:1" x14ac:dyDescent="0.35">
      <c r="A325" s="23"/>
    </row>
    <row r="326" spans="1:1" x14ac:dyDescent="0.35">
      <c r="A326" s="2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B53F5-1D20-46C1-A190-29A4A32B7E31}">
  <dimension ref="B2:X50"/>
  <sheetViews>
    <sheetView topLeftCell="C1" zoomScale="70" zoomScaleNormal="70" workbookViewId="0">
      <selection activeCell="L22" sqref="L22:L23"/>
    </sheetView>
  </sheetViews>
  <sheetFormatPr defaultRowHeight="14.5" x14ac:dyDescent="0.35"/>
  <cols>
    <col min="2" max="2" width="15.90625" customWidth="1"/>
    <col min="3" max="3" width="35.453125" bestFit="1" customWidth="1"/>
    <col min="4" max="4" width="10.36328125" customWidth="1"/>
    <col min="5" max="5" width="9.54296875" customWidth="1"/>
    <col min="6" max="6" width="11.81640625" customWidth="1"/>
    <col min="7" max="7" width="14" customWidth="1"/>
    <col min="8" max="8" width="10" customWidth="1"/>
    <col min="9" max="9" width="10.1796875" customWidth="1"/>
    <col min="10" max="10" width="10.36328125" customWidth="1"/>
    <col min="11" max="11" width="10.81640625" customWidth="1"/>
    <col min="12" max="12" width="11.1796875" customWidth="1"/>
    <col min="13" max="13" width="11.453125" customWidth="1"/>
    <col min="14" max="14" width="13.1796875" customWidth="1"/>
    <col min="15" max="15" width="11.26953125" customWidth="1"/>
    <col min="16" max="22" width="11.81640625" customWidth="1"/>
  </cols>
  <sheetData>
    <row r="2" spans="2:24" s="25" customFormat="1" ht="29.5" customHeight="1" x14ac:dyDescent="0.35">
      <c r="C2" s="26" t="s">
        <v>112</v>
      </c>
      <c r="D2" s="27" t="s">
        <v>113</v>
      </c>
      <c r="E2" s="27" t="s">
        <v>114</v>
      </c>
      <c r="F2" s="27" t="s">
        <v>115</v>
      </c>
      <c r="G2" s="27" t="s">
        <v>116</v>
      </c>
      <c r="H2" s="27" t="s">
        <v>117</v>
      </c>
      <c r="I2" s="27" t="s">
        <v>118</v>
      </c>
      <c r="J2" s="27" t="s">
        <v>119</v>
      </c>
      <c r="K2" s="27" t="s">
        <v>120</v>
      </c>
      <c r="L2" s="27" t="s">
        <v>121</v>
      </c>
      <c r="M2" s="27" t="s">
        <v>122</v>
      </c>
      <c r="N2" s="27" t="s">
        <v>123</v>
      </c>
      <c r="O2" s="27" t="s">
        <v>124</v>
      </c>
      <c r="Q2" s="28"/>
      <c r="R2" s="28"/>
      <c r="S2" s="28"/>
      <c r="T2" s="28"/>
      <c r="U2" s="28"/>
      <c r="V2" s="28"/>
      <c r="W2" s="28"/>
      <c r="X2" s="28"/>
    </row>
    <row r="3" spans="2:24" x14ac:dyDescent="0.35">
      <c r="B3" s="47" t="s">
        <v>125</v>
      </c>
      <c r="C3" s="13" t="s">
        <v>89</v>
      </c>
      <c r="D3" s="29" t="s">
        <v>126</v>
      </c>
      <c r="E3" s="29" t="s">
        <v>127</v>
      </c>
      <c r="F3" s="29" t="str">
        <f>VLOOKUP(E3,[2]Regulation!$C$6:$E$25,3,0)</f>
        <v>1A</v>
      </c>
      <c r="G3" s="30">
        <v>0</v>
      </c>
      <c r="H3" s="31">
        <f>VLOOKUP($C3,[3]Output!$B$21:$K$39,6,0)</f>
        <v>4.0341360000000002</v>
      </c>
      <c r="I3" s="31">
        <f>VLOOKUP($C3,[3]Output!$B$21:$K$39,7,0)/2</f>
        <v>3.7464194344500266</v>
      </c>
      <c r="J3" s="30">
        <f>VLOOKUP($C3,[3]Output!$B$21:$K$39,3,0)</f>
        <v>3.8328069999999999E-2</v>
      </c>
      <c r="K3" s="30">
        <f>VLOOKUP($C3,[3]Output!$B$21:$K$39,4,0)</f>
        <v>0</v>
      </c>
      <c r="L3" s="30">
        <f>J3-K3-G3*C38*C39</f>
        <v>3.8328069999999999E-2</v>
      </c>
      <c r="M3" s="30">
        <f>VLOOKUP($C3,[3]Output!$B$21:$K$39,9,0)</f>
        <v>6.008695954644231E-2</v>
      </c>
      <c r="N3" s="30">
        <f>VLOOKUP($C3,[3]Output!$B$21:$K$39,8,0)</f>
        <v>2.9340221233985657E-2</v>
      </c>
      <c r="O3" s="30">
        <f>VLOOKUP($C3,[3]Output!$B$21:$K$39,10,0)</f>
        <v>3.8564242727722652E-2</v>
      </c>
      <c r="P3" s="32"/>
      <c r="Q3" s="32"/>
      <c r="R3" s="32"/>
      <c r="S3" s="32"/>
      <c r="T3" s="32"/>
      <c r="U3" s="32"/>
      <c r="V3" s="32"/>
    </row>
    <row r="4" spans="2:24" x14ac:dyDescent="0.35">
      <c r="B4" s="47"/>
      <c r="C4" s="13" t="s">
        <v>90</v>
      </c>
      <c r="D4" s="29" t="s">
        <v>126</v>
      </c>
      <c r="E4" s="29" t="s">
        <v>127</v>
      </c>
      <c r="F4" s="29" t="str">
        <f>VLOOKUP(E4,[2]Regulation!$C$6:$E$25,3,0)</f>
        <v>1A</v>
      </c>
      <c r="G4" s="30">
        <v>0</v>
      </c>
      <c r="H4" s="31">
        <f>VLOOKUP($C4,[3]Output!$B$21:$K$39,6,0)</f>
        <v>22.130617000000001</v>
      </c>
      <c r="I4" s="31">
        <f>VLOOKUP($C4,[3]Output!$B$21:$K$39,7,0)/2</f>
        <v>13.818760639976208</v>
      </c>
      <c r="J4" s="30">
        <f>VLOOKUP($C4,[3]Output!$B$21:$K$39,3,0)</f>
        <v>4.8006310000000003E-2</v>
      </c>
      <c r="K4" s="30">
        <f>VLOOKUP($C4,[3]Output!$B$21:$K$39,4,0)</f>
        <v>0</v>
      </c>
      <c r="L4" s="30">
        <f t="shared" ref="L4:L21" si="0">J4-K4-G4*C39*C40</f>
        <v>4.8006310000000003E-2</v>
      </c>
      <c r="M4" s="30">
        <f>VLOOKUP($C4,[3]Output!$B$21:$K$39,9,0)</f>
        <v>0.13566423809711498</v>
      </c>
      <c r="N4" s="30">
        <f>VLOOKUP($C4,[3]Output!$B$21:$K$39,8,0)</f>
        <v>6.3556248091655693E-2</v>
      </c>
      <c r="O4" s="30">
        <f>VLOOKUP($C4,[3]Output!$B$21:$K$39,10,0)</f>
        <v>8.5188645093293477E-2</v>
      </c>
      <c r="P4" s="32"/>
      <c r="Q4" s="32"/>
      <c r="R4" s="32"/>
      <c r="S4" s="32"/>
      <c r="T4" s="32"/>
      <c r="U4" s="32"/>
      <c r="V4" s="32"/>
    </row>
    <row r="5" spans="2:24" x14ac:dyDescent="0.35">
      <c r="B5" s="47"/>
      <c r="C5" s="13" t="s">
        <v>96</v>
      </c>
      <c r="D5" s="29" t="s">
        <v>126</v>
      </c>
      <c r="E5" s="29" t="s">
        <v>128</v>
      </c>
      <c r="F5" s="29" t="str">
        <f>VLOOKUP(E5,[2]Regulation!$C$6:$E$25,3,0)</f>
        <v>1C</v>
      </c>
      <c r="G5" s="30">
        <v>0</v>
      </c>
      <c r="H5" s="31">
        <f>VLOOKUP($C5,[3]Output!$B$21:$K$39,6,0)</f>
        <v>13.29698</v>
      </c>
      <c r="I5" s="31">
        <f>VLOOKUP($C5,[3]Output!$B$21:$K$39,7,0)/2</f>
        <v>10.586794105944223</v>
      </c>
      <c r="J5" s="30">
        <f>VLOOKUP($C5,[3]Output!$B$21:$K$39,3,0)</f>
        <v>3.9570809999999998E-2</v>
      </c>
      <c r="K5" s="30">
        <f>VLOOKUP($C5,[3]Output!$B$21:$K$39,4,0)</f>
        <v>1E-3</v>
      </c>
      <c r="L5" s="30">
        <f t="shared" si="0"/>
        <v>3.8570809999999997E-2</v>
      </c>
      <c r="M5" s="30">
        <f>VLOOKUP($C5,[3]Output!$B$21:$K$39,9,0)</f>
        <v>8.2107336556200172E-2</v>
      </c>
      <c r="N5" s="30">
        <f>VLOOKUP($C5,[3]Output!$B$21:$K$39,8,0)</f>
        <v>2.4061432631205294E-2</v>
      </c>
      <c r="O5" s="30">
        <f>VLOOKUP($C5,[3]Output!$B$21:$K$39,10,0)</f>
        <v>4.1475203808703759E-2</v>
      </c>
      <c r="P5" s="32"/>
      <c r="Q5" s="32"/>
      <c r="R5" s="32"/>
      <c r="S5" s="32"/>
      <c r="T5" s="32"/>
      <c r="U5" s="32"/>
      <c r="V5" s="32"/>
    </row>
    <row r="6" spans="2:24" x14ac:dyDescent="0.35">
      <c r="B6" s="47"/>
      <c r="C6" s="13" t="s">
        <v>95</v>
      </c>
      <c r="D6" s="29" t="s">
        <v>126</v>
      </c>
      <c r="E6" s="29" t="s">
        <v>128</v>
      </c>
      <c r="F6" s="29" t="str">
        <f>VLOOKUP(E6,[2]Regulation!$C$6:$E$25,3,0)</f>
        <v>1C</v>
      </c>
      <c r="G6" s="30">
        <f>VLOOKUP(F6,[2]Regulation!$E$6:$F$25,2,0)</f>
        <v>4.1999999999999997E-3</v>
      </c>
      <c r="H6" s="31">
        <f>VLOOKUP($C6,[3]Output!$B$21:$K$39,6,0)</f>
        <v>9.7358790000000006</v>
      </c>
      <c r="I6" s="31">
        <f>VLOOKUP($C6,[3]Output!$B$21:$K$39,7,0)/2</f>
        <v>8.3129217878570287</v>
      </c>
      <c r="J6" s="30">
        <f>VLOOKUP($C6,[3]Output!$B$21:$K$39,3,0)</f>
        <v>3.06664E-2</v>
      </c>
      <c r="K6" s="30">
        <f>VLOOKUP($C6,[3]Output!$B$21:$K$39,4,0)</f>
        <v>1E-3</v>
      </c>
      <c r="L6" s="30">
        <f t="shared" si="0"/>
        <v>2.9666399999999999E-2</v>
      </c>
      <c r="M6" s="30">
        <f>VLOOKUP($C6,[3]Output!$B$21:$K$39,9,0)</f>
        <v>3.9860723031264055E-2</v>
      </c>
      <c r="N6" s="30">
        <f>VLOOKUP($C6,[3]Output!$B$21:$K$39,8,0)</f>
        <v>4.2435563866043489E-2</v>
      </c>
      <c r="O6" s="30">
        <f>VLOOKUP($C6,[3]Output!$B$21:$K$39,10,0)</f>
        <v>4.1663111615609656E-2</v>
      </c>
      <c r="P6" s="32"/>
      <c r="Q6" s="32"/>
      <c r="R6" s="32"/>
      <c r="S6" s="32"/>
      <c r="T6" s="32"/>
      <c r="U6" s="32"/>
      <c r="V6" s="32"/>
    </row>
    <row r="7" spans="2:24" x14ac:dyDescent="0.35">
      <c r="B7" s="48" t="s">
        <v>129</v>
      </c>
      <c r="C7" s="13" t="s">
        <v>92</v>
      </c>
      <c r="D7" s="29" t="s">
        <v>126</v>
      </c>
      <c r="E7" s="29" t="s">
        <v>127</v>
      </c>
      <c r="F7" s="29" t="str">
        <f>VLOOKUP(E7,[2]Regulation!$C$6:$E$25,3,0)</f>
        <v>1A</v>
      </c>
      <c r="G7" s="30">
        <f>VLOOKUP(F7,[2]Regulation!$E$6:$F$25,2,0)</f>
        <v>1.6000000000000001E-3</v>
      </c>
      <c r="H7" s="31">
        <f>VLOOKUP($C7,[3]Output!$B$21:$K$39,6,0)</f>
        <v>5.4466669999999997</v>
      </c>
      <c r="I7" s="31">
        <f>VLOOKUP($C7,[3]Output!$B$21:$K$39,7,0)/2</f>
        <v>4.9646858541070547</v>
      </c>
      <c r="J7" s="30">
        <f>VLOOKUP($C7,[3]Output!$B$21:$K$39,3,0)</f>
        <v>4.2274459999999993E-2</v>
      </c>
      <c r="K7" s="30">
        <f>VLOOKUP($C7,[3]Output!$B$21:$K$39,4,0)</f>
        <v>0</v>
      </c>
      <c r="L7" s="30">
        <f t="shared" si="0"/>
        <v>4.2274459999999993E-2</v>
      </c>
      <c r="M7" s="30">
        <f>VLOOKUP($C7,[3]Output!$B$21:$K$39,9,0)</f>
        <v>4.451469923591464E-2</v>
      </c>
      <c r="N7" s="30">
        <f>VLOOKUP($C7,[3]Output!$B$21:$K$39,8,0)</f>
        <v>2.2942245117502456E-2</v>
      </c>
      <c r="O7" s="30">
        <f>VLOOKUP($C7,[3]Output!$B$21:$K$39,10,0)</f>
        <v>2.9413981353026107E-2</v>
      </c>
      <c r="P7" s="32"/>
      <c r="Q7" s="32"/>
      <c r="R7" s="32"/>
      <c r="S7" s="32"/>
      <c r="T7" s="32"/>
      <c r="U7" s="32"/>
      <c r="V7" s="32"/>
    </row>
    <row r="8" spans="2:24" x14ac:dyDescent="0.35">
      <c r="B8" s="48"/>
      <c r="C8" s="13" t="s">
        <v>100</v>
      </c>
      <c r="D8" s="29" t="s">
        <v>126</v>
      </c>
      <c r="E8" s="29" t="s">
        <v>128</v>
      </c>
      <c r="F8" s="29" t="str">
        <f>VLOOKUP(E8,[2]Regulation!$C$6:$E$25,3,0)</f>
        <v>1C</v>
      </c>
      <c r="G8" s="30">
        <f>VLOOKUP(F8,[2]Regulation!$E$6:$F$25,2,0)</f>
        <v>4.1999999999999997E-3</v>
      </c>
      <c r="H8" s="31">
        <f>VLOOKUP($C8,[3]Output!$B$21:$K$39,6,0)</f>
        <v>7.813707</v>
      </c>
      <c r="I8" s="31">
        <f>VLOOKUP($C8,[3]Output!$B$21:$K$39,7,0)/2</f>
        <v>6.8397377394723433</v>
      </c>
      <c r="J8" s="30">
        <f>VLOOKUP($C8,[3]Output!$B$21:$K$39,3,0)</f>
        <v>4.3566750000000001E-2</v>
      </c>
      <c r="K8" s="30">
        <f>VLOOKUP($C8,[3]Output!$B$21:$K$39,4,0)</f>
        <v>1E-3</v>
      </c>
      <c r="L8" s="30">
        <f t="shared" si="0"/>
        <v>4.256675E-2</v>
      </c>
      <c r="M8" s="30">
        <f>VLOOKUP($C8,[3]Output!$B$21:$K$39,9,0)</f>
        <v>5.4802573589797503E-2</v>
      </c>
      <c r="N8" s="30">
        <f>VLOOKUP($C8,[3]Output!$B$21:$K$39,8,0)</f>
        <v>2.4502383719954141E-2</v>
      </c>
      <c r="O8" s="30">
        <f>VLOOKUP($C8,[3]Output!$B$21:$K$39,10,0)</f>
        <v>3.3592440680907151E-2</v>
      </c>
      <c r="P8" s="32"/>
      <c r="Q8" s="32"/>
      <c r="R8" s="32"/>
      <c r="S8" s="32"/>
      <c r="T8" s="32"/>
      <c r="U8" s="32"/>
      <c r="V8" s="32"/>
    </row>
    <row r="9" spans="2:24" x14ac:dyDescent="0.35">
      <c r="B9" s="48"/>
      <c r="C9" s="13" t="s">
        <v>101</v>
      </c>
      <c r="D9" s="29" t="s">
        <v>126</v>
      </c>
      <c r="E9" s="29" t="s">
        <v>130</v>
      </c>
      <c r="F9" s="29" t="str">
        <f>VLOOKUP(E9,[2]Regulation!$C$6:$E$25,3,0)</f>
        <v>1F</v>
      </c>
      <c r="G9" s="30">
        <f>VLOOKUP(F9,[2]Regulation!$E$6:$F$25,2,0)</f>
        <v>8.2000000000000007E-3</v>
      </c>
      <c r="H9" s="31">
        <f>VLOOKUP($C9,[3]Output!$B$21:$K$39,6,0)</f>
        <v>10.287673</v>
      </c>
      <c r="I9" s="31">
        <f>VLOOKUP($C9,[3]Output!$B$21:$K$39,7,0)/2</f>
        <v>8.3414786592650429</v>
      </c>
      <c r="J9" s="30">
        <f>VLOOKUP($C9,[3]Output!$B$21:$K$39,3,0)</f>
        <v>4.8731650000000001E-2</v>
      </c>
      <c r="K9" s="30">
        <f>VLOOKUP($C9,[3]Output!$B$21:$K$39,4,0)</f>
        <v>7.000000000000001E-4</v>
      </c>
      <c r="L9" s="30">
        <f t="shared" si="0"/>
        <v>4.8031650000000002E-2</v>
      </c>
      <c r="M9" s="30">
        <f>VLOOKUP($C9,[3]Output!$B$21:$K$39,9,0)</f>
        <v>6.2742012673721509E-2</v>
      </c>
      <c r="N9" s="30">
        <f>VLOOKUP($C9,[3]Output!$B$21:$K$39,8,0)</f>
        <v>2.8169740304252306E-2</v>
      </c>
      <c r="O9" s="30">
        <f>VLOOKUP($C9,[3]Output!$B$21:$K$39,10,0)</f>
        <v>3.8541422015093071E-2</v>
      </c>
      <c r="P9" s="32"/>
      <c r="Q9" s="32"/>
      <c r="R9" s="32"/>
      <c r="S9" s="32"/>
      <c r="T9" s="32"/>
      <c r="U9" s="32"/>
      <c r="V9" s="32"/>
    </row>
    <row r="10" spans="2:24" x14ac:dyDescent="0.35">
      <c r="B10" s="48"/>
      <c r="C10" s="13" t="s">
        <v>102</v>
      </c>
      <c r="D10" s="29" t="s">
        <v>126</v>
      </c>
      <c r="E10" s="29" t="s">
        <v>131</v>
      </c>
      <c r="F10" s="29" t="str">
        <f>VLOOKUP(E10,[2]Regulation!$C$6:$E$25,3,0)</f>
        <v>2B</v>
      </c>
      <c r="G10" s="30">
        <f>VLOOKUP(F10,[2]Regulation!$E$6:$F$25,2,0)</f>
        <v>1.52E-2</v>
      </c>
      <c r="H10" s="31">
        <f>VLOOKUP($C10,[3]Output!$B$21:$K$39,6,0)</f>
        <v>10.474636</v>
      </c>
      <c r="I10" s="31">
        <f>VLOOKUP($C10,[3]Output!$B$21:$K$39,7,0)/2</f>
        <v>8.2171708865819753</v>
      </c>
      <c r="J10" s="30">
        <f>VLOOKUP($C10,[3]Output!$B$21:$K$39,3,0)</f>
        <v>5.2118029999999996E-2</v>
      </c>
      <c r="K10" s="30">
        <f>VLOOKUP($C10,[3]Output!$B$21:$K$39,4,0)</f>
        <v>4.8999999999999998E-3</v>
      </c>
      <c r="L10" s="30">
        <f t="shared" si="0"/>
        <v>4.7218029999999994E-2</v>
      </c>
      <c r="M10" s="30">
        <f>VLOOKUP($C10,[3]Output!$B$21:$K$39,9,0)</f>
        <v>7.2250406868455186E-2</v>
      </c>
      <c r="N10" s="30">
        <f>VLOOKUP($C10,[3]Output!$B$21:$K$39,8,0)</f>
        <v>3.2019773508513621E-2</v>
      </c>
      <c r="O10" s="30">
        <f>VLOOKUP($C10,[3]Output!$B$21:$K$39,10,0)</f>
        <v>4.4088963516496091E-2</v>
      </c>
      <c r="P10" s="32"/>
      <c r="Q10" s="32"/>
      <c r="R10" s="32"/>
      <c r="S10" s="32"/>
      <c r="T10" s="32"/>
      <c r="U10" s="32"/>
      <c r="V10" s="32"/>
    </row>
    <row r="11" spans="2:24" x14ac:dyDescent="0.35">
      <c r="B11" s="48"/>
      <c r="C11" s="13" t="s">
        <v>93</v>
      </c>
      <c r="D11" s="29" t="s">
        <v>126</v>
      </c>
      <c r="E11" s="33" t="s">
        <v>132</v>
      </c>
      <c r="F11" s="29" t="str">
        <f>VLOOKUP(E11,[2]Regulation!$C$6:$E$25,3,0)</f>
        <v>3C</v>
      </c>
      <c r="G11" s="30">
        <f>VLOOKUP(F11,[2]Regulation!$E$6:$F$25,2,0)</f>
        <v>6.0199999999999997E-2</v>
      </c>
      <c r="H11" s="31">
        <f>VLOOKUP($C11,[3]Output!$B$21:$K$39,6,0)</f>
        <v>4.5007529999999996</v>
      </c>
      <c r="I11" s="31">
        <f>VLOOKUP($C11,[3]Output!$B$21:$K$39,7,0)/2</f>
        <v>3.9338110115775913</v>
      </c>
      <c r="J11" s="30">
        <f>VLOOKUP($C11,[3]Output!$B$21:$K$39,3,0)</f>
        <v>7.0441839999999992E-2</v>
      </c>
      <c r="K11" s="30">
        <f>VLOOKUP($C11,[3]Output!$B$21:$K$39,4,0)</f>
        <v>6.7121951219512197E-3</v>
      </c>
      <c r="L11" s="30">
        <f t="shared" si="0"/>
        <v>6.3729644878048775E-2</v>
      </c>
      <c r="M11" s="30">
        <f>VLOOKUP($C11,[3]Output!$B$21:$K$39,9,0)</f>
        <v>0.12462091630490539</v>
      </c>
      <c r="N11" s="30">
        <f>VLOOKUP($C11,[3]Output!$B$21:$K$39,8,0)</f>
        <v>0.12804464663255458</v>
      </c>
      <c r="O11" s="30">
        <f>VLOOKUP($C11,[3]Output!$B$21:$K$39,10,0)</f>
        <v>0.12701752753425982</v>
      </c>
      <c r="P11" s="32"/>
      <c r="Q11" s="32"/>
      <c r="R11" s="32"/>
      <c r="S11" s="32"/>
      <c r="T11" s="32"/>
      <c r="U11" s="32"/>
      <c r="V11" s="32"/>
    </row>
    <row r="12" spans="2:24" x14ac:dyDescent="0.35">
      <c r="B12" s="48"/>
      <c r="C12" s="13" t="s">
        <v>103</v>
      </c>
      <c r="D12" s="29" t="s">
        <v>126</v>
      </c>
      <c r="E12" s="33" t="s">
        <v>132</v>
      </c>
      <c r="F12" s="29" t="str">
        <f>VLOOKUP(E12,[2]Regulation!$C$6:$E$25,3,0)</f>
        <v>3C</v>
      </c>
      <c r="G12" s="30">
        <f>VLOOKUP(F12,[2]Regulation!$E$6:$F$25,2,0)</f>
        <v>6.0199999999999997E-2</v>
      </c>
      <c r="H12" s="31">
        <f>VLOOKUP($C12,[3]Output!$B$21:$K$39,6,0)</f>
        <v>16.344062999999998</v>
      </c>
      <c r="I12" s="31">
        <f>VLOOKUP($C12,[3]Output!$B$21:$K$39,7,0)/2</f>
        <v>9.5116975212047663</v>
      </c>
      <c r="J12" s="30">
        <f>VLOOKUP($C12,[3]Output!$B$21:$K$39,3,0)</f>
        <v>7.8691419999999998E-2</v>
      </c>
      <c r="K12" s="30">
        <f>VLOOKUP($C12,[3]Output!$B$21:$K$39,4,0)</f>
        <v>6.7121951219512197E-3</v>
      </c>
      <c r="L12" s="30">
        <f t="shared" si="0"/>
        <v>7.1979224878048781E-2</v>
      </c>
      <c r="M12" s="30">
        <f>VLOOKUP($C12,[3]Output!$B$21:$K$39,9,0)</f>
        <v>0.18040589685072708</v>
      </c>
      <c r="N12" s="30">
        <f>VLOOKUP($C12,[3]Output!$B$21:$K$39,8,0)</f>
        <v>8.9359638512840761E-2</v>
      </c>
      <c r="O12" s="30">
        <f>VLOOKUP($C12,[3]Output!$B$21:$K$39,10,0)</f>
        <v>0.11667351601420665</v>
      </c>
      <c r="P12" s="32"/>
      <c r="Q12" s="32"/>
      <c r="R12" s="32"/>
      <c r="S12" s="32"/>
      <c r="T12" s="32"/>
      <c r="U12" s="32"/>
      <c r="V12" s="32"/>
    </row>
    <row r="13" spans="2:24" x14ac:dyDescent="0.35">
      <c r="B13" s="48"/>
      <c r="C13" s="13" t="s">
        <v>104</v>
      </c>
      <c r="D13" s="29" t="s">
        <v>126</v>
      </c>
      <c r="E13" s="29" t="s">
        <v>130</v>
      </c>
      <c r="F13" s="29" t="str">
        <f>VLOOKUP(E13,[2]Regulation!$C$6:$E$25,3,0)</f>
        <v>1F</v>
      </c>
      <c r="G13" s="30">
        <f>VLOOKUP(F13,[2]Regulation!$E$6:$F$25,2,0)</f>
        <v>8.2000000000000007E-3</v>
      </c>
      <c r="H13" s="31">
        <f>VLOOKUP($C13,[3]Output!$B$21:$K$39,6,0)</f>
        <v>6.9603400000000004</v>
      </c>
      <c r="I13" s="31">
        <f>VLOOKUP($C13,[3]Output!$B$21:$K$39,7,0)/2</f>
        <v>6.1889832358874335</v>
      </c>
      <c r="J13" s="30">
        <f>VLOOKUP($C13,[3]Output!$B$21:$K$39,3,0)</f>
        <v>3.9210250000000002E-2</v>
      </c>
      <c r="K13" s="30">
        <f>VLOOKUP($C13,[3]Output!$B$21:$K$39,4,0)</f>
        <v>7.000000000000001E-4</v>
      </c>
      <c r="L13" s="30">
        <f t="shared" si="0"/>
        <v>3.8510250000000003E-2</v>
      </c>
      <c r="M13" s="30">
        <f>VLOOKUP($C13,[3]Output!$B$21:$K$39,9,0)</f>
        <v>5.9889059527831502E-2</v>
      </c>
      <c r="N13" s="30">
        <f>VLOOKUP($C13,[3]Output!$B$21:$K$39,8,0)</f>
        <v>1.1198991337781239E-2</v>
      </c>
      <c r="O13" s="30">
        <f>VLOOKUP($C13,[3]Output!$B$21:$K$39,10,0)</f>
        <v>2.5806011794796316E-2</v>
      </c>
      <c r="P13" s="32"/>
      <c r="Q13" s="32"/>
      <c r="R13" s="32"/>
      <c r="S13" s="32"/>
      <c r="T13" s="32"/>
      <c r="U13" s="32"/>
      <c r="V13" s="32"/>
    </row>
    <row r="14" spans="2:24" x14ac:dyDescent="0.35">
      <c r="B14" s="47" t="s">
        <v>133</v>
      </c>
      <c r="C14" s="13" t="s">
        <v>91</v>
      </c>
      <c r="D14" s="29" t="s">
        <v>126</v>
      </c>
      <c r="E14" s="29" t="s">
        <v>128</v>
      </c>
      <c r="F14" s="29" t="str">
        <f>VLOOKUP(E14,[2]Regulation!$C$6:$E$25,3,0)</f>
        <v>1C</v>
      </c>
      <c r="G14" s="30">
        <v>0</v>
      </c>
      <c r="H14" s="31">
        <f>VLOOKUP($C14,[3]Output!$B$21:$K$39,6,0)</f>
        <v>7.7926409999999997</v>
      </c>
      <c r="I14" s="31">
        <f>VLOOKUP($C14,[3]Output!$B$21:$K$39,7,0)/2</f>
        <v>6.7064565111538013</v>
      </c>
      <c r="J14" s="30">
        <f>VLOOKUP($C14,[3]Output!$B$21:$K$39,3,0)</f>
        <v>4.9308810000000002E-2</v>
      </c>
      <c r="K14" s="30">
        <f>VLOOKUP($C14,[3]Output!$B$21:$K$39,4,0)</f>
        <v>1E-3</v>
      </c>
      <c r="L14" s="30">
        <f t="shared" si="0"/>
        <v>4.8308810000000001E-2</v>
      </c>
      <c r="M14" s="30">
        <f>VLOOKUP($C14,[3]Output!$B$21:$K$39,9,0)</f>
        <v>8.1546210531097146E-2</v>
      </c>
      <c r="N14" s="30">
        <f>VLOOKUP($C14,[3]Output!$B$21:$K$39,8,0)</f>
        <v>3.0900586048502696E-2</v>
      </c>
      <c r="O14" s="30">
        <f>VLOOKUP($C14,[3]Output!$B$21:$K$39,10,0)</f>
        <v>4.6094273393281024E-2</v>
      </c>
      <c r="P14" s="32"/>
      <c r="Q14" s="32"/>
      <c r="R14" s="32"/>
      <c r="S14" s="32"/>
      <c r="T14" s="32"/>
      <c r="U14" s="32"/>
      <c r="V14" s="32"/>
    </row>
    <row r="15" spans="2:24" x14ac:dyDescent="0.35">
      <c r="B15" s="47"/>
      <c r="C15" s="13" t="s">
        <v>105</v>
      </c>
      <c r="D15" s="29" t="s">
        <v>126</v>
      </c>
      <c r="E15" s="29" t="s">
        <v>128</v>
      </c>
      <c r="F15" s="29" t="str">
        <f>VLOOKUP(E15,[2]Regulation!$C$6:$E$25,3,0)</f>
        <v>1C</v>
      </c>
      <c r="G15" s="30">
        <v>0</v>
      </c>
      <c r="H15" s="31">
        <f>VLOOKUP($C15,[3]Output!$B$21:$K$39,6,0)</f>
        <v>4.4344999999999999</v>
      </c>
      <c r="I15" s="31">
        <f>VLOOKUP($C15,[3]Output!$B$21:$K$39,7,0)/2</f>
        <v>4.1086900210423067</v>
      </c>
      <c r="J15" s="30">
        <f>VLOOKUP($C15,[3]Output!$B$21:$K$39,3,0)</f>
        <v>4.6924659999999993E-2</v>
      </c>
      <c r="K15" s="30">
        <f>VLOOKUP($C15,[3]Output!$B$21:$K$39,4,0)</f>
        <v>1E-3</v>
      </c>
      <c r="L15" s="30">
        <f t="shared" si="0"/>
        <v>4.5924659999999992E-2</v>
      </c>
      <c r="M15" s="30">
        <f>VLOOKUP($C15,[3]Output!$B$21:$K$39,9,0)</f>
        <v>7.7367661849708572E-2</v>
      </c>
      <c r="N15" s="30">
        <f>VLOOKUP($C15,[3]Output!$B$21:$K$39,8,0)</f>
        <v>3.6850155664812825E-2</v>
      </c>
      <c r="O15" s="30">
        <f>VLOOKUP($C15,[3]Output!$B$21:$K$39,10,0)</f>
        <v>4.9005407520281548E-2</v>
      </c>
      <c r="P15" s="32"/>
      <c r="Q15" s="32"/>
      <c r="R15" s="32"/>
      <c r="S15" s="32"/>
      <c r="T15" s="32"/>
      <c r="U15" s="32"/>
      <c r="V15" s="32"/>
    </row>
    <row r="16" spans="2:24" x14ac:dyDescent="0.35">
      <c r="B16" s="47"/>
      <c r="C16" s="13" t="s">
        <v>106</v>
      </c>
      <c r="D16" s="29" t="s">
        <v>126</v>
      </c>
      <c r="E16" s="29" t="s">
        <v>128</v>
      </c>
      <c r="F16" s="29" t="str">
        <f>VLOOKUP(E16,[2]Regulation!$C$6:$E$25,3,0)</f>
        <v>1C</v>
      </c>
      <c r="G16" s="30">
        <f>VLOOKUP(F16,[2]Regulation!$E$6:$F$25,2,0)</f>
        <v>4.1999999999999997E-3</v>
      </c>
      <c r="H16" s="31">
        <f>VLOOKUP($C16,[3]Output!$B$21:$K$39,6,0)</f>
        <v>3.5722619999999998</v>
      </c>
      <c r="I16" s="31">
        <f>VLOOKUP($C16,[3]Output!$B$21:$K$39,7,0)/2</f>
        <v>3.2815588370748707</v>
      </c>
      <c r="J16" s="30">
        <f>VLOOKUP($C16,[3]Output!$B$21:$K$39,3,0)</f>
        <v>4.4074989999999994E-2</v>
      </c>
      <c r="K16" s="30">
        <f>VLOOKUP($C16,[3]Output!$B$21:$K$39,4,0)</f>
        <v>1E-3</v>
      </c>
      <c r="L16" s="30">
        <f t="shared" si="0"/>
        <v>4.3074989999999994E-2</v>
      </c>
      <c r="M16" s="30">
        <f>VLOOKUP($C16,[3]Output!$B$21:$K$39,9,0)</f>
        <v>5.8158040943127959E-2</v>
      </c>
      <c r="N16" s="30">
        <f>VLOOKUP($C16,[3]Output!$B$21:$K$39,8,0)</f>
        <v>5.4924579308506409E-2</v>
      </c>
      <c r="O16" s="30">
        <f>VLOOKUP($C16,[3]Output!$B$21:$K$39,10,0)</f>
        <v>5.5894617798892876E-2</v>
      </c>
      <c r="P16" s="32"/>
      <c r="Q16" s="32"/>
      <c r="R16" s="32"/>
      <c r="S16" s="32"/>
      <c r="T16" s="32"/>
      <c r="U16" s="32"/>
      <c r="V16" s="32"/>
    </row>
    <row r="17" spans="2:22" x14ac:dyDescent="0.35">
      <c r="B17" s="47" t="s">
        <v>134</v>
      </c>
      <c r="C17" s="13" t="s">
        <v>99</v>
      </c>
      <c r="D17" s="29" t="s">
        <v>126</v>
      </c>
      <c r="E17" s="29" t="s">
        <v>130</v>
      </c>
      <c r="F17" s="29" t="str">
        <f>VLOOKUP(E17,[2]Regulation!$C$6:$E$25,3,0)</f>
        <v>1F</v>
      </c>
      <c r="G17" s="30">
        <f>VLOOKUP(F17,[2]Regulation!$E$6:$F$25,2,0)</f>
        <v>8.2000000000000007E-3</v>
      </c>
      <c r="H17" s="31">
        <f>VLOOKUP($C17,[3]Output!$B$21:$K$39,6,0)</f>
        <v>10.287673</v>
      </c>
      <c r="I17" s="31">
        <f>VLOOKUP($C17,[3]Output!$B$21:$K$39,7,0)/2</f>
        <v>8.1053679226380968</v>
      </c>
      <c r="J17" s="30">
        <f>VLOOKUP($C17,[3]Output!$B$21:$K$39,3,0)</f>
        <v>5.523231E-2</v>
      </c>
      <c r="K17" s="30">
        <f>VLOOKUP($C17,[3]Output!$B$21:$K$39,4,0)</f>
        <v>7.000000000000001E-4</v>
      </c>
      <c r="L17" s="30">
        <f t="shared" si="0"/>
        <v>5.4532310000000001E-2</v>
      </c>
      <c r="M17" s="30">
        <f>VLOOKUP($C17,[3]Output!$B$21:$K$39,9,0)</f>
        <v>5.3405781068932762E-2</v>
      </c>
      <c r="N17" s="30">
        <f>VLOOKUP($C17,[3]Output!$B$21:$K$39,8,0)</f>
        <v>2.7835774911701208E-2</v>
      </c>
      <c r="O17" s="30">
        <f>VLOOKUP($C17,[3]Output!$B$21:$K$39,10,0)</f>
        <v>3.5506776758870678E-2</v>
      </c>
      <c r="P17" s="32"/>
      <c r="Q17" s="32"/>
      <c r="R17" s="32"/>
      <c r="S17" s="32"/>
      <c r="T17" s="32"/>
      <c r="U17" s="32"/>
      <c r="V17" s="32"/>
    </row>
    <row r="18" spans="2:22" x14ac:dyDescent="0.35">
      <c r="B18" s="47"/>
      <c r="C18" s="13" t="s">
        <v>107</v>
      </c>
      <c r="D18" s="29" t="s">
        <v>126</v>
      </c>
      <c r="E18" s="29" t="s">
        <v>131</v>
      </c>
      <c r="F18" s="29" t="str">
        <f>VLOOKUP(E18,[2]Regulation!$C$6:$E$25,3,0)</f>
        <v>2B</v>
      </c>
      <c r="G18" s="30">
        <f>VLOOKUP(F18,[2]Regulation!$E$6:$F$25,2,0)</f>
        <v>1.52E-2</v>
      </c>
      <c r="H18" s="31">
        <f>VLOOKUP($C18,[3]Output!$B$21:$K$39,6,0)</f>
        <v>10.474636</v>
      </c>
      <c r="I18" s="31">
        <f>VLOOKUP($C18,[3]Output!$B$21:$K$39,7,0)/2</f>
        <v>7.9927807681872469</v>
      </c>
      <c r="J18" s="30">
        <f>VLOOKUP($C18,[3]Output!$B$21:$K$39,3,0)</f>
        <v>5.8436709999999996E-2</v>
      </c>
      <c r="K18" s="30">
        <f>VLOOKUP($C18,[3]Output!$B$21:$K$39,4,0)</f>
        <v>4.8999999999999998E-3</v>
      </c>
      <c r="L18" s="30">
        <f t="shared" si="0"/>
        <v>5.3536709999999994E-2</v>
      </c>
      <c r="M18" s="30">
        <f>VLOOKUP($C18,[3]Output!$B$21:$K$39,9,0)</f>
        <v>5.7037288149570778E-2</v>
      </c>
      <c r="N18" s="30">
        <f>VLOOKUP($C18,[3]Output!$B$21:$K$39,8,0)</f>
        <v>3.2043871962616564E-2</v>
      </c>
      <c r="O18" s="30">
        <f>VLOOKUP($C18,[3]Output!$B$21:$K$39,10,0)</f>
        <v>3.9541896818702828E-2</v>
      </c>
      <c r="P18" s="32"/>
      <c r="Q18" s="32"/>
      <c r="R18" s="32"/>
      <c r="S18" s="32"/>
      <c r="T18" s="32"/>
      <c r="U18" s="32"/>
      <c r="V18" s="32"/>
    </row>
    <row r="19" spans="2:22" x14ac:dyDescent="0.35">
      <c r="B19" s="47"/>
      <c r="C19" s="13" t="s">
        <v>94</v>
      </c>
      <c r="D19" s="29" t="s">
        <v>126</v>
      </c>
      <c r="E19" s="29" t="s">
        <v>135</v>
      </c>
      <c r="F19" s="29" t="str">
        <f>VLOOKUP(E19,[2]Regulation!$C$6:$E$25,3,0)</f>
        <v>4A</v>
      </c>
      <c r="G19" s="30">
        <f>VLOOKUP(F19,[2]Regulation!$E$6:$F$25,2,0)</f>
        <v>7.3899999999999993E-2</v>
      </c>
      <c r="H19" s="31">
        <f>VLOOKUP($C19,[3]Output!$B$21:$K$39,6,0)</f>
        <v>4.715166</v>
      </c>
      <c r="I19" s="31">
        <f>VLOOKUP($C19,[3]Output!$B$21:$K$39,7,0)/2</f>
        <v>3.8670080655810657</v>
      </c>
      <c r="J19" s="30">
        <f>VLOOKUP($C19,[3]Output!$B$21:$K$39,3,0)</f>
        <v>7.9908560000000003E-2</v>
      </c>
      <c r="K19" s="30">
        <f>VLOOKUP($C19,[3]Output!$B$21:$K$39,4,0)</f>
        <v>2.4160975609756094E-2</v>
      </c>
      <c r="L19" s="30">
        <f t="shared" si="0"/>
        <v>5.5747584390243909E-2</v>
      </c>
      <c r="M19" s="30">
        <f>VLOOKUP($C19,[3]Output!$B$21:$K$39,9,0)</f>
        <v>0.14432471748058168</v>
      </c>
      <c r="N19" s="30">
        <f>VLOOKUP($C19,[3]Output!$B$21:$K$39,8,0)</f>
        <v>8.9359638512840761E-2</v>
      </c>
      <c r="O19" s="30">
        <f>VLOOKUP($C19,[3]Output!$B$21:$K$39,10,0)</f>
        <v>0.10584916220316304</v>
      </c>
      <c r="P19" s="32"/>
      <c r="Q19" s="32"/>
      <c r="R19" s="32"/>
      <c r="S19" s="32"/>
      <c r="T19" s="32"/>
      <c r="U19" s="32"/>
      <c r="V19" s="32"/>
    </row>
    <row r="20" spans="2:22" x14ac:dyDescent="0.35">
      <c r="B20" s="47"/>
      <c r="C20" s="13" t="s">
        <v>98</v>
      </c>
      <c r="D20" s="29" t="s">
        <v>136</v>
      </c>
      <c r="E20" s="29" t="s">
        <v>128</v>
      </c>
      <c r="F20" s="29" t="str">
        <f>VLOOKUP(E20,[2]Regulation!$C$6:$E$25,3,0)</f>
        <v>1C</v>
      </c>
      <c r="G20" s="30">
        <f>[2]Regulation!N6</f>
        <v>6.8000000000000005E-3</v>
      </c>
      <c r="H20" s="31">
        <f>VLOOKUP($C20,[3]Output!$B$21:$K$39,6,0)</f>
        <v>7.7222470000000003</v>
      </c>
      <c r="I20" s="31">
        <f>VLOOKUP($C20,[3]Output!$B$21:$K$39,7,0)/2</f>
        <v>6.3666743917403208</v>
      </c>
      <c r="J20" s="30">
        <f>VLOOKUP($C20,[3]Output!$B$21:$K$39,3,0)</f>
        <v>4.8954639999999994E-2</v>
      </c>
      <c r="K20" s="30">
        <f>VLOOKUP($C20,[3]Output!$B$21:$K$39,4,0)</f>
        <v>1E-3</v>
      </c>
      <c r="L20" s="30">
        <f t="shared" si="0"/>
        <v>4.7954639999999993E-2</v>
      </c>
      <c r="M20" s="30">
        <f>VLOOKUP($C20,[3]Output!$B$21:$K$39,9,0)</f>
        <v>2.8552444354448207E-2</v>
      </c>
      <c r="N20" s="30">
        <f>VLOOKUP($C20,[3]Output!$B$21:$K$39,8,0)</f>
        <v>3.0900586048502696E-2</v>
      </c>
      <c r="O20" s="30">
        <f>VLOOKUP($C20,[3]Output!$B$21:$K$39,10,0)</f>
        <v>3.0196143540286345E-2</v>
      </c>
      <c r="P20" s="32"/>
      <c r="Q20" s="32"/>
      <c r="R20" s="32"/>
      <c r="S20" s="32"/>
      <c r="T20" s="32"/>
      <c r="U20" s="32"/>
      <c r="V20" s="32"/>
    </row>
    <row r="21" spans="2:22" x14ac:dyDescent="0.35">
      <c r="B21" s="47"/>
      <c r="C21" s="13" t="s">
        <v>108</v>
      </c>
      <c r="D21" s="29" t="s">
        <v>136</v>
      </c>
      <c r="E21" s="29" t="s">
        <v>127</v>
      </c>
      <c r="F21" s="29" t="str">
        <f>VLOOKUP(E21,[2]Regulation!$C$6:$E$25,3,0)</f>
        <v>1A</v>
      </c>
      <c r="G21" s="30">
        <f>[2]Regulation!M12</f>
        <v>9.0000000000000011E-3</v>
      </c>
      <c r="H21" s="31">
        <f>VLOOKUP($C21,[3]Output!$B$21:$K$39,6,0)</f>
        <v>4.4085919999999996</v>
      </c>
      <c r="I21" s="31">
        <f>VLOOKUP($C21,[3]Output!$B$21:$K$39,7,0)/2</f>
        <v>4.1037512305205741</v>
      </c>
      <c r="J21" s="30">
        <f>VLOOKUP($C21,[3]Output!$B$21:$K$39,3,0)</f>
        <v>4.756515E-2</v>
      </c>
      <c r="K21" s="30">
        <f>VLOOKUP($C21,[3]Output!$B$21:$K$39,4,0)</f>
        <v>0</v>
      </c>
      <c r="L21" s="30">
        <f t="shared" si="0"/>
        <v>4.756515E-2</v>
      </c>
      <c r="M21" s="30">
        <f>VLOOKUP($C21,[3]Output!$B$21:$K$39,9,0)</f>
        <v>0.13147671067656097</v>
      </c>
      <c r="N21" s="30">
        <f>VLOOKUP($C21,[3]Output!$B$21:$K$39,8,0)</f>
        <v>6.6165563409512532E-2</v>
      </c>
      <c r="O21" s="30">
        <f>VLOOKUP($C21,[3]Output!$B$21:$K$39,10,0)</f>
        <v>8.5758907589627065E-2</v>
      </c>
      <c r="P21" s="32"/>
      <c r="Q21" s="32"/>
      <c r="R21" s="32"/>
      <c r="S21" s="32"/>
      <c r="T21" s="32"/>
      <c r="U21" s="32"/>
      <c r="V21" s="32"/>
    </row>
    <row r="22" spans="2:22" x14ac:dyDescent="0.35">
      <c r="B22" s="47" t="s">
        <v>137</v>
      </c>
      <c r="C22" s="13" t="s">
        <v>81</v>
      </c>
      <c r="D22" s="29" t="s">
        <v>138</v>
      </c>
      <c r="E22" s="34" t="s">
        <v>139</v>
      </c>
      <c r="F22" s="34" t="s">
        <v>139</v>
      </c>
      <c r="G22" s="30">
        <v>0.3</v>
      </c>
      <c r="H22" s="31"/>
      <c r="I22" s="31"/>
      <c r="J22" s="30"/>
      <c r="K22" s="30"/>
      <c r="L22" s="30">
        <f>M22^2</f>
        <v>6.3875526944260075E-2</v>
      </c>
      <c r="M22" s="30">
        <f>O22</f>
        <v>0.2527360816034388</v>
      </c>
      <c r="N22" s="30"/>
      <c r="O22" s="30">
        <f>_xlfn.STDEV.P(Returns!U$2:U$209)*SQRT(12)</f>
        <v>0.2527360816034388</v>
      </c>
      <c r="Q22" s="32"/>
      <c r="R22" s="32"/>
      <c r="S22" s="32"/>
      <c r="T22" s="32"/>
      <c r="U22" s="32"/>
      <c r="V22" s="32"/>
    </row>
    <row r="23" spans="2:22" x14ac:dyDescent="0.35">
      <c r="B23" s="47"/>
      <c r="C23" s="13" t="s">
        <v>97</v>
      </c>
      <c r="D23" s="29" t="s">
        <v>138</v>
      </c>
      <c r="E23" s="34" t="s">
        <v>139</v>
      </c>
      <c r="F23" s="34" t="s">
        <v>139</v>
      </c>
      <c r="G23" s="30">
        <v>0.3</v>
      </c>
      <c r="H23" s="31"/>
      <c r="I23" s="31"/>
      <c r="J23" s="30"/>
      <c r="K23" s="30"/>
      <c r="L23" s="30">
        <f>M23^2</f>
        <v>3.0485132094648801E-2</v>
      </c>
      <c r="M23" s="30">
        <f>O23</f>
        <v>0.17459992008775033</v>
      </c>
      <c r="N23" s="30"/>
      <c r="O23" s="30">
        <f>_xlfn.STDEV.P(Returns!V$2:V$209)*SQRT(12)</f>
        <v>0.17459992008775033</v>
      </c>
      <c r="P23" s="32"/>
      <c r="Q23" s="32"/>
      <c r="R23" s="32"/>
      <c r="S23" s="32"/>
      <c r="T23" s="32"/>
      <c r="U23" s="32"/>
      <c r="V23" s="32"/>
    </row>
    <row r="24" spans="2:22" x14ac:dyDescent="0.35">
      <c r="B24" s="35"/>
      <c r="O24" s="36"/>
      <c r="P24" s="37"/>
    </row>
    <row r="25" spans="2:22" x14ac:dyDescent="0.35">
      <c r="B25" t="s">
        <v>140</v>
      </c>
    </row>
    <row r="26" spans="2:22" x14ac:dyDescent="0.35">
      <c r="B26" t="s">
        <v>141</v>
      </c>
    </row>
    <row r="27" spans="2:22" x14ac:dyDescent="0.35">
      <c r="B27" t="s">
        <v>142</v>
      </c>
    </row>
    <row r="28" spans="2:22" x14ac:dyDescent="0.35">
      <c r="B28" t="s">
        <v>143</v>
      </c>
    </row>
    <row r="29" spans="2:22" x14ac:dyDescent="0.35">
      <c r="B29" t="s">
        <v>144</v>
      </c>
    </row>
    <row r="38" spans="2:8" x14ac:dyDescent="0.35">
      <c r="B38" t="s">
        <v>145</v>
      </c>
      <c r="C38" s="38">
        <v>4</v>
      </c>
    </row>
    <row r="39" spans="2:8" x14ac:dyDescent="0.35">
      <c r="B39" t="s">
        <v>146</v>
      </c>
      <c r="C39" s="38">
        <v>0.1</v>
      </c>
    </row>
    <row r="45" spans="2:8" x14ac:dyDescent="0.35">
      <c r="D45" s="38"/>
      <c r="E45" s="38"/>
      <c r="F45" s="38"/>
      <c r="G45" s="38"/>
      <c r="H45" s="38"/>
    </row>
    <row r="47" spans="2:8" x14ac:dyDescent="0.35">
      <c r="C47" s="38"/>
    </row>
    <row r="50" spans="7:7" x14ac:dyDescent="0.35">
      <c r="G50" s="39"/>
    </row>
  </sheetData>
  <mergeCells count="5">
    <mergeCell ref="B3:B6"/>
    <mergeCell ref="B7:B13"/>
    <mergeCell ref="B14:B16"/>
    <mergeCell ref="B17:B21"/>
    <mergeCell ref="B22:B2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CB438-9478-452D-9151-0AE7FAFB7C70}">
  <dimension ref="B2:Z26"/>
  <sheetViews>
    <sheetView topLeftCell="A4" zoomScale="70" zoomScaleNormal="70" workbookViewId="0">
      <selection activeCell="B2" sqref="B2:W23"/>
    </sheetView>
  </sheetViews>
  <sheetFormatPr defaultRowHeight="14.5" x14ac:dyDescent="0.35"/>
  <cols>
    <col min="1" max="1" width="4.26953125" customWidth="1"/>
    <col min="2" max="2" width="15.90625" customWidth="1"/>
    <col min="3" max="23" width="4.26953125" customWidth="1"/>
  </cols>
  <sheetData>
    <row r="2" spans="2:26" ht="92" customHeight="1" x14ac:dyDescent="0.35">
      <c r="B2" s="40"/>
      <c r="C2" s="42" t="s">
        <v>89</v>
      </c>
      <c r="D2" s="42" t="s">
        <v>90</v>
      </c>
      <c r="E2" s="42" t="s">
        <v>96</v>
      </c>
      <c r="F2" s="42" t="s">
        <v>95</v>
      </c>
      <c r="G2" s="42" t="s">
        <v>92</v>
      </c>
      <c r="H2" s="42" t="s">
        <v>100</v>
      </c>
      <c r="I2" s="42" t="s">
        <v>101</v>
      </c>
      <c r="J2" s="42" t="s">
        <v>102</v>
      </c>
      <c r="K2" s="42" t="s">
        <v>93</v>
      </c>
      <c r="L2" s="42" t="s">
        <v>103</v>
      </c>
      <c r="M2" s="42" t="s">
        <v>104</v>
      </c>
      <c r="N2" s="42" t="s">
        <v>91</v>
      </c>
      <c r="O2" s="42" t="s">
        <v>105</v>
      </c>
      <c r="P2" s="42" t="s">
        <v>106</v>
      </c>
      <c r="Q2" s="42" t="s">
        <v>99</v>
      </c>
      <c r="R2" s="42" t="s">
        <v>107</v>
      </c>
      <c r="S2" s="42" t="s">
        <v>94</v>
      </c>
      <c r="T2" s="42" t="s">
        <v>98</v>
      </c>
      <c r="U2" s="42" t="s">
        <v>108</v>
      </c>
      <c r="V2" s="42" t="s">
        <v>81</v>
      </c>
      <c r="W2" s="42" t="s">
        <v>97</v>
      </c>
    </row>
    <row r="3" spans="2:26" ht="24" customHeight="1" x14ac:dyDescent="0.35">
      <c r="B3" s="41" t="s">
        <v>89</v>
      </c>
      <c r="C3" s="46" cm="1">
        <f t="array" aca="1" ref="C3" ca="1">CORREL(IF(ISNUMBER(INDIRECT("Returns!"&amp;$Z3&amp;"2:"&amp;$Z3&amp;"209")),INDIRECT("Returns!"&amp;$Z3&amp;"2:"&amp;$Z3&amp;"209")),IF(ISNUMBER(INDIRECT("Returns!"&amp;C$26&amp;"2:"&amp;C$26&amp;"209")),INDIRECT("Returns!"&amp;C$26&amp;"2:"&amp;C$26&amp;"209")))</f>
        <v>0.99999999999999989</v>
      </c>
      <c r="D3" s="46" cm="1">
        <f t="array" aca="1" ref="D3" ca="1">CORREL(IF(ISNUMBER(INDIRECT("Returns!"&amp;$Z3&amp;"2:"&amp;$Z3&amp;"209")),INDIRECT("Returns!"&amp;$Z3&amp;"2:"&amp;$Z3&amp;"209")),IF(ISNUMBER(INDIRECT("Returns!"&amp;D$26&amp;"2:"&amp;D$26&amp;"209")),INDIRECT("Returns!"&amp;D$26&amp;"2:"&amp;D$26&amp;"209")))</f>
        <v>0.85357537430187458</v>
      </c>
      <c r="E3" s="46" cm="1">
        <f t="array" aca="1" ref="E3" ca="1">CORREL(IF(ISNUMBER(INDIRECT("Returns!"&amp;$Z3&amp;"2:"&amp;$Z3&amp;"209")),INDIRECT("Returns!"&amp;$Z3&amp;"2:"&amp;$Z3&amp;"209")),IF(ISNUMBER(INDIRECT("Returns!"&amp;E$26&amp;"2:"&amp;E$26&amp;"209")),INDIRECT("Returns!"&amp;E$26&amp;"2:"&amp;E$26&amp;"209")))</f>
        <v>0.54566253136513521</v>
      </c>
      <c r="F3" s="46" cm="1">
        <f t="array" aca="1" ref="F3" ca="1">CORREL(IF(ISNUMBER(INDIRECT("Returns!"&amp;$Z3&amp;"2:"&amp;$Z3&amp;"209")),INDIRECT("Returns!"&amp;$Z3&amp;"2:"&amp;$Z3&amp;"209")),IF(ISNUMBER(INDIRECT("Returns!"&amp;F$26&amp;"2:"&amp;F$26&amp;"209")),INDIRECT("Returns!"&amp;F$26&amp;"2:"&amp;F$26&amp;"209")))</f>
        <v>0.79424195855121738</v>
      </c>
      <c r="G3" s="46" cm="1">
        <f t="array" aca="1" ref="G3" ca="1">CORREL(IF(ISNUMBER(INDIRECT("Returns!"&amp;$Z3&amp;"2:"&amp;$Z3&amp;"209")),INDIRECT("Returns!"&amp;$Z3&amp;"2:"&amp;$Z3&amp;"209")),IF(ISNUMBER(INDIRECT("Returns!"&amp;G$26&amp;"2:"&amp;G$26&amp;"209")),INDIRECT("Returns!"&amp;G$26&amp;"2:"&amp;G$26&amp;"209")))</f>
        <v>0.94177111988912998</v>
      </c>
      <c r="H3" s="46" cm="1">
        <f t="array" aca="1" ref="H3" ca="1">CORREL(IF(ISNUMBER(INDIRECT("Returns!"&amp;$Z3&amp;"2:"&amp;$Z3&amp;"209")),INDIRECT("Returns!"&amp;$Z3&amp;"2:"&amp;$Z3&amp;"209")),IF(ISNUMBER(INDIRECT("Returns!"&amp;H$26&amp;"2:"&amp;H$26&amp;"209")),INDIRECT("Returns!"&amp;H$26&amp;"2:"&amp;H$26&amp;"209")))</f>
        <v>0.7414185587364216</v>
      </c>
      <c r="I3" s="46" cm="1">
        <f t="array" aca="1" ref="I3" ca="1">CORREL(IF(ISNUMBER(INDIRECT("Returns!"&amp;$Z3&amp;"2:"&amp;$Z3&amp;"209")),INDIRECT("Returns!"&amp;$Z3&amp;"2:"&amp;$Z3&amp;"209")),IF(ISNUMBER(INDIRECT("Returns!"&amp;I$26&amp;"2:"&amp;I$26&amp;"209")),INDIRECT("Returns!"&amp;I$26&amp;"2:"&amp;I$26&amp;"209")))</f>
        <v>0.60085647646878793</v>
      </c>
      <c r="J3" s="46" cm="1">
        <f t="array" aca="1" ref="J3" ca="1">CORREL(IF(ISNUMBER(INDIRECT("Returns!"&amp;$Z3&amp;"2:"&amp;$Z3&amp;"209")),INDIRECT("Returns!"&amp;$Z3&amp;"2:"&amp;$Z3&amp;"209")),IF(ISNUMBER(INDIRECT("Returns!"&amp;J$26&amp;"2:"&amp;J$26&amp;"209")),INDIRECT("Returns!"&amp;J$26&amp;"2:"&amp;J$26&amp;"209")))</f>
        <v>0.45993773248365721</v>
      </c>
      <c r="K3" s="46" cm="1">
        <f t="array" aca="1" ref="K3" ca="1">CORREL(IF(ISNUMBER(INDIRECT("Returns!"&amp;$Z3&amp;"2:"&amp;$Z3&amp;"209")),INDIRECT("Returns!"&amp;$Z3&amp;"2:"&amp;$Z3&amp;"209")),IF(ISNUMBER(INDIRECT("Returns!"&amp;K$26&amp;"2:"&amp;K$26&amp;"209")),INDIRECT("Returns!"&amp;K$26&amp;"2:"&amp;K$26&amp;"209")))</f>
        <v>-3.4047745460744426E-2</v>
      </c>
      <c r="L3" s="46" cm="1">
        <f t="array" aca="1" ref="L3" ca="1">CORREL(IF(ISNUMBER(INDIRECT("Returns!"&amp;$Z3&amp;"2:"&amp;$Z3&amp;"209")),INDIRECT("Returns!"&amp;$Z3&amp;"2:"&amp;$Z3&amp;"209")),IF(ISNUMBER(INDIRECT("Returns!"&amp;L$26&amp;"2:"&amp;L$26&amp;"209")),INDIRECT("Returns!"&amp;L$26&amp;"2:"&amp;L$26&amp;"209")))</f>
        <v>8.4808861642339056E-2</v>
      </c>
      <c r="M3" s="46" cm="1">
        <f t="array" aca="1" ref="M3" ca="1">CORREL(IF(ISNUMBER(INDIRECT("Returns!"&amp;$Z3&amp;"2:"&amp;$Z3&amp;"209")),INDIRECT("Returns!"&amp;$Z3&amp;"2:"&amp;$Z3&amp;"209")),IF(ISNUMBER(INDIRECT("Returns!"&amp;M$26&amp;"2:"&amp;M$26&amp;"209")),INDIRECT("Returns!"&amp;M$26&amp;"2:"&amp;M$26&amp;"209")))</f>
        <v>0.67768722450278196</v>
      </c>
      <c r="N3" s="46" cm="1">
        <f t="array" aca="1" ref="N3" ca="1">CORREL(IF(ISNUMBER(INDIRECT("Returns!"&amp;$Z3&amp;"2:"&amp;$Z3&amp;"209")),INDIRECT("Returns!"&amp;$Z3&amp;"2:"&amp;$Z3&amp;"209")),IF(ISNUMBER(INDIRECT("Returns!"&amp;N$26&amp;"2:"&amp;N$26&amp;"209")),INDIRECT("Returns!"&amp;N$26&amp;"2:"&amp;N$26&amp;"209")))</f>
        <v>0.83263230934956112</v>
      </c>
      <c r="O3" s="46" cm="1">
        <f t="array" aca="1" ref="O3" ca="1">CORREL(IF(ISNUMBER(INDIRECT("Returns!"&amp;$Z3&amp;"2:"&amp;$Z3&amp;"209")),INDIRECT("Returns!"&amp;$Z3&amp;"2:"&amp;$Z3&amp;"209")),IF(ISNUMBER(INDIRECT("Returns!"&amp;O$26&amp;"2:"&amp;O$26&amp;"209")),INDIRECT("Returns!"&amp;O$26&amp;"2:"&amp;O$26&amp;"209")))</f>
        <v>0.22017299619994421</v>
      </c>
      <c r="P3" s="46" cm="1">
        <f t="array" aca="1" ref="P3" ca="1">CORREL(IF(ISNUMBER(INDIRECT("Returns!"&amp;$Z3&amp;"2:"&amp;$Z3&amp;"209")),INDIRECT("Returns!"&amp;$Z3&amp;"2:"&amp;$Z3&amp;"209")),IF(ISNUMBER(INDIRECT("Returns!"&amp;P$26&amp;"2:"&amp;P$26&amp;"209")),INDIRECT("Returns!"&amp;P$26&amp;"2:"&amp;P$26&amp;"209")))</f>
        <v>0.29669257773259189</v>
      </c>
      <c r="Q3" s="46" cm="1">
        <f t="array" aca="1" ref="Q3" ca="1">CORREL(IF(ISNUMBER(INDIRECT("Returns!"&amp;$Z3&amp;"2:"&amp;$Z3&amp;"209")),INDIRECT("Returns!"&amp;$Z3&amp;"2:"&amp;$Z3&amp;"209")),IF(ISNUMBER(INDIRECT("Returns!"&amp;Q$26&amp;"2:"&amp;Q$26&amp;"209")),INDIRECT("Returns!"&amp;Q$26&amp;"2:"&amp;Q$26&amp;"209")))</f>
        <v>0.17835776816155458</v>
      </c>
      <c r="R3" s="46" cm="1">
        <f t="array" aca="1" ref="R3" ca="1">CORREL(IF(ISNUMBER(INDIRECT("Returns!"&amp;$Z3&amp;"2:"&amp;$Z3&amp;"209")),INDIRECT("Returns!"&amp;$Z3&amp;"2:"&amp;$Z3&amp;"209")),IF(ISNUMBER(INDIRECT("Returns!"&amp;R$26&amp;"2:"&amp;R$26&amp;"209")),INDIRECT("Returns!"&amp;R$26&amp;"2:"&amp;R$26&amp;"209")))</f>
        <v>0.12469567507509757</v>
      </c>
      <c r="S3" s="46" cm="1">
        <f t="array" aca="1" ref="S3" ca="1">CORREL(IF(ISNUMBER(INDIRECT("Returns!"&amp;$Z3&amp;"2:"&amp;$Z3&amp;"209")),INDIRECT("Returns!"&amp;$Z3&amp;"2:"&amp;$Z3&amp;"209")),IF(ISNUMBER(INDIRECT("Returns!"&amp;S$26&amp;"2:"&amp;S$26&amp;"209")),INDIRECT("Returns!"&amp;S$26&amp;"2:"&amp;S$26&amp;"209")))</f>
        <v>-0.1564135768369776</v>
      </c>
      <c r="T3" s="46" cm="1">
        <f t="array" aca="1" ref="T3" ca="1">CORREL(IF(ISNUMBER(INDIRECT("Returns!"&amp;$Z3&amp;"2:"&amp;$Z3&amp;"209")),INDIRECT("Returns!"&amp;$Z3&amp;"2:"&amp;$Z3&amp;"209")),IF(ISNUMBER(INDIRECT("Returns!"&amp;T$26&amp;"2:"&amp;T$26&amp;"209")),INDIRECT("Returns!"&amp;T$26&amp;"2:"&amp;T$26&amp;"209")))</f>
        <v>0.84526963513243569</v>
      </c>
      <c r="U3" s="46" cm="1">
        <f t="array" aca="1" ref="U3" ca="1">CORREL(IF(ISNUMBER(INDIRECT("Returns!"&amp;$Z3&amp;"2:"&amp;$Z3&amp;"209")),INDIRECT("Returns!"&amp;$Z3&amp;"2:"&amp;$Z3&amp;"209")),IF(ISNUMBER(INDIRECT("Returns!"&amp;U$26&amp;"2:"&amp;U$26&amp;"209")),INDIRECT("Returns!"&amp;U$26&amp;"2:"&amp;U$26&amp;"209")))</f>
        <v>0.20408800106870909</v>
      </c>
      <c r="V3" s="46" cm="1">
        <f t="array" aca="1" ref="V3" ca="1">CORREL(IF(ISNUMBER(INDIRECT("Returns!"&amp;$Z3&amp;"2:"&amp;$Z3&amp;"209")),INDIRECT("Returns!"&amp;$Z3&amp;"2:"&amp;$Z3&amp;"209")),IF(ISNUMBER(INDIRECT("Returns!"&amp;V$26&amp;"2:"&amp;V$26&amp;"209")),INDIRECT("Returns!"&amp;V$26&amp;"2:"&amp;V$26&amp;"209")))</f>
        <v>-2.1257968033485564E-2</v>
      </c>
      <c r="W3" s="46" cm="1">
        <f t="array" aca="1" ref="W3" ca="1">CORREL(IF(ISNUMBER(INDIRECT("Returns!"&amp;$Z3&amp;"2:"&amp;$Z3&amp;"209")),INDIRECT("Returns!"&amp;$Z3&amp;"2:"&amp;$Z3&amp;"209")),IF(ISNUMBER(INDIRECT("Returns!"&amp;W$26&amp;"2:"&amp;W$26&amp;"209")),INDIRECT("Returns!"&amp;W$26&amp;"2:"&amp;W$26&amp;"209")))</f>
        <v>1.055955377951665E-2</v>
      </c>
      <c r="X3" s="43"/>
      <c r="Y3" s="45"/>
      <c r="Z3" t="s">
        <v>136</v>
      </c>
    </row>
    <row r="4" spans="2:26" ht="24" customHeight="1" x14ac:dyDescent="0.35">
      <c r="B4" s="41" t="s">
        <v>90</v>
      </c>
      <c r="C4" s="46" cm="1">
        <f t="array" aca="1" ref="C4" ca="1">CORREL(IF(ISNUMBER(INDIRECT("Returns!"&amp;$Z4&amp;"2:"&amp;$Z4&amp;"209")),INDIRECT("Returns!"&amp;$Z4&amp;"2:"&amp;$Z4&amp;"209")),IF(ISNUMBER(INDIRECT("Returns!"&amp;C$26&amp;"2:"&amp;C$26&amp;"209")),INDIRECT("Returns!"&amp;C$26&amp;"2:"&amp;C$26&amp;"209")))</f>
        <v>0.85357537430187458</v>
      </c>
      <c r="D4" s="46" cm="1">
        <f t="array" aca="1" ref="D4" ca="1">CORREL(IF(ISNUMBER(INDIRECT("Returns!"&amp;$Z4&amp;"2:"&amp;$Z4&amp;"209")),INDIRECT("Returns!"&amp;$Z4&amp;"2:"&amp;$Z4&amp;"209")),IF(ISNUMBER(INDIRECT("Returns!"&amp;D$26&amp;"2:"&amp;D$26&amp;"209")),INDIRECT("Returns!"&amp;D$26&amp;"2:"&amp;D$26&amp;"209")))</f>
        <v>0.99999999999999989</v>
      </c>
      <c r="E4" s="46" cm="1">
        <f t="array" aca="1" ref="E4" ca="1">CORREL(IF(ISNUMBER(INDIRECT("Returns!"&amp;$Z4&amp;"2:"&amp;$Z4&amp;"209")),INDIRECT("Returns!"&amp;$Z4&amp;"2:"&amp;$Z4&amp;"209")),IF(ISNUMBER(INDIRECT("Returns!"&amp;E$26&amp;"2:"&amp;E$26&amp;"209")),INDIRECT("Returns!"&amp;E$26&amp;"2:"&amp;E$26&amp;"209")))</f>
        <v>0.56581388184848491</v>
      </c>
      <c r="F4" s="46" cm="1">
        <f t="array" aca="1" ref="F4" ca="1">CORREL(IF(ISNUMBER(INDIRECT("Returns!"&amp;$Z4&amp;"2:"&amp;$Z4&amp;"209")),INDIRECT("Returns!"&amp;$Z4&amp;"2:"&amp;$Z4&amp;"209")),IF(ISNUMBER(INDIRECT("Returns!"&amp;F$26&amp;"2:"&amp;F$26&amp;"209")),INDIRECT("Returns!"&amp;F$26&amp;"2:"&amp;F$26&amp;"209")))</f>
        <v>0.80664375674833666</v>
      </c>
      <c r="G4" s="46" cm="1">
        <f t="array" aca="1" ref="G4" ca="1">CORREL(IF(ISNUMBER(INDIRECT("Returns!"&amp;$Z4&amp;"2:"&amp;$Z4&amp;"209")),INDIRECT("Returns!"&amp;$Z4&amp;"2:"&amp;$Z4&amp;"209")),IF(ISNUMBER(INDIRECT("Returns!"&amp;G$26&amp;"2:"&amp;G$26&amp;"209")),INDIRECT("Returns!"&amp;G$26&amp;"2:"&amp;G$26&amp;"209")))</f>
        <v>0.89605404983429193</v>
      </c>
      <c r="H4" s="46" cm="1">
        <f t="array" aca="1" ref="H4" ca="1">CORREL(IF(ISNUMBER(INDIRECT("Returns!"&amp;$Z4&amp;"2:"&amp;$Z4&amp;"209")),INDIRECT("Returns!"&amp;$Z4&amp;"2:"&amp;$Z4&amp;"209")),IF(ISNUMBER(INDIRECT("Returns!"&amp;H$26&amp;"2:"&amp;H$26&amp;"209")),INDIRECT("Returns!"&amp;H$26&amp;"2:"&amp;H$26&amp;"209")))</f>
        <v>0.76645201868125856</v>
      </c>
      <c r="I4" s="46" cm="1">
        <f t="array" aca="1" ref="I4" ca="1">CORREL(IF(ISNUMBER(INDIRECT("Returns!"&amp;$Z4&amp;"2:"&amp;$Z4&amp;"209")),INDIRECT("Returns!"&amp;$Z4&amp;"2:"&amp;$Z4&amp;"209")),IF(ISNUMBER(INDIRECT("Returns!"&amp;I$26&amp;"2:"&amp;I$26&amp;"209")),INDIRECT("Returns!"&amp;I$26&amp;"2:"&amp;I$26&amp;"209")))</f>
        <v>0.64585128614331255</v>
      </c>
      <c r="J4" s="46" cm="1">
        <f t="array" aca="1" ref="J4" ca="1">CORREL(IF(ISNUMBER(INDIRECT("Returns!"&amp;$Z4&amp;"2:"&amp;$Z4&amp;"209")),INDIRECT("Returns!"&amp;$Z4&amp;"2:"&amp;$Z4&amp;"209")),IF(ISNUMBER(INDIRECT("Returns!"&amp;J$26&amp;"2:"&amp;J$26&amp;"209")),INDIRECT("Returns!"&amp;J$26&amp;"2:"&amp;J$26&amp;"209")))</f>
        <v>0.50812135403267611</v>
      </c>
      <c r="K4" s="46" cm="1">
        <f t="array" aca="1" ref="K4" ca="1">CORREL(IF(ISNUMBER(INDIRECT("Returns!"&amp;$Z4&amp;"2:"&amp;$Z4&amp;"209")),INDIRECT("Returns!"&amp;$Z4&amp;"2:"&amp;$Z4&amp;"209")),IF(ISNUMBER(INDIRECT("Returns!"&amp;K$26&amp;"2:"&amp;K$26&amp;"209")),INDIRECT("Returns!"&amp;K$26&amp;"2:"&amp;K$26&amp;"209")))</f>
        <v>-2.8946897649251825E-2</v>
      </c>
      <c r="L4" s="46" cm="1">
        <f t="array" aca="1" ref="L4" ca="1">CORREL(IF(ISNUMBER(INDIRECT("Returns!"&amp;$Z4&amp;"2:"&amp;$Z4&amp;"209")),INDIRECT("Returns!"&amp;$Z4&amp;"2:"&amp;$Z4&amp;"209")),IF(ISNUMBER(INDIRECT("Returns!"&amp;L$26&amp;"2:"&amp;L$26&amp;"209")),INDIRECT("Returns!"&amp;L$26&amp;"2:"&amp;L$26&amp;"209")))</f>
        <v>0.11709691074081402</v>
      </c>
      <c r="M4" s="46" cm="1">
        <f t="array" aca="1" ref="M4" ca="1">CORREL(IF(ISNUMBER(INDIRECT("Returns!"&amp;$Z4&amp;"2:"&amp;$Z4&amp;"209")),INDIRECT("Returns!"&amp;$Z4&amp;"2:"&amp;$Z4&amp;"209")),IF(ISNUMBER(INDIRECT("Returns!"&amp;M$26&amp;"2:"&amp;M$26&amp;"209")),INDIRECT("Returns!"&amp;M$26&amp;"2:"&amp;M$26&amp;"209")))</f>
        <v>0.67450146264689259</v>
      </c>
      <c r="N4" s="46" cm="1">
        <f t="array" aca="1" ref="N4" ca="1">CORREL(IF(ISNUMBER(INDIRECT("Returns!"&amp;$Z4&amp;"2:"&amp;$Z4&amp;"209")),INDIRECT("Returns!"&amp;$Z4&amp;"2:"&amp;$Z4&amp;"209")),IF(ISNUMBER(INDIRECT("Returns!"&amp;N$26&amp;"2:"&amp;N$26&amp;"209")),INDIRECT("Returns!"&amp;N$26&amp;"2:"&amp;N$26&amp;"209")))</f>
        <v>0.75506294328036272</v>
      </c>
      <c r="O4" s="46" cm="1">
        <f t="array" aca="1" ref="O4" ca="1">CORREL(IF(ISNUMBER(INDIRECT("Returns!"&amp;$Z4&amp;"2:"&amp;$Z4&amp;"209")),INDIRECT("Returns!"&amp;$Z4&amp;"2:"&amp;$Z4&amp;"209")),IF(ISNUMBER(INDIRECT("Returns!"&amp;O$26&amp;"2:"&amp;O$26&amp;"209")),INDIRECT("Returns!"&amp;O$26&amp;"2:"&amp;O$26&amp;"209")))</f>
        <v>0.24811044191470302</v>
      </c>
      <c r="P4" s="46" cm="1">
        <f t="array" aca="1" ref="P4" ca="1">CORREL(IF(ISNUMBER(INDIRECT("Returns!"&amp;$Z4&amp;"2:"&amp;$Z4&amp;"209")),INDIRECT("Returns!"&amp;$Z4&amp;"2:"&amp;$Z4&amp;"209")),IF(ISNUMBER(INDIRECT("Returns!"&amp;P$26&amp;"2:"&amp;P$26&amp;"209")),INDIRECT("Returns!"&amp;P$26&amp;"2:"&amp;P$26&amp;"209")))</f>
        <v>0.25971029197245982</v>
      </c>
      <c r="Q4" s="46" cm="1">
        <f t="array" aca="1" ref="Q4" ca="1">CORREL(IF(ISNUMBER(INDIRECT("Returns!"&amp;$Z4&amp;"2:"&amp;$Z4&amp;"209")),INDIRECT("Returns!"&amp;$Z4&amp;"2:"&amp;$Z4&amp;"209")),IF(ISNUMBER(INDIRECT("Returns!"&amp;Q$26&amp;"2:"&amp;Q$26&amp;"209")),INDIRECT("Returns!"&amp;Q$26&amp;"2:"&amp;Q$26&amp;"209")))</f>
        <v>0.21955280652492298</v>
      </c>
      <c r="R4" s="46" cm="1">
        <f t="array" aca="1" ref="R4" ca="1">CORREL(IF(ISNUMBER(INDIRECT("Returns!"&amp;$Z4&amp;"2:"&amp;$Z4&amp;"209")),INDIRECT("Returns!"&amp;$Z4&amp;"2:"&amp;$Z4&amp;"209")),IF(ISNUMBER(INDIRECT("Returns!"&amp;R$26&amp;"2:"&amp;R$26&amp;"209")),INDIRECT("Returns!"&amp;R$26&amp;"2:"&amp;R$26&amp;"209")))</f>
        <v>0.16040177045287149</v>
      </c>
      <c r="S4" s="46" cm="1">
        <f t="array" aca="1" ref="S4" ca="1">CORREL(IF(ISNUMBER(INDIRECT("Returns!"&amp;$Z4&amp;"2:"&amp;$Z4&amp;"209")),INDIRECT("Returns!"&amp;$Z4&amp;"2:"&amp;$Z4&amp;"209")),IF(ISNUMBER(INDIRECT("Returns!"&amp;S$26&amp;"2:"&amp;S$26&amp;"209")),INDIRECT("Returns!"&amp;S$26&amp;"2:"&amp;S$26&amp;"209")))</f>
        <v>-9.5177436435770257E-2</v>
      </c>
      <c r="T4" s="46" cm="1">
        <f t="array" aca="1" ref="T4" ca="1">CORREL(IF(ISNUMBER(INDIRECT("Returns!"&amp;$Z4&amp;"2:"&amp;$Z4&amp;"209")),INDIRECT("Returns!"&amp;$Z4&amp;"2:"&amp;$Z4&amp;"209")),IF(ISNUMBER(INDIRECT("Returns!"&amp;T$26&amp;"2:"&amp;T$26&amp;"209")),INDIRECT("Returns!"&amp;T$26&amp;"2:"&amp;T$26&amp;"209")))</f>
        <v>0.78415908016594738</v>
      </c>
      <c r="U4" s="46" cm="1">
        <f t="array" aca="1" ref="U4" ca="1">CORREL(IF(ISNUMBER(INDIRECT("Returns!"&amp;$Z4&amp;"2:"&amp;$Z4&amp;"209")),INDIRECT("Returns!"&amp;$Z4&amp;"2:"&amp;$Z4&amp;"209")),IF(ISNUMBER(INDIRECT("Returns!"&amp;U$26&amp;"2:"&amp;U$26&amp;"209")),INDIRECT("Returns!"&amp;U$26&amp;"2:"&amp;U$26&amp;"209")))</f>
        <v>0.23803702993530715</v>
      </c>
      <c r="V4" s="46" cm="1">
        <f t="array" aca="1" ref="V4" ca="1">CORREL(IF(ISNUMBER(INDIRECT("Returns!"&amp;$Z4&amp;"2:"&amp;$Z4&amp;"209")),INDIRECT("Returns!"&amp;$Z4&amp;"2:"&amp;$Z4&amp;"209")),IF(ISNUMBER(INDIRECT("Returns!"&amp;V$26&amp;"2:"&amp;V$26&amp;"209")),INDIRECT("Returns!"&amp;V$26&amp;"2:"&amp;V$26&amp;"209")))</f>
        <v>2.0533192866819712E-2</v>
      </c>
      <c r="W4" s="46" cm="1">
        <f t="array" aca="1" ref="W4" ca="1">CORREL(IF(ISNUMBER(INDIRECT("Returns!"&amp;$Z4&amp;"2:"&amp;$Z4&amp;"209")),INDIRECT("Returns!"&amp;$Z4&amp;"2:"&amp;$Z4&amp;"209")),IF(ISNUMBER(INDIRECT("Returns!"&amp;W$26&amp;"2:"&amp;W$26&amp;"209")),INDIRECT("Returns!"&amp;W$26&amp;"2:"&amp;W$26&amp;"209")))</f>
        <v>2.719903134659649E-2</v>
      </c>
      <c r="Y4" s="18"/>
      <c r="Z4" t="s">
        <v>147</v>
      </c>
    </row>
    <row r="5" spans="2:26" ht="24" customHeight="1" x14ac:dyDescent="0.35">
      <c r="B5" s="41" t="s">
        <v>96</v>
      </c>
      <c r="C5" s="46" cm="1">
        <f t="array" aca="1" ref="C5" ca="1">CORREL(IF(ISNUMBER(INDIRECT("Returns!"&amp;$Z5&amp;"2:"&amp;$Z5&amp;"209")),INDIRECT("Returns!"&amp;$Z5&amp;"2:"&amp;$Z5&amp;"209")),IF(ISNUMBER(INDIRECT("Returns!"&amp;C$26&amp;"2:"&amp;C$26&amp;"209")),INDIRECT("Returns!"&amp;C$26&amp;"2:"&amp;C$26&amp;"209")))</f>
        <v>0.54566253136513521</v>
      </c>
      <c r="D5" s="46" cm="1">
        <f t="array" aca="1" ref="D5" ca="1">CORREL(IF(ISNUMBER(INDIRECT("Returns!"&amp;$Z5&amp;"2:"&amp;$Z5&amp;"209")),INDIRECT("Returns!"&amp;$Z5&amp;"2:"&amp;$Z5&amp;"209")),IF(ISNUMBER(INDIRECT("Returns!"&amp;D$26&amp;"2:"&amp;D$26&amp;"209")),INDIRECT("Returns!"&amp;D$26&amp;"2:"&amp;D$26&amp;"209")))</f>
        <v>0.56581388184848491</v>
      </c>
      <c r="E5" s="46" cm="1">
        <f t="array" aca="1" ref="E5" ca="1">CORREL(IF(ISNUMBER(INDIRECT("Returns!"&amp;$Z5&amp;"2:"&amp;$Z5&amp;"209")),INDIRECT("Returns!"&amp;$Z5&amp;"2:"&amp;$Z5&amp;"209")),IF(ISNUMBER(INDIRECT("Returns!"&amp;E$26&amp;"2:"&amp;E$26&amp;"209")),INDIRECT("Returns!"&amp;E$26&amp;"2:"&amp;E$26&amp;"209")))</f>
        <v>1</v>
      </c>
      <c r="F5" s="46" cm="1">
        <f t="array" aca="1" ref="F5" ca="1">CORREL(IF(ISNUMBER(INDIRECT("Returns!"&amp;$Z5&amp;"2:"&amp;$Z5&amp;"209")),INDIRECT("Returns!"&amp;$Z5&amp;"2:"&amp;$Z5&amp;"209")),IF(ISNUMBER(INDIRECT("Returns!"&amp;F$26&amp;"2:"&amp;F$26&amp;"209")),INDIRECT("Returns!"&amp;F$26&amp;"2:"&amp;F$26&amp;"209")))</f>
        <v>0.65117328627042759</v>
      </c>
      <c r="G5" s="46" cm="1">
        <f t="array" aca="1" ref="G5" ca="1">CORREL(IF(ISNUMBER(INDIRECT("Returns!"&amp;$Z5&amp;"2:"&amp;$Z5&amp;"209")),INDIRECT("Returns!"&amp;$Z5&amp;"2:"&amp;$Z5&amp;"209")),IF(ISNUMBER(INDIRECT("Returns!"&amp;G$26&amp;"2:"&amp;G$26&amp;"209")),INDIRECT("Returns!"&amp;G$26&amp;"2:"&amp;G$26&amp;"209")))</f>
        <v>0.66130213343475275</v>
      </c>
      <c r="H5" s="46" cm="1">
        <f t="array" aca="1" ref="H5" ca="1">CORREL(IF(ISNUMBER(INDIRECT("Returns!"&amp;$Z5&amp;"2:"&amp;$Z5&amp;"209")),INDIRECT("Returns!"&amp;$Z5&amp;"2:"&amp;$Z5&amp;"209")),IF(ISNUMBER(INDIRECT("Returns!"&amp;H$26&amp;"2:"&amp;H$26&amp;"209")),INDIRECT("Returns!"&amp;H$26&amp;"2:"&amp;H$26&amp;"209")))</f>
        <v>0.74784637624890771</v>
      </c>
      <c r="I5" s="46" cm="1">
        <f t="array" aca="1" ref="I5" ca="1">CORREL(IF(ISNUMBER(INDIRECT("Returns!"&amp;$Z5&amp;"2:"&amp;$Z5&amp;"209")),INDIRECT("Returns!"&amp;$Z5&amp;"2:"&amp;$Z5&amp;"209")),IF(ISNUMBER(INDIRECT("Returns!"&amp;I$26&amp;"2:"&amp;I$26&amp;"209")),INDIRECT("Returns!"&amp;I$26&amp;"2:"&amp;I$26&amp;"209")))</f>
        <v>0.73352262099043719</v>
      </c>
      <c r="J5" s="46" cm="1">
        <f t="array" aca="1" ref="J5" ca="1">CORREL(IF(ISNUMBER(INDIRECT("Returns!"&amp;$Z5&amp;"2:"&amp;$Z5&amp;"209")),INDIRECT("Returns!"&amp;$Z5&amp;"2:"&amp;$Z5&amp;"209")),IF(ISNUMBER(INDIRECT("Returns!"&amp;J$26&amp;"2:"&amp;J$26&amp;"209")),INDIRECT("Returns!"&amp;J$26&amp;"2:"&amp;J$26&amp;"209")))</f>
        <v>0.70584587043364078</v>
      </c>
      <c r="K5" s="46" cm="1">
        <f t="array" aca="1" ref="K5" ca="1">CORREL(IF(ISNUMBER(INDIRECT("Returns!"&amp;$Z5&amp;"2:"&amp;$Z5&amp;"209")),INDIRECT("Returns!"&amp;$Z5&amp;"2:"&amp;$Z5&amp;"209")),IF(ISNUMBER(INDIRECT("Returns!"&amp;K$26&amp;"2:"&amp;K$26&amp;"209")),INDIRECT("Returns!"&amp;K$26&amp;"2:"&amp;K$26&amp;"209")))</f>
        <v>0.45484251682001603</v>
      </c>
      <c r="L5" s="46" cm="1">
        <f t="array" aca="1" ref="L5" ca="1">CORREL(IF(ISNUMBER(INDIRECT("Returns!"&amp;$Z5&amp;"2:"&amp;$Z5&amp;"209")),INDIRECT("Returns!"&amp;$Z5&amp;"2:"&amp;$Z5&amp;"209")),IF(ISNUMBER(INDIRECT("Returns!"&amp;L$26&amp;"2:"&amp;L$26&amp;"209")),INDIRECT("Returns!"&amp;L$26&amp;"2:"&amp;L$26&amp;"209")))</f>
        <v>0.52882249616665766</v>
      </c>
      <c r="M5" s="46" cm="1">
        <f t="array" aca="1" ref="M5" ca="1">CORREL(IF(ISNUMBER(INDIRECT("Returns!"&amp;$Z5&amp;"2:"&amp;$Z5&amp;"209")),INDIRECT("Returns!"&amp;$Z5&amp;"2:"&amp;$Z5&amp;"209")),IF(ISNUMBER(INDIRECT("Returns!"&amp;M$26&amp;"2:"&amp;M$26&amp;"209")),INDIRECT("Returns!"&amp;M$26&amp;"2:"&amp;M$26&amp;"209")))</f>
        <v>0.8091462527848422</v>
      </c>
      <c r="N5" s="46" cm="1">
        <f t="array" aca="1" ref="N5" ca="1">CORREL(IF(ISNUMBER(INDIRECT("Returns!"&amp;$Z5&amp;"2:"&amp;$Z5&amp;"209")),INDIRECT("Returns!"&amp;$Z5&amp;"2:"&amp;$Z5&amp;"209")),IF(ISNUMBER(INDIRECT("Returns!"&amp;N$26&amp;"2:"&amp;N$26&amp;"209")),INDIRECT("Returns!"&amp;N$26&amp;"2:"&amp;N$26&amp;"209")))</f>
        <v>0.67873358463445033</v>
      </c>
      <c r="O5" s="46" cm="1">
        <f t="array" aca="1" ref="O5" ca="1">CORREL(IF(ISNUMBER(INDIRECT("Returns!"&amp;$Z5&amp;"2:"&amp;$Z5&amp;"209")),INDIRECT("Returns!"&amp;$Z5&amp;"2:"&amp;$Z5&amp;"209")),IF(ISNUMBER(INDIRECT("Returns!"&amp;O$26&amp;"2:"&amp;O$26&amp;"209")),INDIRECT("Returns!"&amp;O$26&amp;"2:"&amp;O$26&amp;"209")))</f>
        <v>0.40761972268003444</v>
      </c>
      <c r="P5" s="46" cm="1">
        <f t="array" aca="1" ref="P5" ca="1">CORREL(IF(ISNUMBER(INDIRECT("Returns!"&amp;$Z5&amp;"2:"&amp;$Z5&amp;"209")),INDIRECT("Returns!"&amp;$Z5&amp;"2:"&amp;$Z5&amp;"209")),IF(ISNUMBER(INDIRECT("Returns!"&amp;P$26&amp;"2:"&amp;P$26&amp;"209")),INDIRECT("Returns!"&amp;P$26&amp;"2:"&amp;P$26&amp;"209")))</f>
        <v>0.5557958779915777</v>
      </c>
      <c r="Q5" s="46" cm="1">
        <f t="array" aca="1" ref="Q5" ca="1">CORREL(IF(ISNUMBER(INDIRECT("Returns!"&amp;$Z5&amp;"2:"&amp;$Z5&amp;"209")),INDIRECT("Returns!"&amp;$Z5&amp;"2:"&amp;$Z5&amp;"209")),IF(ISNUMBER(INDIRECT("Returns!"&amp;Q$26&amp;"2:"&amp;Q$26&amp;"209")),INDIRECT("Returns!"&amp;Q$26&amp;"2:"&amp;Q$26&amp;"209")))</f>
        <v>0.31839724406639447</v>
      </c>
      <c r="R5" s="46" cm="1">
        <f t="array" aca="1" ref="R5" ca="1">CORREL(IF(ISNUMBER(INDIRECT("Returns!"&amp;$Z5&amp;"2:"&amp;$Z5&amp;"209")),INDIRECT("Returns!"&amp;$Z5&amp;"2:"&amp;$Z5&amp;"209")),IF(ISNUMBER(INDIRECT("Returns!"&amp;R$26&amp;"2:"&amp;R$26&amp;"209")),INDIRECT("Returns!"&amp;R$26&amp;"2:"&amp;R$26&amp;"209")))</f>
        <v>0.28124046356489091</v>
      </c>
      <c r="S5" s="46" cm="1">
        <f t="array" aca="1" ref="S5" ca="1">CORREL(IF(ISNUMBER(INDIRECT("Returns!"&amp;$Z5&amp;"2:"&amp;$Z5&amp;"209")),INDIRECT("Returns!"&amp;$Z5&amp;"2:"&amp;$Z5&amp;"209")),IF(ISNUMBER(INDIRECT("Returns!"&amp;S$26&amp;"2:"&amp;S$26&amp;"209")),INDIRECT("Returns!"&amp;S$26&amp;"2:"&amp;S$26&amp;"209")))</f>
        <v>0.33518719934401614</v>
      </c>
      <c r="T5" s="46" cm="1">
        <f t="array" aca="1" ref="T5" ca="1">CORREL(IF(ISNUMBER(INDIRECT("Returns!"&amp;$Z5&amp;"2:"&amp;$Z5&amp;"209")),INDIRECT("Returns!"&amp;$Z5&amp;"2:"&amp;$Z5&amp;"209")),IF(ISNUMBER(INDIRECT("Returns!"&amp;T$26&amp;"2:"&amp;T$26&amp;"209")),INDIRECT("Returns!"&amp;T$26&amp;"2:"&amp;T$26&amp;"209")))</f>
        <v>0.77981117126944244</v>
      </c>
      <c r="U5" s="46" cm="1">
        <f t="array" aca="1" ref="U5" ca="1">CORREL(IF(ISNUMBER(INDIRECT("Returns!"&amp;$Z5&amp;"2:"&amp;$Z5&amp;"209")),INDIRECT("Returns!"&amp;$Z5&amp;"2:"&amp;$Z5&amp;"209")),IF(ISNUMBER(INDIRECT("Returns!"&amp;U$26&amp;"2:"&amp;U$26&amp;"209")),INDIRECT("Returns!"&amp;U$26&amp;"2:"&amp;U$26&amp;"209")))</f>
        <v>0.41194625746966268</v>
      </c>
      <c r="V5" s="46" cm="1">
        <f t="array" aca="1" ref="V5" ca="1">CORREL(IF(ISNUMBER(INDIRECT("Returns!"&amp;$Z5&amp;"2:"&amp;$Z5&amp;"209")),INDIRECT("Returns!"&amp;$Z5&amp;"2:"&amp;$Z5&amp;"209")),IF(ISNUMBER(INDIRECT("Returns!"&amp;V$26&amp;"2:"&amp;V$26&amp;"209")),INDIRECT("Returns!"&amp;V$26&amp;"2:"&amp;V$26&amp;"209")))</f>
        <v>-2.5801309815000919E-2</v>
      </c>
      <c r="W5" s="46" cm="1">
        <f t="array" aca="1" ref="W5" ca="1">CORREL(IF(ISNUMBER(INDIRECT("Returns!"&amp;$Z5&amp;"2:"&amp;$Z5&amp;"209")),INDIRECT("Returns!"&amp;$Z5&amp;"2:"&amp;$Z5&amp;"209")),IF(ISNUMBER(INDIRECT("Returns!"&amp;W$26&amp;"2:"&amp;W$26&amp;"209")),INDIRECT("Returns!"&amp;W$26&amp;"2:"&amp;W$26&amp;"209")))</f>
        <v>2.449135902429863E-2</v>
      </c>
      <c r="Y5" s="18"/>
      <c r="Z5" t="s">
        <v>148</v>
      </c>
    </row>
    <row r="6" spans="2:26" ht="24" customHeight="1" x14ac:dyDescent="0.35">
      <c r="B6" s="41" t="s">
        <v>95</v>
      </c>
      <c r="C6" s="46" cm="1">
        <f t="array" aca="1" ref="C6" ca="1">CORREL(IF(ISNUMBER(INDIRECT("Returns!"&amp;$Z6&amp;"2:"&amp;$Z6&amp;"209")),INDIRECT("Returns!"&amp;$Z6&amp;"2:"&amp;$Z6&amp;"209")),IF(ISNUMBER(INDIRECT("Returns!"&amp;C$26&amp;"2:"&amp;C$26&amp;"209")),INDIRECT("Returns!"&amp;C$26&amp;"2:"&amp;C$26&amp;"209")))</f>
        <v>0.79424195855121738</v>
      </c>
      <c r="D6" s="46" cm="1">
        <f t="array" aca="1" ref="D6" ca="1">CORREL(IF(ISNUMBER(INDIRECT("Returns!"&amp;$Z6&amp;"2:"&amp;$Z6&amp;"209")),INDIRECT("Returns!"&amp;$Z6&amp;"2:"&amp;$Z6&amp;"209")),IF(ISNUMBER(INDIRECT("Returns!"&amp;D$26&amp;"2:"&amp;D$26&amp;"209")),INDIRECT("Returns!"&amp;D$26&amp;"2:"&amp;D$26&amp;"209")))</f>
        <v>0.80664375674833666</v>
      </c>
      <c r="E6" s="46" cm="1">
        <f t="array" aca="1" ref="E6" ca="1">CORREL(IF(ISNUMBER(INDIRECT("Returns!"&amp;$Z6&amp;"2:"&amp;$Z6&amp;"209")),INDIRECT("Returns!"&amp;$Z6&amp;"2:"&amp;$Z6&amp;"209")),IF(ISNUMBER(INDIRECT("Returns!"&amp;E$26&amp;"2:"&amp;E$26&amp;"209")),INDIRECT("Returns!"&amp;E$26&amp;"2:"&amp;E$26&amp;"209")))</f>
        <v>0.65117328627042759</v>
      </c>
      <c r="F6" s="46" cm="1">
        <f t="array" aca="1" ref="F6" ca="1">CORREL(IF(ISNUMBER(INDIRECT("Returns!"&amp;$Z6&amp;"2:"&amp;$Z6&amp;"209")),INDIRECT("Returns!"&amp;$Z6&amp;"2:"&amp;$Z6&amp;"209")),IF(ISNUMBER(INDIRECT("Returns!"&amp;F$26&amp;"2:"&amp;F$26&amp;"209")),INDIRECT("Returns!"&amp;F$26&amp;"2:"&amp;F$26&amp;"209")))</f>
        <v>1.0000000000000002</v>
      </c>
      <c r="G6" s="46" cm="1">
        <f t="array" aca="1" ref="G6" ca="1">CORREL(IF(ISNUMBER(INDIRECT("Returns!"&amp;$Z6&amp;"2:"&amp;$Z6&amp;"209")),INDIRECT("Returns!"&amp;$Z6&amp;"2:"&amp;$Z6&amp;"209")),IF(ISNUMBER(INDIRECT("Returns!"&amp;G$26&amp;"2:"&amp;G$26&amp;"209")),INDIRECT("Returns!"&amp;G$26&amp;"2:"&amp;G$26&amp;"209")))</f>
        <v>0.83833585342785066</v>
      </c>
      <c r="H6" s="46" cm="1">
        <f t="array" aca="1" ref="H6" ca="1">CORREL(IF(ISNUMBER(INDIRECT("Returns!"&amp;$Z6&amp;"2:"&amp;$Z6&amp;"209")),INDIRECT("Returns!"&amp;$Z6&amp;"2:"&amp;$Z6&amp;"209")),IF(ISNUMBER(INDIRECT("Returns!"&amp;H$26&amp;"2:"&amp;H$26&amp;"209")),INDIRECT("Returns!"&amp;H$26&amp;"2:"&amp;H$26&amp;"209")))</f>
        <v>0.78559463474188451</v>
      </c>
      <c r="I6" s="46" cm="1">
        <f t="array" aca="1" ref="I6" ca="1">CORREL(IF(ISNUMBER(INDIRECT("Returns!"&amp;$Z6&amp;"2:"&amp;$Z6&amp;"209")),INDIRECT("Returns!"&amp;$Z6&amp;"2:"&amp;$Z6&amp;"209")),IF(ISNUMBER(INDIRECT("Returns!"&amp;I$26&amp;"2:"&amp;I$26&amp;"209")),INDIRECT("Returns!"&amp;I$26&amp;"2:"&amp;I$26&amp;"209")))</f>
        <v>0.68672598045824385</v>
      </c>
      <c r="J6" s="46" cm="1">
        <f t="array" aca="1" ref="J6" ca="1">CORREL(IF(ISNUMBER(INDIRECT("Returns!"&amp;$Z6&amp;"2:"&amp;$Z6&amp;"209")),INDIRECT("Returns!"&amp;$Z6&amp;"2:"&amp;$Z6&amp;"209")),IF(ISNUMBER(INDIRECT("Returns!"&amp;J$26&amp;"2:"&amp;J$26&amp;"209")),INDIRECT("Returns!"&amp;J$26&amp;"2:"&amp;J$26&amp;"209")))</f>
        <v>0.60547103955110915</v>
      </c>
      <c r="K6" s="46" cm="1">
        <f t="array" aca="1" ref="K6" ca="1">CORREL(IF(ISNUMBER(INDIRECT("Returns!"&amp;$Z6&amp;"2:"&amp;$Z6&amp;"209")),INDIRECT("Returns!"&amp;$Z6&amp;"2:"&amp;$Z6&amp;"209")),IF(ISNUMBER(INDIRECT("Returns!"&amp;K$26&amp;"2:"&amp;K$26&amp;"209")),INDIRECT("Returns!"&amp;K$26&amp;"2:"&amp;K$26&amp;"209")))</f>
        <v>0.17321460485284348</v>
      </c>
      <c r="L6" s="46" cm="1">
        <f t="array" aca="1" ref="L6" ca="1">CORREL(IF(ISNUMBER(INDIRECT("Returns!"&amp;$Z6&amp;"2:"&amp;$Z6&amp;"209")),INDIRECT("Returns!"&amp;$Z6&amp;"2:"&amp;$Z6&amp;"209")),IF(ISNUMBER(INDIRECT("Returns!"&amp;L$26&amp;"2:"&amp;L$26&amp;"209")),INDIRECT("Returns!"&amp;L$26&amp;"2:"&amp;L$26&amp;"209")))</f>
        <v>0.27448173024466888</v>
      </c>
      <c r="M6" s="46" cm="1">
        <f t="array" aca="1" ref="M6" ca="1">CORREL(IF(ISNUMBER(INDIRECT("Returns!"&amp;$Z6&amp;"2:"&amp;$Z6&amp;"209")),INDIRECT("Returns!"&amp;$Z6&amp;"2:"&amp;$Z6&amp;"209")),IF(ISNUMBER(INDIRECT("Returns!"&amp;M$26&amp;"2:"&amp;M$26&amp;"209")),INDIRECT("Returns!"&amp;M$26&amp;"2:"&amp;M$26&amp;"209")))</f>
        <v>0.85465533611552413</v>
      </c>
      <c r="N6" s="46" cm="1">
        <f t="array" aca="1" ref="N6" ca="1">CORREL(IF(ISNUMBER(INDIRECT("Returns!"&amp;$Z6&amp;"2:"&amp;$Z6&amp;"209")),INDIRECT("Returns!"&amp;$Z6&amp;"2:"&amp;$Z6&amp;"209")),IF(ISNUMBER(INDIRECT("Returns!"&amp;N$26&amp;"2:"&amp;N$26&amp;"209")),INDIRECT("Returns!"&amp;N$26&amp;"2:"&amp;N$26&amp;"209")))</f>
        <v>0.75600855533367783</v>
      </c>
      <c r="O6" s="46" cm="1">
        <f t="array" aca="1" ref="O6" ca="1">CORREL(IF(ISNUMBER(INDIRECT("Returns!"&amp;$Z6&amp;"2:"&amp;$Z6&amp;"209")),INDIRECT("Returns!"&amp;$Z6&amp;"2:"&amp;$Z6&amp;"209")),IF(ISNUMBER(INDIRECT("Returns!"&amp;O$26&amp;"2:"&amp;O$26&amp;"209")),INDIRECT("Returns!"&amp;O$26&amp;"2:"&amp;O$26&amp;"209")))</f>
        <v>0.30760142880957103</v>
      </c>
      <c r="P6" s="46" cm="1">
        <f t="array" aca="1" ref="P6" ca="1">CORREL(IF(ISNUMBER(INDIRECT("Returns!"&amp;$Z6&amp;"2:"&amp;$Z6&amp;"209")),INDIRECT("Returns!"&amp;$Z6&amp;"2:"&amp;$Z6&amp;"209")),IF(ISNUMBER(INDIRECT("Returns!"&amp;P$26&amp;"2:"&amp;P$26&amp;"209")),INDIRECT("Returns!"&amp;P$26&amp;"2:"&amp;P$26&amp;"209")))</f>
        <v>0.28860169094128379</v>
      </c>
      <c r="Q6" s="46" cm="1">
        <f t="array" aca="1" ref="Q6" ca="1">CORREL(IF(ISNUMBER(INDIRECT("Returns!"&amp;$Z6&amp;"2:"&amp;$Z6&amp;"209")),INDIRECT("Returns!"&amp;$Z6&amp;"2:"&amp;$Z6&amp;"209")),IF(ISNUMBER(INDIRECT("Returns!"&amp;Q$26&amp;"2:"&amp;Q$26&amp;"209")),INDIRECT("Returns!"&amp;Q$26&amp;"2:"&amp;Q$26&amp;"209")))</f>
        <v>0.26395499318828769</v>
      </c>
      <c r="R6" s="46" cm="1">
        <f t="array" aca="1" ref="R6" ca="1">CORREL(IF(ISNUMBER(INDIRECT("Returns!"&amp;$Z6&amp;"2:"&amp;$Z6&amp;"209")),INDIRECT("Returns!"&amp;$Z6&amp;"2:"&amp;$Z6&amp;"209")),IF(ISNUMBER(INDIRECT("Returns!"&amp;R$26&amp;"2:"&amp;R$26&amp;"209")),INDIRECT("Returns!"&amp;R$26&amp;"2:"&amp;R$26&amp;"209")))</f>
        <v>0.23084701865020718</v>
      </c>
      <c r="S6" s="46" cm="1">
        <f t="array" aca="1" ref="S6" ca="1">CORREL(IF(ISNUMBER(INDIRECT("Returns!"&amp;$Z6&amp;"2:"&amp;$Z6&amp;"209")),INDIRECT("Returns!"&amp;$Z6&amp;"2:"&amp;$Z6&amp;"209")),IF(ISNUMBER(INDIRECT("Returns!"&amp;S$26&amp;"2:"&amp;S$26&amp;"209")),INDIRECT("Returns!"&amp;S$26&amp;"2:"&amp;S$26&amp;"209")))</f>
        <v>0.19523766066417092</v>
      </c>
      <c r="T6" s="46" cm="1">
        <f t="array" aca="1" ref="T6" ca="1">CORREL(IF(ISNUMBER(INDIRECT("Returns!"&amp;$Z6&amp;"2:"&amp;$Z6&amp;"209")),INDIRECT("Returns!"&amp;$Z6&amp;"2:"&amp;$Z6&amp;"209")),IF(ISNUMBER(INDIRECT("Returns!"&amp;T$26&amp;"2:"&amp;T$26&amp;"209")),INDIRECT("Returns!"&amp;T$26&amp;"2:"&amp;T$26&amp;"209")))</f>
        <v>0.73916845490878824</v>
      </c>
      <c r="U6" s="46" cm="1">
        <f t="array" aca="1" ref="U6" ca="1">CORREL(IF(ISNUMBER(INDIRECT("Returns!"&amp;$Z6&amp;"2:"&amp;$Z6&amp;"209")),INDIRECT("Returns!"&amp;$Z6&amp;"2:"&amp;$Z6&amp;"209")),IF(ISNUMBER(INDIRECT("Returns!"&amp;U$26&amp;"2:"&amp;U$26&amp;"209")),INDIRECT("Returns!"&amp;U$26&amp;"2:"&amp;U$26&amp;"209")))</f>
        <v>0.30025574053904985</v>
      </c>
      <c r="V6" s="46" cm="1">
        <f t="array" aca="1" ref="V6" ca="1">CORREL(IF(ISNUMBER(INDIRECT("Returns!"&amp;$Z6&amp;"2:"&amp;$Z6&amp;"209")),INDIRECT("Returns!"&amp;$Z6&amp;"2:"&amp;$Z6&amp;"209")),IF(ISNUMBER(INDIRECT("Returns!"&amp;V$26&amp;"2:"&amp;V$26&amp;"209")),INDIRECT("Returns!"&amp;V$26&amp;"2:"&amp;V$26&amp;"209")))</f>
        <v>-2.9892510927393358E-3</v>
      </c>
      <c r="W6" s="46" cm="1">
        <f t="array" aca="1" ref="W6" ca="1">CORREL(IF(ISNUMBER(INDIRECT("Returns!"&amp;$Z6&amp;"2:"&amp;$Z6&amp;"209")),INDIRECT("Returns!"&amp;$Z6&amp;"2:"&amp;$Z6&amp;"209")),IF(ISNUMBER(INDIRECT("Returns!"&amp;W$26&amp;"2:"&amp;W$26&amp;"209")),INDIRECT("Returns!"&amp;W$26&amp;"2:"&amp;W$26&amp;"209")))</f>
        <v>1.3627061667798928E-2</v>
      </c>
      <c r="Y6" s="18"/>
      <c r="Z6" t="s">
        <v>149</v>
      </c>
    </row>
    <row r="7" spans="2:26" ht="24" customHeight="1" x14ac:dyDescent="0.35">
      <c r="B7" s="41" t="s">
        <v>92</v>
      </c>
      <c r="C7" s="46" cm="1">
        <f t="array" aca="1" ref="C7" ca="1">CORREL(IF(ISNUMBER(INDIRECT("Returns!"&amp;$Z7&amp;"2:"&amp;$Z7&amp;"209")),INDIRECT("Returns!"&amp;$Z7&amp;"2:"&amp;$Z7&amp;"209")),IF(ISNUMBER(INDIRECT("Returns!"&amp;C$26&amp;"2:"&amp;C$26&amp;"209")),INDIRECT("Returns!"&amp;C$26&amp;"2:"&amp;C$26&amp;"209")))</f>
        <v>0.94177111988912998</v>
      </c>
      <c r="D7" s="46" cm="1">
        <f t="array" aca="1" ref="D7" ca="1">CORREL(IF(ISNUMBER(INDIRECT("Returns!"&amp;$Z7&amp;"2:"&amp;$Z7&amp;"209")),INDIRECT("Returns!"&amp;$Z7&amp;"2:"&amp;$Z7&amp;"209")),IF(ISNUMBER(INDIRECT("Returns!"&amp;D$26&amp;"2:"&amp;D$26&amp;"209")),INDIRECT("Returns!"&amp;D$26&amp;"2:"&amp;D$26&amp;"209")))</f>
        <v>0.89605404983429193</v>
      </c>
      <c r="E7" s="46" cm="1">
        <f t="array" aca="1" ref="E7" ca="1">CORREL(IF(ISNUMBER(INDIRECT("Returns!"&amp;$Z7&amp;"2:"&amp;$Z7&amp;"209")),INDIRECT("Returns!"&amp;$Z7&amp;"2:"&amp;$Z7&amp;"209")),IF(ISNUMBER(INDIRECT("Returns!"&amp;E$26&amp;"2:"&amp;E$26&amp;"209")),INDIRECT("Returns!"&amp;E$26&amp;"2:"&amp;E$26&amp;"209")))</f>
        <v>0.66130213343475275</v>
      </c>
      <c r="F7" s="46" cm="1">
        <f t="array" aca="1" ref="F7" ca="1">CORREL(IF(ISNUMBER(INDIRECT("Returns!"&amp;$Z7&amp;"2:"&amp;$Z7&amp;"209")),INDIRECT("Returns!"&amp;$Z7&amp;"2:"&amp;$Z7&amp;"209")),IF(ISNUMBER(INDIRECT("Returns!"&amp;F$26&amp;"2:"&amp;F$26&amp;"209")),INDIRECT("Returns!"&amp;F$26&amp;"2:"&amp;F$26&amp;"209")))</f>
        <v>0.83833585342785066</v>
      </c>
      <c r="G7" s="46" cm="1">
        <f t="array" aca="1" ref="G7" ca="1">CORREL(IF(ISNUMBER(INDIRECT("Returns!"&amp;$Z7&amp;"2:"&amp;$Z7&amp;"209")),INDIRECT("Returns!"&amp;$Z7&amp;"2:"&amp;$Z7&amp;"209")),IF(ISNUMBER(INDIRECT("Returns!"&amp;G$26&amp;"2:"&amp;G$26&amp;"209")),INDIRECT("Returns!"&amp;G$26&amp;"2:"&amp;G$26&amp;"209")))</f>
        <v>1</v>
      </c>
      <c r="H7" s="46" cm="1">
        <f t="array" aca="1" ref="H7" ca="1">CORREL(IF(ISNUMBER(INDIRECT("Returns!"&amp;$Z7&amp;"2:"&amp;$Z7&amp;"209")),INDIRECT("Returns!"&amp;$Z7&amp;"2:"&amp;$Z7&amp;"209")),IF(ISNUMBER(INDIRECT("Returns!"&amp;H$26&amp;"2:"&amp;H$26&amp;"209")),INDIRECT("Returns!"&amp;H$26&amp;"2:"&amp;H$26&amp;"209")))</f>
        <v>0.85419231119369154</v>
      </c>
      <c r="I7" s="46" cm="1">
        <f t="array" aca="1" ref="I7" ca="1">CORREL(IF(ISNUMBER(INDIRECT("Returns!"&amp;$Z7&amp;"2:"&amp;$Z7&amp;"209")),INDIRECT("Returns!"&amp;$Z7&amp;"2:"&amp;$Z7&amp;"209")),IF(ISNUMBER(INDIRECT("Returns!"&amp;I$26&amp;"2:"&amp;I$26&amp;"209")),INDIRECT("Returns!"&amp;I$26&amp;"2:"&amp;I$26&amp;"209")))</f>
        <v>0.74170240808039134</v>
      </c>
      <c r="J7" s="46" cm="1">
        <f t="array" aca="1" ref="J7" ca="1">CORREL(IF(ISNUMBER(INDIRECT("Returns!"&amp;$Z7&amp;"2:"&amp;$Z7&amp;"209")),INDIRECT("Returns!"&amp;$Z7&amp;"2:"&amp;$Z7&amp;"209")),IF(ISNUMBER(INDIRECT("Returns!"&amp;J$26&amp;"2:"&amp;J$26&amp;"209")),INDIRECT("Returns!"&amp;J$26&amp;"2:"&amp;J$26&amp;"209")))</f>
        <v>0.62932832161493069</v>
      </c>
      <c r="K7" s="46" cm="1">
        <f t="array" aca="1" ref="K7" ca="1">CORREL(IF(ISNUMBER(INDIRECT("Returns!"&amp;$Z7&amp;"2:"&amp;$Z7&amp;"209")),INDIRECT("Returns!"&amp;$Z7&amp;"2:"&amp;$Z7&amp;"209")),IF(ISNUMBER(INDIRECT("Returns!"&amp;K$26&amp;"2:"&amp;K$26&amp;"209")),INDIRECT("Returns!"&amp;K$26&amp;"2:"&amp;K$26&amp;"209")))</f>
        <v>0.16496544688208228</v>
      </c>
      <c r="L7" s="46" cm="1">
        <f t="array" aca="1" ref="L7" ca="1">CORREL(IF(ISNUMBER(INDIRECT("Returns!"&amp;$Z7&amp;"2:"&amp;$Z7&amp;"209")),INDIRECT("Returns!"&amp;$Z7&amp;"2:"&amp;$Z7&amp;"209")),IF(ISNUMBER(INDIRECT("Returns!"&amp;L$26&amp;"2:"&amp;L$26&amp;"209")),INDIRECT("Returns!"&amp;L$26&amp;"2:"&amp;L$26&amp;"209")))</f>
        <v>0.28065935178459261</v>
      </c>
      <c r="M7" s="46" cm="1">
        <f t="array" aca="1" ref="M7" ca="1">CORREL(IF(ISNUMBER(INDIRECT("Returns!"&amp;$Z7&amp;"2:"&amp;$Z7&amp;"209")),INDIRECT("Returns!"&amp;$Z7&amp;"2:"&amp;$Z7&amp;"209")),IF(ISNUMBER(INDIRECT("Returns!"&amp;M$26&amp;"2:"&amp;M$26&amp;"209")),INDIRECT("Returns!"&amp;M$26&amp;"2:"&amp;M$26&amp;"209")))</f>
        <v>0.75803647705710009</v>
      </c>
      <c r="N7" s="46" cm="1">
        <f t="array" aca="1" ref="N7" ca="1">CORREL(IF(ISNUMBER(INDIRECT("Returns!"&amp;$Z7&amp;"2:"&amp;$Z7&amp;"209")),INDIRECT("Returns!"&amp;$Z7&amp;"2:"&amp;$Z7&amp;"209")),IF(ISNUMBER(INDIRECT("Returns!"&amp;N$26&amp;"2:"&amp;N$26&amp;"209")),INDIRECT("Returns!"&amp;N$26&amp;"2:"&amp;N$26&amp;"209")))</f>
        <v>0.90911204405739965</v>
      </c>
      <c r="O7" s="46" cm="1">
        <f t="array" aca="1" ref="O7" ca="1">CORREL(IF(ISNUMBER(INDIRECT("Returns!"&amp;$Z7&amp;"2:"&amp;$Z7&amp;"209")),INDIRECT("Returns!"&amp;$Z7&amp;"2:"&amp;$Z7&amp;"209")),IF(ISNUMBER(INDIRECT("Returns!"&amp;O$26&amp;"2:"&amp;O$26&amp;"209")),INDIRECT("Returns!"&amp;O$26&amp;"2:"&amp;O$26&amp;"209")))</f>
        <v>0.38342979791401793</v>
      </c>
      <c r="P7" s="46" cm="1">
        <f t="array" aca="1" ref="P7" ca="1">CORREL(IF(ISNUMBER(INDIRECT("Returns!"&amp;$Z7&amp;"2:"&amp;$Z7&amp;"209")),INDIRECT("Returns!"&amp;$Z7&amp;"2:"&amp;$Z7&amp;"209")),IF(ISNUMBER(INDIRECT("Returns!"&amp;P$26&amp;"2:"&amp;P$26&amp;"209")),INDIRECT("Returns!"&amp;P$26&amp;"2:"&amp;P$26&amp;"209")))</f>
        <v>0.41294972146291842</v>
      </c>
      <c r="Q7" s="46" cm="1">
        <f t="array" aca="1" ref="Q7" ca="1">CORREL(IF(ISNUMBER(INDIRECT("Returns!"&amp;$Z7&amp;"2:"&amp;$Z7&amp;"209")),INDIRECT("Returns!"&amp;$Z7&amp;"2:"&amp;$Z7&amp;"209")),IF(ISNUMBER(INDIRECT("Returns!"&amp;Q$26&amp;"2:"&amp;Q$26&amp;"209")),INDIRECT("Returns!"&amp;Q$26&amp;"2:"&amp;Q$26&amp;"209")))</f>
        <v>0.29819972911592518</v>
      </c>
      <c r="R7" s="46" cm="1">
        <f t="array" aca="1" ref="R7" ca="1">CORREL(IF(ISNUMBER(INDIRECT("Returns!"&amp;$Z7&amp;"2:"&amp;$Z7&amp;"209")),INDIRECT("Returns!"&amp;$Z7&amp;"2:"&amp;$Z7&amp;"209")),IF(ISNUMBER(INDIRECT("Returns!"&amp;R$26&amp;"2:"&amp;R$26&amp;"209")),INDIRECT("Returns!"&amp;R$26&amp;"2:"&amp;R$26&amp;"209")))</f>
        <v>0.24035062187329148</v>
      </c>
      <c r="S7" s="46" cm="1">
        <f t="array" aca="1" ref="S7" ca="1">CORREL(IF(ISNUMBER(INDIRECT("Returns!"&amp;$Z7&amp;"2:"&amp;$Z7&amp;"209")),INDIRECT("Returns!"&amp;$Z7&amp;"2:"&amp;$Z7&amp;"209")),IF(ISNUMBER(INDIRECT("Returns!"&amp;S$26&amp;"2:"&amp;S$26&amp;"209")),INDIRECT("Returns!"&amp;S$26&amp;"2:"&amp;S$26&amp;"209")))</f>
        <v>-6.1676933510504954E-2</v>
      </c>
      <c r="T7" s="46" cm="1">
        <f t="array" aca="1" ref="T7" ca="1">CORREL(IF(ISNUMBER(INDIRECT("Returns!"&amp;$Z7&amp;"2:"&amp;$Z7&amp;"209")),INDIRECT("Returns!"&amp;$Z7&amp;"2:"&amp;$Z7&amp;"209")),IF(ISNUMBER(INDIRECT("Returns!"&amp;T$26&amp;"2:"&amp;T$26&amp;"209")),INDIRECT("Returns!"&amp;T$26&amp;"2:"&amp;T$26&amp;"209")))</f>
        <v>0.86254117534632868</v>
      </c>
      <c r="U7" s="46" cm="1">
        <f t="array" aca="1" ref="U7" ca="1">CORREL(IF(ISNUMBER(INDIRECT("Returns!"&amp;$Z7&amp;"2:"&amp;$Z7&amp;"209")),INDIRECT("Returns!"&amp;$Z7&amp;"2:"&amp;$Z7&amp;"209")),IF(ISNUMBER(INDIRECT("Returns!"&amp;U$26&amp;"2:"&amp;U$26&amp;"209")),INDIRECT("Returns!"&amp;U$26&amp;"2:"&amp;U$26&amp;"209")))</f>
        <v>0.37267139430510482</v>
      </c>
      <c r="V7" s="46" cm="1">
        <f t="array" aca="1" ref="V7" ca="1">CORREL(IF(ISNUMBER(INDIRECT("Returns!"&amp;$Z7&amp;"2:"&amp;$Z7&amp;"209")),INDIRECT("Returns!"&amp;$Z7&amp;"2:"&amp;$Z7&amp;"209")),IF(ISNUMBER(INDIRECT("Returns!"&amp;V$26&amp;"2:"&amp;V$26&amp;"209")),INDIRECT("Returns!"&amp;V$26&amp;"2:"&amp;V$26&amp;"209")))</f>
        <v>-8.4314918019160762E-3</v>
      </c>
      <c r="W7" s="46" cm="1">
        <f t="array" aca="1" ref="W7" ca="1">CORREL(IF(ISNUMBER(INDIRECT("Returns!"&amp;$Z7&amp;"2:"&amp;$Z7&amp;"209")),INDIRECT("Returns!"&amp;$Z7&amp;"2:"&amp;$Z7&amp;"209")),IF(ISNUMBER(INDIRECT("Returns!"&amp;W$26&amp;"2:"&amp;W$26&amp;"209")),INDIRECT("Returns!"&amp;W$26&amp;"2:"&amp;W$26&amp;"209")))</f>
        <v>3.2387849149426329E-2</v>
      </c>
      <c r="Y7" s="18"/>
      <c r="Z7" t="s">
        <v>150</v>
      </c>
    </row>
    <row r="8" spans="2:26" ht="24" customHeight="1" x14ac:dyDescent="0.35">
      <c r="B8" s="41" t="s">
        <v>100</v>
      </c>
      <c r="C8" s="46" cm="1">
        <f t="array" aca="1" ref="C8" ca="1">CORREL(IF(ISNUMBER(INDIRECT("Returns!"&amp;$Z8&amp;"2:"&amp;$Z8&amp;"209")),INDIRECT("Returns!"&amp;$Z8&amp;"2:"&amp;$Z8&amp;"209")),IF(ISNUMBER(INDIRECT("Returns!"&amp;C$26&amp;"2:"&amp;C$26&amp;"209")),INDIRECT("Returns!"&amp;C$26&amp;"2:"&amp;C$26&amp;"209")))</f>
        <v>0.7414185587364216</v>
      </c>
      <c r="D8" s="46" cm="1">
        <f t="array" aca="1" ref="D8" ca="1">CORREL(IF(ISNUMBER(INDIRECT("Returns!"&amp;$Z8&amp;"2:"&amp;$Z8&amp;"209")),INDIRECT("Returns!"&amp;$Z8&amp;"2:"&amp;$Z8&amp;"209")),IF(ISNUMBER(INDIRECT("Returns!"&amp;D$26&amp;"2:"&amp;D$26&amp;"209")),INDIRECT("Returns!"&amp;D$26&amp;"2:"&amp;D$26&amp;"209")))</f>
        <v>0.76645201868125856</v>
      </c>
      <c r="E8" s="46" cm="1">
        <f t="array" aca="1" ref="E8" ca="1">CORREL(IF(ISNUMBER(INDIRECT("Returns!"&amp;$Z8&amp;"2:"&amp;$Z8&amp;"209")),INDIRECT("Returns!"&amp;$Z8&amp;"2:"&amp;$Z8&amp;"209")),IF(ISNUMBER(INDIRECT("Returns!"&amp;E$26&amp;"2:"&amp;E$26&amp;"209")),INDIRECT("Returns!"&amp;E$26&amp;"2:"&amp;E$26&amp;"209")))</f>
        <v>0.74784637624890771</v>
      </c>
      <c r="F8" s="46" cm="1">
        <f t="array" aca="1" ref="F8" ca="1">CORREL(IF(ISNUMBER(INDIRECT("Returns!"&amp;$Z8&amp;"2:"&amp;$Z8&amp;"209")),INDIRECT("Returns!"&amp;$Z8&amp;"2:"&amp;$Z8&amp;"209")),IF(ISNUMBER(INDIRECT("Returns!"&amp;F$26&amp;"2:"&amp;F$26&amp;"209")),INDIRECT("Returns!"&amp;F$26&amp;"2:"&amp;F$26&amp;"209")))</f>
        <v>0.78559463474188451</v>
      </c>
      <c r="G8" s="46" cm="1">
        <f t="array" aca="1" ref="G8" ca="1">CORREL(IF(ISNUMBER(INDIRECT("Returns!"&amp;$Z8&amp;"2:"&amp;$Z8&amp;"209")),INDIRECT("Returns!"&amp;$Z8&amp;"2:"&amp;$Z8&amp;"209")),IF(ISNUMBER(INDIRECT("Returns!"&amp;G$26&amp;"2:"&amp;G$26&amp;"209")),INDIRECT("Returns!"&amp;G$26&amp;"2:"&amp;G$26&amp;"209")))</f>
        <v>0.85419231119369154</v>
      </c>
      <c r="H8" s="46" cm="1">
        <f t="array" aca="1" ref="H8" ca="1">CORREL(IF(ISNUMBER(INDIRECT("Returns!"&amp;$Z8&amp;"2:"&amp;$Z8&amp;"209")),INDIRECT("Returns!"&amp;$Z8&amp;"2:"&amp;$Z8&amp;"209")),IF(ISNUMBER(INDIRECT("Returns!"&amp;H$26&amp;"2:"&amp;H$26&amp;"209")),INDIRECT("Returns!"&amp;H$26&amp;"2:"&amp;H$26&amp;"209")))</f>
        <v>0.99999999999999989</v>
      </c>
      <c r="I8" s="46" cm="1">
        <f t="array" aca="1" ref="I8" ca="1">CORREL(IF(ISNUMBER(INDIRECT("Returns!"&amp;$Z8&amp;"2:"&amp;$Z8&amp;"209")),INDIRECT("Returns!"&amp;$Z8&amp;"2:"&amp;$Z8&amp;"209")),IF(ISNUMBER(INDIRECT("Returns!"&amp;I$26&amp;"2:"&amp;I$26&amp;"209")),INDIRECT("Returns!"&amp;I$26&amp;"2:"&amp;I$26&amp;"209")))</f>
        <v>0.96192868005152476</v>
      </c>
      <c r="J8" s="46" cm="1">
        <f t="array" aca="1" ref="J8" ca="1">CORREL(IF(ISNUMBER(INDIRECT("Returns!"&amp;$Z8&amp;"2:"&amp;$Z8&amp;"209")),INDIRECT("Returns!"&amp;$Z8&amp;"2:"&amp;$Z8&amp;"209")),IF(ISNUMBER(INDIRECT("Returns!"&amp;J$26&amp;"2:"&amp;J$26&amp;"209")),INDIRECT("Returns!"&amp;J$26&amp;"2:"&amp;J$26&amp;"209")))</f>
        <v>0.87095303402223867</v>
      </c>
      <c r="K8" s="46" cm="1">
        <f t="array" aca="1" ref="K8" ca="1">CORREL(IF(ISNUMBER(INDIRECT("Returns!"&amp;$Z8&amp;"2:"&amp;$Z8&amp;"209")),INDIRECT("Returns!"&amp;$Z8&amp;"2:"&amp;$Z8&amp;"209")),IF(ISNUMBER(INDIRECT("Returns!"&amp;K$26&amp;"2:"&amp;K$26&amp;"209")),INDIRECT("Returns!"&amp;K$26&amp;"2:"&amp;K$26&amp;"209")))</f>
        <v>0.47844311414405383</v>
      </c>
      <c r="L8" s="46" cm="1">
        <f t="array" aca="1" ref="L8" ca="1">CORREL(IF(ISNUMBER(INDIRECT("Returns!"&amp;$Z8&amp;"2:"&amp;$Z8&amp;"209")),INDIRECT("Returns!"&amp;$Z8&amp;"2:"&amp;$Z8&amp;"209")),IF(ISNUMBER(INDIRECT("Returns!"&amp;L$26&amp;"2:"&amp;L$26&amp;"209")),INDIRECT("Returns!"&amp;L$26&amp;"2:"&amp;L$26&amp;"209")))</f>
        <v>0.59538778028370754</v>
      </c>
      <c r="M8" s="46" cm="1">
        <f t="array" aca="1" ref="M8" ca="1">CORREL(IF(ISNUMBER(INDIRECT("Returns!"&amp;$Z8&amp;"2:"&amp;$Z8&amp;"209")),INDIRECT("Returns!"&amp;$Z8&amp;"2:"&amp;$Z8&amp;"209")),IF(ISNUMBER(INDIRECT("Returns!"&amp;M$26&amp;"2:"&amp;M$26&amp;"209")),INDIRECT("Returns!"&amp;M$26&amp;"2:"&amp;M$26&amp;"209")))</f>
        <v>0.91308658366845963</v>
      </c>
      <c r="N8" s="46" cm="1">
        <f t="array" aca="1" ref="N8" ca="1">CORREL(IF(ISNUMBER(INDIRECT("Returns!"&amp;$Z8&amp;"2:"&amp;$Z8&amp;"209")),INDIRECT("Returns!"&amp;$Z8&amp;"2:"&amp;$Z8&amp;"209")),IF(ISNUMBER(INDIRECT("Returns!"&amp;N$26&amp;"2:"&amp;N$26&amp;"209")),INDIRECT("Returns!"&amp;N$26&amp;"2:"&amp;N$26&amp;"209")))</f>
        <v>0.80232642134461785</v>
      </c>
      <c r="O8" s="46" cm="1">
        <f t="array" aca="1" ref="O8" ca="1">CORREL(IF(ISNUMBER(INDIRECT("Returns!"&amp;$Z8&amp;"2:"&amp;$Z8&amp;"209")),INDIRECT("Returns!"&amp;$Z8&amp;"2:"&amp;$Z8&amp;"209")),IF(ISNUMBER(INDIRECT("Returns!"&amp;O$26&amp;"2:"&amp;O$26&amp;"209")),INDIRECT("Returns!"&amp;O$26&amp;"2:"&amp;O$26&amp;"209")))</f>
        <v>0.54148870420476602</v>
      </c>
      <c r="P8" s="46" cm="1">
        <f t="array" aca="1" ref="P8" ca="1">CORREL(IF(ISNUMBER(INDIRECT("Returns!"&amp;$Z8&amp;"2:"&amp;$Z8&amp;"209")),INDIRECT("Returns!"&amp;$Z8&amp;"2:"&amp;$Z8&amp;"209")),IF(ISNUMBER(INDIRECT("Returns!"&amp;P$26&amp;"2:"&amp;P$26&amp;"209")),INDIRECT("Returns!"&amp;P$26&amp;"2:"&amp;P$26&amp;"209")))</f>
        <v>0.52894875434178801</v>
      </c>
      <c r="Q8" s="46" cm="1">
        <f t="array" aca="1" ref="Q8" ca="1">CORREL(IF(ISNUMBER(INDIRECT("Returns!"&amp;$Z8&amp;"2:"&amp;$Z8&amp;"209")),INDIRECT("Returns!"&amp;$Z8&amp;"2:"&amp;$Z8&amp;"209")),IF(ISNUMBER(INDIRECT("Returns!"&amp;Q$26&amp;"2:"&amp;Q$26&amp;"209")),INDIRECT("Returns!"&amp;Q$26&amp;"2:"&amp;Q$26&amp;"209")))</f>
        <v>0.41213286591011727</v>
      </c>
      <c r="R8" s="46" cm="1">
        <f t="array" aca="1" ref="R8" ca="1">CORREL(IF(ISNUMBER(INDIRECT("Returns!"&amp;$Z8&amp;"2:"&amp;$Z8&amp;"209")),INDIRECT("Returns!"&amp;$Z8&amp;"2:"&amp;$Z8&amp;"209")),IF(ISNUMBER(INDIRECT("Returns!"&amp;R$26&amp;"2:"&amp;R$26&amp;"209")),INDIRECT("Returns!"&amp;R$26&amp;"2:"&amp;R$26&amp;"209")))</f>
        <v>0.36671717217715033</v>
      </c>
      <c r="S8" s="46" cm="1">
        <f t="array" aca="1" ref="S8" ca="1">CORREL(IF(ISNUMBER(INDIRECT("Returns!"&amp;$Z8&amp;"2:"&amp;$Z8&amp;"209")),INDIRECT("Returns!"&amp;$Z8&amp;"2:"&amp;$Z8&amp;"209")),IF(ISNUMBER(INDIRECT("Returns!"&amp;S$26&amp;"2:"&amp;S$26&amp;"209")),INDIRECT("Returns!"&amp;S$26&amp;"2:"&amp;S$26&amp;"209")))</f>
        <v>0.27991288982921725</v>
      </c>
      <c r="T8" s="46" cm="1">
        <f t="array" aca="1" ref="T8" ca="1">CORREL(IF(ISNUMBER(INDIRECT("Returns!"&amp;$Z8&amp;"2:"&amp;$Z8&amp;"209")),INDIRECT("Returns!"&amp;$Z8&amp;"2:"&amp;$Z8&amp;"209")),IF(ISNUMBER(INDIRECT("Returns!"&amp;T$26&amp;"2:"&amp;T$26&amp;"209")),INDIRECT("Returns!"&amp;T$26&amp;"2:"&amp;T$26&amp;"209")))</f>
        <v>0.84709600933710605</v>
      </c>
      <c r="U8" s="46" cm="1">
        <f t="array" aca="1" ref="U8" ca="1">CORREL(IF(ISNUMBER(INDIRECT("Returns!"&amp;$Z8&amp;"2:"&amp;$Z8&amp;"209")),INDIRECT("Returns!"&amp;$Z8&amp;"2:"&amp;$Z8&amp;"209")),IF(ISNUMBER(INDIRECT("Returns!"&amp;U$26&amp;"2:"&amp;U$26&amp;"209")),INDIRECT("Returns!"&amp;U$26&amp;"2:"&amp;U$26&amp;"209")))</f>
        <v>0.53665022335404178</v>
      </c>
      <c r="V8" s="46" cm="1">
        <f t="array" aca="1" ref="V8" ca="1">CORREL(IF(ISNUMBER(INDIRECT("Returns!"&amp;$Z8&amp;"2:"&amp;$Z8&amp;"209")),INDIRECT("Returns!"&amp;$Z8&amp;"2:"&amp;$Z8&amp;"209")),IF(ISNUMBER(INDIRECT("Returns!"&amp;V$26&amp;"2:"&amp;V$26&amp;"209")),INDIRECT("Returns!"&amp;V$26&amp;"2:"&amp;V$26&amp;"209")))</f>
        <v>1.3207777646730369E-2</v>
      </c>
      <c r="W8" s="46" cm="1">
        <f t="array" aca="1" ref="W8" ca="1">CORREL(IF(ISNUMBER(INDIRECT("Returns!"&amp;$Z8&amp;"2:"&amp;$Z8&amp;"209")),INDIRECT("Returns!"&amp;$Z8&amp;"2:"&amp;$Z8&amp;"209")),IF(ISNUMBER(INDIRECT("Returns!"&amp;W$26&amp;"2:"&amp;W$26&amp;"209")),INDIRECT("Returns!"&amp;W$26&amp;"2:"&amp;W$26&amp;"209")))</f>
        <v>5.2376267119790508E-2</v>
      </c>
      <c r="Y8" s="18"/>
      <c r="Z8" t="s">
        <v>151</v>
      </c>
    </row>
    <row r="9" spans="2:26" ht="24" customHeight="1" x14ac:dyDescent="0.35">
      <c r="B9" s="41" t="s">
        <v>101</v>
      </c>
      <c r="C9" s="46" cm="1">
        <f t="array" aca="1" ref="C9" ca="1">CORREL(IF(ISNUMBER(INDIRECT("Returns!"&amp;$Z9&amp;"2:"&amp;$Z9&amp;"209")),INDIRECT("Returns!"&amp;$Z9&amp;"2:"&amp;$Z9&amp;"209")),IF(ISNUMBER(INDIRECT("Returns!"&amp;C$26&amp;"2:"&amp;C$26&amp;"209")),INDIRECT("Returns!"&amp;C$26&amp;"2:"&amp;C$26&amp;"209")))</f>
        <v>0.60085647646878793</v>
      </c>
      <c r="D9" s="46" cm="1">
        <f t="array" aca="1" ref="D9" ca="1">CORREL(IF(ISNUMBER(INDIRECT("Returns!"&amp;$Z9&amp;"2:"&amp;$Z9&amp;"209")),INDIRECT("Returns!"&amp;$Z9&amp;"2:"&amp;$Z9&amp;"209")),IF(ISNUMBER(INDIRECT("Returns!"&amp;D$26&amp;"2:"&amp;D$26&amp;"209")),INDIRECT("Returns!"&amp;D$26&amp;"2:"&amp;D$26&amp;"209")))</f>
        <v>0.64585128614331255</v>
      </c>
      <c r="E9" s="46" cm="1">
        <f t="array" aca="1" ref="E9" ca="1">CORREL(IF(ISNUMBER(INDIRECT("Returns!"&amp;$Z9&amp;"2:"&amp;$Z9&amp;"209")),INDIRECT("Returns!"&amp;$Z9&amp;"2:"&amp;$Z9&amp;"209")),IF(ISNUMBER(INDIRECT("Returns!"&amp;E$26&amp;"2:"&amp;E$26&amp;"209")),INDIRECT("Returns!"&amp;E$26&amp;"2:"&amp;E$26&amp;"209")))</f>
        <v>0.73352262099043719</v>
      </c>
      <c r="F9" s="46" cm="1">
        <f t="array" aca="1" ref="F9" ca="1">CORREL(IF(ISNUMBER(INDIRECT("Returns!"&amp;$Z9&amp;"2:"&amp;$Z9&amp;"209")),INDIRECT("Returns!"&amp;$Z9&amp;"2:"&amp;$Z9&amp;"209")),IF(ISNUMBER(INDIRECT("Returns!"&amp;F$26&amp;"2:"&amp;F$26&amp;"209")),INDIRECT("Returns!"&amp;F$26&amp;"2:"&amp;F$26&amp;"209")))</f>
        <v>0.68672598045824385</v>
      </c>
      <c r="G9" s="46" cm="1">
        <f t="array" aca="1" ref="G9" ca="1">CORREL(IF(ISNUMBER(INDIRECT("Returns!"&amp;$Z9&amp;"2:"&amp;$Z9&amp;"209")),INDIRECT("Returns!"&amp;$Z9&amp;"2:"&amp;$Z9&amp;"209")),IF(ISNUMBER(INDIRECT("Returns!"&amp;G$26&amp;"2:"&amp;G$26&amp;"209")),INDIRECT("Returns!"&amp;G$26&amp;"2:"&amp;G$26&amp;"209")))</f>
        <v>0.74170240808039134</v>
      </c>
      <c r="H9" s="46" cm="1">
        <f t="array" aca="1" ref="H9" ca="1">CORREL(IF(ISNUMBER(INDIRECT("Returns!"&amp;$Z9&amp;"2:"&amp;$Z9&amp;"209")),INDIRECT("Returns!"&amp;$Z9&amp;"2:"&amp;$Z9&amp;"209")),IF(ISNUMBER(INDIRECT("Returns!"&amp;H$26&amp;"2:"&amp;H$26&amp;"209")),INDIRECT("Returns!"&amp;H$26&amp;"2:"&amp;H$26&amp;"209")))</f>
        <v>0.96192868005152476</v>
      </c>
      <c r="I9" s="46" cm="1">
        <f t="array" aca="1" ref="I9" ca="1">CORREL(IF(ISNUMBER(INDIRECT("Returns!"&amp;$Z9&amp;"2:"&amp;$Z9&amp;"209")),INDIRECT("Returns!"&amp;$Z9&amp;"2:"&amp;$Z9&amp;"209")),IF(ISNUMBER(INDIRECT("Returns!"&amp;I$26&amp;"2:"&amp;I$26&amp;"209")),INDIRECT("Returns!"&amp;I$26&amp;"2:"&amp;I$26&amp;"209")))</f>
        <v>1</v>
      </c>
      <c r="J9" s="46" cm="1">
        <f t="array" aca="1" ref="J9" ca="1">CORREL(IF(ISNUMBER(INDIRECT("Returns!"&amp;$Z9&amp;"2:"&amp;$Z9&amp;"209")),INDIRECT("Returns!"&amp;$Z9&amp;"2:"&amp;$Z9&amp;"209")),IF(ISNUMBER(INDIRECT("Returns!"&amp;J$26&amp;"2:"&amp;J$26&amp;"209")),INDIRECT("Returns!"&amp;J$26&amp;"2:"&amp;J$26&amp;"209")))</f>
        <v>0.92659591622929294</v>
      </c>
      <c r="K9" s="46" cm="1">
        <f t="array" aca="1" ref="K9" ca="1">CORREL(IF(ISNUMBER(INDIRECT("Returns!"&amp;$Z9&amp;"2:"&amp;$Z9&amp;"209")),INDIRECT("Returns!"&amp;$Z9&amp;"2:"&amp;$Z9&amp;"209")),IF(ISNUMBER(INDIRECT("Returns!"&amp;K$26&amp;"2:"&amp;K$26&amp;"209")),INDIRECT("Returns!"&amp;K$26&amp;"2:"&amp;K$26&amp;"209")))</f>
        <v>0.61113331259647674</v>
      </c>
      <c r="L9" s="46" cm="1">
        <f t="array" aca="1" ref="L9" ca="1">CORREL(IF(ISNUMBER(INDIRECT("Returns!"&amp;$Z9&amp;"2:"&amp;$Z9&amp;"209")),INDIRECT("Returns!"&amp;$Z9&amp;"2:"&amp;$Z9&amp;"209")),IF(ISNUMBER(INDIRECT("Returns!"&amp;L$26&amp;"2:"&amp;L$26&amp;"209")),INDIRECT("Returns!"&amp;L$26&amp;"2:"&amp;L$26&amp;"209")))</f>
        <v>0.70782396346374044</v>
      </c>
      <c r="M9" s="46" cm="1">
        <f t="array" aca="1" ref="M9" ca="1">CORREL(IF(ISNUMBER(INDIRECT("Returns!"&amp;$Z9&amp;"2:"&amp;$Z9&amp;"209")),INDIRECT("Returns!"&amp;$Z9&amp;"2:"&amp;$Z9&amp;"209")),IF(ISNUMBER(INDIRECT("Returns!"&amp;M$26&amp;"2:"&amp;M$26&amp;"209")),INDIRECT("Returns!"&amp;M$26&amp;"2:"&amp;M$26&amp;"209")))</f>
        <v>0.94026893977930592</v>
      </c>
      <c r="N9" s="46" cm="1">
        <f t="array" aca="1" ref="N9" ca="1">CORREL(IF(ISNUMBER(INDIRECT("Returns!"&amp;$Z9&amp;"2:"&amp;$Z9&amp;"209")),INDIRECT("Returns!"&amp;$Z9&amp;"2:"&amp;$Z9&amp;"209")),IF(ISNUMBER(INDIRECT("Returns!"&amp;N$26&amp;"2:"&amp;N$26&amp;"209")),INDIRECT("Returns!"&amp;N$26&amp;"2:"&amp;N$26&amp;"209")))</f>
        <v>0.71187007538823699</v>
      </c>
      <c r="O9" s="46" cm="1">
        <f t="array" aca="1" ref="O9" ca="1">CORREL(IF(ISNUMBER(INDIRECT("Returns!"&amp;$Z9&amp;"2:"&amp;$Z9&amp;"209")),INDIRECT("Returns!"&amp;$Z9&amp;"2:"&amp;$Z9&amp;"209")),IF(ISNUMBER(INDIRECT("Returns!"&amp;O$26&amp;"2:"&amp;O$26&amp;"209")),INDIRECT("Returns!"&amp;O$26&amp;"2:"&amp;O$26&amp;"209")))</f>
        <v>0.55868644124794875</v>
      </c>
      <c r="P9" s="46" cm="1">
        <f t="array" aca="1" ref="P9" ca="1">CORREL(IF(ISNUMBER(INDIRECT("Returns!"&amp;$Z9&amp;"2:"&amp;$Z9&amp;"209")),INDIRECT("Returns!"&amp;$Z9&amp;"2:"&amp;$Z9&amp;"209")),IF(ISNUMBER(INDIRECT("Returns!"&amp;P$26&amp;"2:"&amp;P$26&amp;"209")),INDIRECT("Returns!"&amp;P$26&amp;"2:"&amp;P$26&amp;"209")))</f>
        <v>0.60330161507271585</v>
      </c>
      <c r="Q9" s="46" cm="1">
        <f t="array" aca="1" ref="Q9" ca="1">CORREL(IF(ISNUMBER(INDIRECT("Returns!"&amp;$Z9&amp;"2:"&amp;$Z9&amp;"209")),INDIRECT("Returns!"&amp;$Z9&amp;"2:"&amp;$Z9&amp;"209")),IF(ISNUMBER(INDIRECT("Returns!"&amp;Q$26&amp;"2:"&amp;Q$26&amp;"209")),INDIRECT("Returns!"&amp;Q$26&amp;"2:"&amp;Q$26&amp;"209")))</f>
        <v>0.44191574762042513</v>
      </c>
      <c r="R9" s="46" cm="1">
        <f t="array" aca="1" ref="R9" ca="1">CORREL(IF(ISNUMBER(INDIRECT("Returns!"&amp;$Z9&amp;"2:"&amp;$Z9&amp;"209")),INDIRECT("Returns!"&amp;$Z9&amp;"2:"&amp;$Z9&amp;"209")),IF(ISNUMBER(INDIRECT("Returns!"&amp;R$26&amp;"2:"&amp;R$26&amp;"209")),INDIRECT("Returns!"&amp;R$26&amp;"2:"&amp;R$26&amp;"209")))</f>
        <v>0.3841551433622819</v>
      </c>
      <c r="S9" s="46" cm="1">
        <f t="array" aca="1" ref="S9" ca="1">CORREL(IF(ISNUMBER(INDIRECT("Returns!"&amp;$Z9&amp;"2:"&amp;$Z9&amp;"209")),INDIRECT("Returns!"&amp;$Z9&amp;"2:"&amp;$Z9&amp;"209")),IF(ISNUMBER(INDIRECT("Returns!"&amp;S$26&amp;"2:"&amp;S$26&amp;"209")),INDIRECT("Returns!"&amp;S$26&amp;"2:"&amp;S$26&amp;"209")))</f>
        <v>0.3781403573725246</v>
      </c>
      <c r="T9" s="46" cm="1">
        <f t="array" aca="1" ref="T9" ca="1">CORREL(IF(ISNUMBER(INDIRECT("Returns!"&amp;$Z9&amp;"2:"&amp;$Z9&amp;"209")),INDIRECT("Returns!"&amp;$Z9&amp;"2:"&amp;$Z9&amp;"209")),IF(ISNUMBER(INDIRECT("Returns!"&amp;T$26&amp;"2:"&amp;T$26&amp;"209")),INDIRECT("Returns!"&amp;T$26&amp;"2:"&amp;T$26&amp;"209")))</f>
        <v>0.81461645746529576</v>
      </c>
      <c r="U9" s="46" cm="1">
        <f t="array" aca="1" ref="U9" ca="1">CORREL(IF(ISNUMBER(INDIRECT("Returns!"&amp;$Z9&amp;"2:"&amp;$Z9&amp;"209")),INDIRECT("Returns!"&amp;$Z9&amp;"2:"&amp;$Z9&amp;"209")),IF(ISNUMBER(INDIRECT("Returns!"&amp;U$26&amp;"2:"&amp;U$26&amp;"209")),INDIRECT("Returns!"&amp;U$26&amp;"2:"&amp;U$26&amp;"209")))</f>
        <v>0.55470384488409108</v>
      </c>
      <c r="V9" s="46" cm="1">
        <f t="array" aca="1" ref="V9" ca="1">CORREL(IF(ISNUMBER(INDIRECT("Returns!"&amp;$Z9&amp;"2:"&amp;$Z9&amp;"209")),INDIRECT("Returns!"&amp;$Z9&amp;"2:"&amp;$Z9&amp;"209")),IF(ISNUMBER(INDIRECT("Returns!"&amp;V$26&amp;"2:"&amp;V$26&amp;"209")),INDIRECT("Returns!"&amp;V$26&amp;"2:"&amp;V$26&amp;"209")))</f>
        <v>5.2761371008476332E-2</v>
      </c>
      <c r="W9" s="46" cm="1">
        <f t="array" aca="1" ref="W9" ca="1">CORREL(IF(ISNUMBER(INDIRECT("Returns!"&amp;$Z9&amp;"2:"&amp;$Z9&amp;"209")),INDIRECT("Returns!"&amp;$Z9&amp;"2:"&amp;$Z9&amp;"209")),IF(ISNUMBER(INDIRECT("Returns!"&amp;W$26&amp;"2:"&amp;W$26&amp;"209")),INDIRECT("Returns!"&amp;W$26&amp;"2:"&amp;W$26&amp;"209")))</f>
        <v>8.1744499676357371E-2</v>
      </c>
      <c r="Y9" s="18"/>
      <c r="Z9" t="s">
        <v>152</v>
      </c>
    </row>
    <row r="10" spans="2:26" ht="24" customHeight="1" x14ac:dyDescent="0.35">
      <c r="B10" s="41" t="s">
        <v>102</v>
      </c>
      <c r="C10" s="46" cm="1">
        <f t="array" aca="1" ref="C10" ca="1">CORREL(IF(ISNUMBER(INDIRECT("Returns!"&amp;$Z10&amp;"2:"&amp;$Z10&amp;"209")),INDIRECT("Returns!"&amp;$Z10&amp;"2:"&amp;$Z10&amp;"209")),IF(ISNUMBER(INDIRECT("Returns!"&amp;C$26&amp;"2:"&amp;C$26&amp;"209")),INDIRECT("Returns!"&amp;C$26&amp;"2:"&amp;C$26&amp;"209")))</f>
        <v>0.45993773248365721</v>
      </c>
      <c r="D10" s="46" cm="1">
        <f t="array" aca="1" ref="D10" ca="1">CORREL(IF(ISNUMBER(INDIRECT("Returns!"&amp;$Z10&amp;"2:"&amp;$Z10&amp;"209")),INDIRECT("Returns!"&amp;$Z10&amp;"2:"&amp;$Z10&amp;"209")),IF(ISNUMBER(INDIRECT("Returns!"&amp;D$26&amp;"2:"&amp;D$26&amp;"209")),INDIRECT("Returns!"&amp;D$26&amp;"2:"&amp;D$26&amp;"209")))</f>
        <v>0.50812135403267611</v>
      </c>
      <c r="E10" s="46" cm="1">
        <f t="array" aca="1" ref="E10" ca="1">CORREL(IF(ISNUMBER(INDIRECT("Returns!"&amp;$Z10&amp;"2:"&amp;$Z10&amp;"209")),INDIRECT("Returns!"&amp;$Z10&amp;"2:"&amp;$Z10&amp;"209")),IF(ISNUMBER(INDIRECT("Returns!"&amp;E$26&amp;"2:"&amp;E$26&amp;"209")),INDIRECT("Returns!"&amp;E$26&amp;"2:"&amp;E$26&amp;"209")))</f>
        <v>0.70584587043364078</v>
      </c>
      <c r="F10" s="46" cm="1">
        <f t="array" aca="1" ref="F10" ca="1">CORREL(IF(ISNUMBER(INDIRECT("Returns!"&amp;$Z10&amp;"2:"&amp;$Z10&amp;"209")),INDIRECT("Returns!"&amp;$Z10&amp;"2:"&amp;$Z10&amp;"209")),IF(ISNUMBER(INDIRECT("Returns!"&amp;F$26&amp;"2:"&amp;F$26&amp;"209")),INDIRECT("Returns!"&amp;F$26&amp;"2:"&amp;F$26&amp;"209")))</f>
        <v>0.60547103955110915</v>
      </c>
      <c r="G10" s="46" cm="1">
        <f t="array" aca="1" ref="G10" ca="1">CORREL(IF(ISNUMBER(INDIRECT("Returns!"&amp;$Z10&amp;"2:"&amp;$Z10&amp;"209")),INDIRECT("Returns!"&amp;$Z10&amp;"2:"&amp;$Z10&amp;"209")),IF(ISNUMBER(INDIRECT("Returns!"&amp;G$26&amp;"2:"&amp;G$26&amp;"209")),INDIRECT("Returns!"&amp;G$26&amp;"2:"&amp;G$26&amp;"209")))</f>
        <v>0.62932832161493069</v>
      </c>
      <c r="H10" s="46" cm="1">
        <f t="array" aca="1" ref="H10" ca="1">CORREL(IF(ISNUMBER(INDIRECT("Returns!"&amp;$Z10&amp;"2:"&amp;$Z10&amp;"209")),INDIRECT("Returns!"&amp;$Z10&amp;"2:"&amp;$Z10&amp;"209")),IF(ISNUMBER(INDIRECT("Returns!"&amp;H$26&amp;"2:"&amp;H$26&amp;"209")),INDIRECT("Returns!"&amp;H$26&amp;"2:"&amp;H$26&amp;"209")))</f>
        <v>0.87095303402223867</v>
      </c>
      <c r="I10" s="46" cm="1">
        <f t="array" aca="1" ref="I10" ca="1">CORREL(IF(ISNUMBER(INDIRECT("Returns!"&amp;$Z10&amp;"2:"&amp;$Z10&amp;"209")),INDIRECT("Returns!"&amp;$Z10&amp;"2:"&amp;$Z10&amp;"209")),IF(ISNUMBER(INDIRECT("Returns!"&amp;I$26&amp;"2:"&amp;I$26&amp;"209")),INDIRECT("Returns!"&amp;I$26&amp;"2:"&amp;I$26&amp;"209")))</f>
        <v>0.92659591622929294</v>
      </c>
      <c r="J10" s="46" cm="1">
        <f t="array" aca="1" ref="J10" ca="1">CORREL(IF(ISNUMBER(INDIRECT("Returns!"&amp;$Z10&amp;"2:"&amp;$Z10&amp;"209")),INDIRECT("Returns!"&amp;$Z10&amp;"2:"&amp;$Z10&amp;"209")),IF(ISNUMBER(INDIRECT("Returns!"&amp;J$26&amp;"2:"&amp;J$26&amp;"209")),INDIRECT("Returns!"&amp;J$26&amp;"2:"&amp;J$26&amp;"209")))</f>
        <v>1.0000000000000002</v>
      </c>
      <c r="K10" s="46" cm="1">
        <f t="array" aca="1" ref="K10" ca="1">CORREL(IF(ISNUMBER(INDIRECT("Returns!"&amp;$Z10&amp;"2:"&amp;$Z10&amp;"209")),INDIRECT("Returns!"&amp;$Z10&amp;"2:"&amp;$Z10&amp;"209")),IF(ISNUMBER(INDIRECT("Returns!"&amp;K$26&amp;"2:"&amp;K$26&amp;"209")),INDIRECT("Returns!"&amp;K$26&amp;"2:"&amp;K$26&amp;"209")))</f>
        <v>0.75775684170863078</v>
      </c>
      <c r="L10" s="46" cm="1">
        <f t="array" aca="1" ref="L10" ca="1">CORREL(IF(ISNUMBER(INDIRECT("Returns!"&amp;$Z10&amp;"2:"&amp;$Z10&amp;"209")),INDIRECT("Returns!"&amp;$Z10&amp;"2:"&amp;$Z10&amp;"209")),IF(ISNUMBER(INDIRECT("Returns!"&amp;L$26&amp;"2:"&amp;L$26&amp;"209")),INDIRECT("Returns!"&amp;L$26&amp;"2:"&amp;L$26&amp;"209")))</f>
        <v>0.83382374090714895</v>
      </c>
      <c r="M10" s="46" cm="1">
        <f t="array" aca="1" ref="M10" ca="1">CORREL(IF(ISNUMBER(INDIRECT("Returns!"&amp;$Z10&amp;"2:"&amp;$Z10&amp;"209")),INDIRECT("Returns!"&amp;$Z10&amp;"2:"&amp;$Z10&amp;"209")),IF(ISNUMBER(INDIRECT("Returns!"&amp;M$26&amp;"2:"&amp;M$26&amp;"209")),INDIRECT("Returns!"&amp;M$26&amp;"2:"&amp;M$26&amp;"209")))</f>
        <v>0.95428059263001386</v>
      </c>
      <c r="N10" s="46" cm="1">
        <f t="array" aca="1" ref="N10" ca="1">CORREL(IF(ISNUMBER(INDIRECT("Returns!"&amp;$Z10&amp;"2:"&amp;$Z10&amp;"209")),INDIRECT("Returns!"&amp;$Z10&amp;"2:"&amp;$Z10&amp;"209")),IF(ISNUMBER(INDIRECT("Returns!"&amp;N$26&amp;"2:"&amp;N$26&amp;"209")),INDIRECT("Returns!"&amp;N$26&amp;"2:"&amp;N$26&amp;"209")))</f>
        <v>0.64890964918071692</v>
      </c>
      <c r="O10" s="46" cm="1">
        <f t="array" aca="1" ref="O10" ca="1">CORREL(IF(ISNUMBER(INDIRECT("Returns!"&amp;$Z10&amp;"2:"&amp;$Z10&amp;"209")),INDIRECT("Returns!"&amp;$Z10&amp;"2:"&amp;$Z10&amp;"209")),IF(ISNUMBER(INDIRECT("Returns!"&amp;O$26&amp;"2:"&amp;O$26&amp;"209")),INDIRECT("Returns!"&amp;O$26&amp;"2:"&amp;O$26&amp;"209")))</f>
        <v>0.56892605090857951</v>
      </c>
      <c r="P10" s="46" cm="1">
        <f t="array" aca="1" ref="P10" ca="1">CORREL(IF(ISNUMBER(INDIRECT("Returns!"&amp;$Z10&amp;"2:"&amp;$Z10&amp;"209")),INDIRECT("Returns!"&amp;$Z10&amp;"2:"&amp;$Z10&amp;"209")),IF(ISNUMBER(INDIRECT("Returns!"&amp;P$26&amp;"2:"&amp;P$26&amp;"209")),INDIRECT("Returns!"&amp;P$26&amp;"2:"&amp;P$26&amp;"209")))</f>
        <v>0.67958918442100125</v>
      </c>
      <c r="Q10" s="46" cm="1">
        <f t="array" aca="1" ref="Q10" ca="1">CORREL(IF(ISNUMBER(INDIRECT("Returns!"&amp;$Z10&amp;"2:"&amp;$Z10&amp;"209")),INDIRECT("Returns!"&amp;$Z10&amp;"2:"&amp;$Z10&amp;"209")),IF(ISNUMBER(INDIRECT("Returns!"&amp;Q$26&amp;"2:"&amp;Q$26&amp;"209")),INDIRECT("Returns!"&amp;Q$26&amp;"2:"&amp;Q$26&amp;"209")))</f>
        <v>0.47879350228114614</v>
      </c>
      <c r="R10" s="46" cm="1">
        <f t="array" aca="1" ref="R10" ca="1">CORREL(IF(ISNUMBER(INDIRECT("Returns!"&amp;$Z10&amp;"2:"&amp;$Z10&amp;"209")),INDIRECT("Returns!"&amp;$Z10&amp;"2:"&amp;$Z10&amp;"209")),IF(ISNUMBER(INDIRECT("Returns!"&amp;R$26&amp;"2:"&amp;R$26&amp;"209")),INDIRECT("Returns!"&amp;R$26&amp;"2:"&amp;R$26&amp;"209")))</f>
        <v>0.45560267649760711</v>
      </c>
      <c r="S10" s="46" cm="1">
        <f t="array" aca="1" ref="S10" ca="1">CORREL(IF(ISNUMBER(INDIRECT("Returns!"&amp;$Z10&amp;"2:"&amp;$Z10&amp;"209")),INDIRECT("Returns!"&amp;$Z10&amp;"2:"&amp;$Z10&amp;"209")),IF(ISNUMBER(INDIRECT("Returns!"&amp;S$26&amp;"2:"&amp;S$26&amp;"209")),INDIRECT("Returns!"&amp;S$26&amp;"2:"&amp;S$26&amp;"209")))</f>
        <v>0.60207056017083249</v>
      </c>
      <c r="T10" s="46" cm="1">
        <f t="array" aca="1" ref="T10" ca="1">CORREL(IF(ISNUMBER(INDIRECT("Returns!"&amp;$Z10&amp;"2:"&amp;$Z10&amp;"209")),INDIRECT("Returns!"&amp;$Z10&amp;"2:"&amp;$Z10&amp;"209")),IF(ISNUMBER(INDIRECT("Returns!"&amp;T$26&amp;"2:"&amp;T$26&amp;"209")),INDIRECT("Returns!"&amp;T$26&amp;"2:"&amp;T$26&amp;"209")))</f>
        <v>0.70456317041295158</v>
      </c>
      <c r="U10" s="46" cm="1">
        <f t="array" aca="1" ref="U10" ca="1">CORREL(IF(ISNUMBER(INDIRECT("Returns!"&amp;$Z10&amp;"2:"&amp;$Z10&amp;"209")),INDIRECT("Returns!"&amp;$Z10&amp;"2:"&amp;$Z10&amp;"209")),IF(ISNUMBER(INDIRECT("Returns!"&amp;U$26&amp;"2:"&amp;U$26&amp;"209")),INDIRECT("Returns!"&amp;U$26&amp;"2:"&amp;U$26&amp;"209")))</f>
        <v>0.5773117909376041</v>
      </c>
      <c r="V10" s="46" cm="1">
        <f t="array" aca="1" ref="V10" ca="1">CORREL(IF(ISNUMBER(INDIRECT("Returns!"&amp;$Z10&amp;"2:"&amp;$Z10&amp;"209")),INDIRECT("Returns!"&amp;$Z10&amp;"2:"&amp;$Z10&amp;"209")),IF(ISNUMBER(INDIRECT("Returns!"&amp;V$26&amp;"2:"&amp;V$26&amp;"209")),INDIRECT("Returns!"&amp;V$26&amp;"2:"&amp;V$26&amp;"209")))</f>
        <v>2.381312934973448E-2</v>
      </c>
      <c r="W10" s="46" cm="1">
        <f t="array" aca="1" ref="W10" ca="1">CORREL(IF(ISNUMBER(INDIRECT("Returns!"&amp;$Z10&amp;"2:"&amp;$Z10&amp;"209")),INDIRECT("Returns!"&amp;$Z10&amp;"2:"&amp;$Z10&amp;"209")),IF(ISNUMBER(INDIRECT("Returns!"&amp;W$26&amp;"2:"&amp;W$26&amp;"209")),INDIRECT("Returns!"&amp;W$26&amp;"2:"&amp;W$26&amp;"209")))</f>
        <v>4.9138157501599812E-2</v>
      </c>
      <c r="Y10" s="18"/>
      <c r="Z10" t="s">
        <v>153</v>
      </c>
    </row>
    <row r="11" spans="2:26" ht="24" customHeight="1" x14ac:dyDescent="0.35">
      <c r="B11" s="41" t="s">
        <v>93</v>
      </c>
      <c r="C11" s="46" cm="1">
        <f t="array" aca="1" ref="C11" ca="1">CORREL(IF(ISNUMBER(INDIRECT("Returns!"&amp;$Z11&amp;"2:"&amp;$Z11&amp;"209")),INDIRECT("Returns!"&amp;$Z11&amp;"2:"&amp;$Z11&amp;"209")),IF(ISNUMBER(INDIRECT("Returns!"&amp;C$26&amp;"2:"&amp;C$26&amp;"209")),INDIRECT("Returns!"&amp;C$26&amp;"2:"&amp;C$26&amp;"209")))</f>
        <v>-3.4047745460744426E-2</v>
      </c>
      <c r="D11" s="46" cm="1">
        <f t="array" aca="1" ref="D11" ca="1">CORREL(IF(ISNUMBER(INDIRECT("Returns!"&amp;$Z11&amp;"2:"&amp;$Z11&amp;"209")),INDIRECT("Returns!"&amp;$Z11&amp;"2:"&amp;$Z11&amp;"209")),IF(ISNUMBER(INDIRECT("Returns!"&amp;D$26&amp;"2:"&amp;D$26&amp;"209")),INDIRECT("Returns!"&amp;D$26&amp;"2:"&amp;D$26&amp;"209")))</f>
        <v>-2.8946897649251825E-2</v>
      </c>
      <c r="E11" s="46" cm="1">
        <f t="array" aca="1" ref="E11" ca="1">CORREL(IF(ISNUMBER(INDIRECT("Returns!"&amp;$Z11&amp;"2:"&amp;$Z11&amp;"209")),INDIRECT("Returns!"&amp;$Z11&amp;"2:"&amp;$Z11&amp;"209")),IF(ISNUMBER(INDIRECT("Returns!"&amp;E$26&amp;"2:"&amp;E$26&amp;"209")),INDIRECT("Returns!"&amp;E$26&amp;"2:"&amp;E$26&amp;"209")))</f>
        <v>0.45484251682001603</v>
      </c>
      <c r="F11" s="46" cm="1">
        <f t="array" aca="1" ref="F11" ca="1">CORREL(IF(ISNUMBER(INDIRECT("Returns!"&amp;$Z11&amp;"2:"&amp;$Z11&amp;"209")),INDIRECT("Returns!"&amp;$Z11&amp;"2:"&amp;$Z11&amp;"209")),IF(ISNUMBER(INDIRECT("Returns!"&amp;F$26&amp;"2:"&amp;F$26&amp;"209")),INDIRECT("Returns!"&amp;F$26&amp;"2:"&amp;F$26&amp;"209")))</f>
        <v>0.17321460485284348</v>
      </c>
      <c r="G11" s="46" cm="1">
        <f t="array" aca="1" ref="G11" ca="1">CORREL(IF(ISNUMBER(INDIRECT("Returns!"&amp;$Z11&amp;"2:"&amp;$Z11&amp;"209")),INDIRECT("Returns!"&amp;$Z11&amp;"2:"&amp;$Z11&amp;"209")),IF(ISNUMBER(INDIRECT("Returns!"&amp;G$26&amp;"2:"&amp;G$26&amp;"209")),INDIRECT("Returns!"&amp;G$26&amp;"2:"&amp;G$26&amp;"209")))</f>
        <v>0.16496544688208228</v>
      </c>
      <c r="H11" s="46" cm="1">
        <f t="array" aca="1" ref="H11" ca="1">CORREL(IF(ISNUMBER(INDIRECT("Returns!"&amp;$Z11&amp;"2:"&amp;$Z11&amp;"209")),INDIRECT("Returns!"&amp;$Z11&amp;"2:"&amp;$Z11&amp;"209")),IF(ISNUMBER(INDIRECT("Returns!"&amp;H$26&amp;"2:"&amp;H$26&amp;"209")),INDIRECT("Returns!"&amp;H$26&amp;"2:"&amp;H$26&amp;"209")))</f>
        <v>0.47844311414405383</v>
      </c>
      <c r="I11" s="46" cm="1">
        <f t="array" aca="1" ref="I11" ca="1">CORREL(IF(ISNUMBER(INDIRECT("Returns!"&amp;$Z11&amp;"2:"&amp;$Z11&amp;"209")),INDIRECT("Returns!"&amp;$Z11&amp;"2:"&amp;$Z11&amp;"209")),IF(ISNUMBER(INDIRECT("Returns!"&amp;I$26&amp;"2:"&amp;I$26&amp;"209")),INDIRECT("Returns!"&amp;I$26&amp;"2:"&amp;I$26&amp;"209")))</f>
        <v>0.61113331259647674</v>
      </c>
      <c r="J11" s="46" cm="1">
        <f t="array" aca="1" ref="J11" ca="1">CORREL(IF(ISNUMBER(INDIRECT("Returns!"&amp;$Z11&amp;"2:"&amp;$Z11&amp;"209")),INDIRECT("Returns!"&amp;$Z11&amp;"2:"&amp;$Z11&amp;"209")),IF(ISNUMBER(INDIRECT("Returns!"&amp;J$26&amp;"2:"&amp;J$26&amp;"209")),INDIRECT("Returns!"&amp;J$26&amp;"2:"&amp;J$26&amp;"209")))</f>
        <v>0.75775684170863078</v>
      </c>
      <c r="K11" s="46" cm="1">
        <f t="array" aca="1" ref="K11" ca="1">CORREL(IF(ISNUMBER(INDIRECT("Returns!"&amp;$Z11&amp;"2:"&amp;$Z11&amp;"209")),INDIRECT("Returns!"&amp;$Z11&amp;"2:"&amp;$Z11&amp;"209")),IF(ISNUMBER(INDIRECT("Returns!"&amp;K$26&amp;"2:"&amp;K$26&amp;"209")),INDIRECT("Returns!"&amp;K$26&amp;"2:"&amp;K$26&amp;"209")))</f>
        <v>1</v>
      </c>
      <c r="L11" s="46" cm="1">
        <f t="array" aca="1" ref="L11" ca="1">CORREL(IF(ISNUMBER(INDIRECT("Returns!"&amp;$Z11&amp;"2:"&amp;$Z11&amp;"209")),INDIRECT("Returns!"&amp;$Z11&amp;"2:"&amp;$Z11&amp;"209")),IF(ISNUMBER(INDIRECT("Returns!"&amp;L$26&amp;"2:"&amp;L$26&amp;"209")),INDIRECT("Returns!"&amp;L$26&amp;"2:"&amp;L$26&amp;"209")))</f>
        <v>0.9471540911594043</v>
      </c>
      <c r="M11" s="46" cm="1">
        <f t="array" aca="1" ref="M11" ca="1">CORREL(IF(ISNUMBER(INDIRECT("Returns!"&amp;$Z11&amp;"2:"&amp;$Z11&amp;"209")),INDIRECT("Returns!"&amp;$Z11&amp;"2:"&amp;$Z11&amp;"209")),IF(ISNUMBER(INDIRECT("Returns!"&amp;M$26&amp;"2:"&amp;M$26&amp;"209")),INDIRECT("Returns!"&amp;M$26&amp;"2:"&amp;M$26&amp;"209")))</f>
        <v>0.74666541176573054</v>
      </c>
      <c r="N11" s="46" cm="1">
        <f t="array" aca="1" ref="N11" ca="1">CORREL(IF(ISNUMBER(INDIRECT("Returns!"&amp;$Z11&amp;"2:"&amp;$Z11&amp;"209")),INDIRECT("Returns!"&amp;$Z11&amp;"2:"&amp;$Z11&amp;"209")),IF(ISNUMBER(INDIRECT("Returns!"&amp;N$26&amp;"2:"&amp;N$26&amp;"209")),INDIRECT("Returns!"&amp;N$26&amp;"2:"&amp;N$26&amp;"209")))</f>
        <v>0.25037275843302786</v>
      </c>
      <c r="O11" s="46" cm="1">
        <f t="array" aca="1" ref="O11" ca="1">CORREL(IF(ISNUMBER(INDIRECT("Returns!"&amp;$Z11&amp;"2:"&amp;$Z11&amp;"209")),INDIRECT("Returns!"&amp;$Z11&amp;"2:"&amp;$Z11&amp;"209")),IF(ISNUMBER(INDIRECT("Returns!"&amp;O$26&amp;"2:"&amp;O$26&amp;"209")),INDIRECT("Returns!"&amp;O$26&amp;"2:"&amp;O$26&amp;"209")))</f>
        <v>0.68268975788491038</v>
      </c>
      <c r="P11" s="46" cm="1">
        <f t="array" aca="1" ref="P11" ca="1">CORREL(IF(ISNUMBER(INDIRECT("Returns!"&amp;$Z11&amp;"2:"&amp;$Z11&amp;"209")),INDIRECT("Returns!"&amp;$Z11&amp;"2:"&amp;$Z11&amp;"209")),IF(ISNUMBER(INDIRECT("Returns!"&amp;P$26&amp;"2:"&amp;P$26&amp;"209")),INDIRECT("Returns!"&amp;P$26&amp;"2:"&amp;P$26&amp;"209")))</f>
        <v>0.59163647950326681</v>
      </c>
      <c r="Q11" s="46" cm="1">
        <f t="array" aca="1" ref="Q11" ca="1">CORREL(IF(ISNUMBER(INDIRECT("Returns!"&amp;$Z11&amp;"2:"&amp;$Z11&amp;"209")),INDIRECT("Returns!"&amp;$Z11&amp;"2:"&amp;$Z11&amp;"209")),IF(ISNUMBER(INDIRECT("Returns!"&amp;Q$26&amp;"2:"&amp;Q$26&amp;"209")),INDIRECT("Returns!"&amp;Q$26&amp;"2:"&amp;Q$26&amp;"209")))</f>
        <v>0.48113822619120733</v>
      </c>
      <c r="R11" s="46" cm="1">
        <f t="array" aca="1" ref="R11" ca="1">CORREL(IF(ISNUMBER(INDIRECT("Returns!"&amp;$Z11&amp;"2:"&amp;$Z11&amp;"209")),INDIRECT("Returns!"&amp;$Z11&amp;"2:"&amp;$Z11&amp;"209")),IF(ISNUMBER(INDIRECT("Returns!"&amp;R$26&amp;"2:"&amp;R$26&amp;"209")),INDIRECT("Returns!"&amp;R$26&amp;"2:"&amp;R$26&amp;"209")))</f>
        <v>0.46674218577745991</v>
      </c>
      <c r="S11" s="46" cm="1">
        <f t="array" aca="1" ref="S11" ca="1">CORREL(IF(ISNUMBER(INDIRECT("Returns!"&amp;$Z11&amp;"2:"&amp;$Z11&amp;"209")),INDIRECT("Returns!"&amp;$Z11&amp;"2:"&amp;$Z11&amp;"209")),IF(ISNUMBER(INDIRECT("Returns!"&amp;S$26&amp;"2:"&amp;S$26&amp;"209")),INDIRECT("Returns!"&amp;S$26&amp;"2:"&amp;S$26&amp;"209")))</f>
        <v>0.76140343667023835</v>
      </c>
      <c r="T11" s="46" cm="1">
        <f t="array" aca="1" ref="T11" ca="1">CORREL(IF(ISNUMBER(INDIRECT("Returns!"&amp;$Z11&amp;"2:"&amp;$Z11&amp;"209")),INDIRECT("Returns!"&amp;$Z11&amp;"2:"&amp;$Z11&amp;"209")),IF(ISNUMBER(INDIRECT("Returns!"&amp;T$26&amp;"2:"&amp;T$26&amp;"209")),INDIRECT("Returns!"&amp;T$26&amp;"2:"&amp;T$26&amp;"209")))</f>
        <v>0.44640418066781473</v>
      </c>
      <c r="U11" s="46" cm="1">
        <f t="array" aca="1" ref="U11" ca="1">CORREL(IF(ISNUMBER(INDIRECT("Returns!"&amp;$Z11&amp;"2:"&amp;$Z11&amp;"209")),INDIRECT("Returns!"&amp;$Z11&amp;"2:"&amp;$Z11&amp;"209")),IF(ISNUMBER(INDIRECT("Returns!"&amp;U$26&amp;"2:"&amp;U$26&amp;"209")),INDIRECT("Returns!"&amp;U$26&amp;"2:"&amp;U$26&amp;"209")))</f>
        <v>0.69528697236152215</v>
      </c>
      <c r="V11" s="46" cm="1">
        <f t="array" aca="1" ref="V11" ca="1">CORREL(IF(ISNUMBER(INDIRECT("Returns!"&amp;$Z11&amp;"2:"&amp;$Z11&amp;"209")),INDIRECT("Returns!"&amp;$Z11&amp;"2:"&amp;$Z11&amp;"209")),IF(ISNUMBER(INDIRECT("Returns!"&amp;V$26&amp;"2:"&amp;V$26&amp;"209")),INDIRECT("Returns!"&amp;V$26&amp;"2:"&amp;V$26&amp;"209")))</f>
        <v>2.7078233029462582E-2</v>
      </c>
      <c r="W11" s="46" cm="1">
        <f t="array" aca="1" ref="W11" ca="1">CORREL(IF(ISNUMBER(INDIRECT("Returns!"&amp;$Z11&amp;"2:"&amp;$Z11&amp;"209")),INDIRECT("Returns!"&amp;$Z11&amp;"2:"&amp;$Z11&amp;"209")),IF(ISNUMBER(INDIRECT("Returns!"&amp;W$26&amp;"2:"&amp;W$26&amp;"209")),INDIRECT("Returns!"&amp;W$26&amp;"2:"&amp;W$26&amp;"209")))</f>
        <v>9.4711380410526555E-2</v>
      </c>
      <c r="Y11" s="18"/>
      <c r="Z11" t="s">
        <v>154</v>
      </c>
    </row>
    <row r="12" spans="2:26" ht="24" customHeight="1" x14ac:dyDescent="0.35">
      <c r="B12" s="41" t="s">
        <v>103</v>
      </c>
      <c r="C12" s="46" cm="1">
        <f t="array" aca="1" ref="C12" ca="1">CORREL(IF(ISNUMBER(INDIRECT("Returns!"&amp;$Z12&amp;"2:"&amp;$Z12&amp;"209")),INDIRECT("Returns!"&amp;$Z12&amp;"2:"&amp;$Z12&amp;"209")),IF(ISNUMBER(INDIRECT("Returns!"&amp;C$26&amp;"2:"&amp;C$26&amp;"209")),INDIRECT("Returns!"&amp;C$26&amp;"2:"&amp;C$26&amp;"209")))</f>
        <v>8.4808861642339056E-2</v>
      </c>
      <c r="D12" s="46" cm="1">
        <f t="array" aca="1" ref="D12" ca="1">CORREL(IF(ISNUMBER(INDIRECT("Returns!"&amp;$Z12&amp;"2:"&amp;$Z12&amp;"209")),INDIRECT("Returns!"&amp;$Z12&amp;"2:"&amp;$Z12&amp;"209")),IF(ISNUMBER(INDIRECT("Returns!"&amp;D$26&amp;"2:"&amp;D$26&amp;"209")),INDIRECT("Returns!"&amp;D$26&amp;"2:"&amp;D$26&amp;"209")))</f>
        <v>0.11709691074081402</v>
      </c>
      <c r="E12" s="46" cm="1">
        <f t="array" aca="1" ref="E12" ca="1">CORREL(IF(ISNUMBER(INDIRECT("Returns!"&amp;$Z12&amp;"2:"&amp;$Z12&amp;"209")),INDIRECT("Returns!"&amp;$Z12&amp;"2:"&amp;$Z12&amp;"209")),IF(ISNUMBER(INDIRECT("Returns!"&amp;E$26&amp;"2:"&amp;E$26&amp;"209")),INDIRECT("Returns!"&amp;E$26&amp;"2:"&amp;E$26&amp;"209")))</f>
        <v>0.52882249616665766</v>
      </c>
      <c r="F12" s="46" cm="1">
        <f t="array" aca="1" ref="F12" ca="1">CORREL(IF(ISNUMBER(INDIRECT("Returns!"&amp;$Z12&amp;"2:"&amp;$Z12&amp;"209")),INDIRECT("Returns!"&amp;$Z12&amp;"2:"&amp;$Z12&amp;"209")),IF(ISNUMBER(INDIRECT("Returns!"&amp;F$26&amp;"2:"&amp;F$26&amp;"209")),INDIRECT("Returns!"&amp;F$26&amp;"2:"&amp;F$26&amp;"209")))</f>
        <v>0.27448173024466888</v>
      </c>
      <c r="G12" s="46" cm="1">
        <f t="array" aca="1" ref="G12" ca="1">CORREL(IF(ISNUMBER(INDIRECT("Returns!"&amp;$Z12&amp;"2:"&amp;$Z12&amp;"209")),INDIRECT("Returns!"&amp;$Z12&amp;"2:"&amp;$Z12&amp;"209")),IF(ISNUMBER(INDIRECT("Returns!"&amp;G$26&amp;"2:"&amp;G$26&amp;"209")),INDIRECT("Returns!"&amp;G$26&amp;"2:"&amp;G$26&amp;"209")))</f>
        <v>0.28065935178459261</v>
      </c>
      <c r="H12" s="46" cm="1">
        <f t="array" aca="1" ref="H12" ca="1">CORREL(IF(ISNUMBER(INDIRECT("Returns!"&amp;$Z12&amp;"2:"&amp;$Z12&amp;"209")),INDIRECT("Returns!"&amp;$Z12&amp;"2:"&amp;$Z12&amp;"209")),IF(ISNUMBER(INDIRECT("Returns!"&amp;H$26&amp;"2:"&amp;H$26&amp;"209")),INDIRECT("Returns!"&amp;H$26&amp;"2:"&amp;H$26&amp;"209")))</f>
        <v>0.59538778028370754</v>
      </c>
      <c r="I12" s="46" cm="1">
        <f t="array" aca="1" ref="I12" ca="1">CORREL(IF(ISNUMBER(INDIRECT("Returns!"&amp;$Z12&amp;"2:"&amp;$Z12&amp;"209")),INDIRECT("Returns!"&amp;$Z12&amp;"2:"&amp;$Z12&amp;"209")),IF(ISNUMBER(INDIRECT("Returns!"&amp;I$26&amp;"2:"&amp;I$26&amp;"209")),INDIRECT("Returns!"&amp;I$26&amp;"2:"&amp;I$26&amp;"209")))</f>
        <v>0.70782396346374044</v>
      </c>
      <c r="J12" s="46" cm="1">
        <f t="array" aca="1" ref="J12" ca="1">CORREL(IF(ISNUMBER(INDIRECT("Returns!"&amp;$Z12&amp;"2:"&amp;$Z12&amp;"209")),INDIRECT("Returns!"&amp;$Z12&amp;"2:"&amp;$Z12&amp;"209")),IF(ISNUMBER(INDIRECT("Returns!"&amp;J$26&amp;"2:"&amp;J$26&amp;"209")),INDIRECT("Returns!"&amp;J$26&amp;"2:"&amp;J$26&amp;"209")))</f>
        <v>0.83382374090714895</v>
      </c>
      <c r="K12" s="46" cm="1">
        <f t="array" aca="1" ref="K12" ca="1">CORREL(IF(ISNUMBER(INDIRECT("Returns!"&amp;$Z12&amp;"2:"&amp;$Z12&amp;"209")),INDIRECT("Returns!"&amp;$Z12&amp;"2:"&amp;$Z12&amp;"209")),IF(ISNUMBER(INDIRECT("Returns!"&amp;K$26&amp;"2:"&amp;K$26&amp;"209")),INDIRECT("Returns!"&amp;K$26&amp;"2:"&amp;K$26&amp;"209")))</f>
        <v>0.9471540911594043</v>
      </c>
      <c r="L12" s="46" cm="1">
        <f t="array" aca="1" ref="L12" ca="1">CORREL(IF(ISNUMBER(INDIRECT("Returns!"&amp;$Z12&amp;"2:"&amp;$Z12&amp;"209")),INDIRECT("Returns!"&amp;$Z12&amp;"2:"&amp;$Z12&amp;"209")),IF(ISNUMBER(INDIRECT("Returns!"&amp;L$26&amp;"2:"&amp;L$26&amp;"209")),INDIRECT("Returns!"&amp;L$26&amp;"2:"&amp;L$26&amp;"209")))</f>
        <v>1.0000000000000002</v>
      </c>
      <c r="M12" s="46" cm="1">
        <f t="array" aca="1" ref="M12" ca="1">CORREL(IF(ISNUMBER(INDIRECT("Returns!"&amp;$Z12&amp;"2:"&amp;$Z12&amp;"209")),INDIRECT("Returns!"&amp;$Z12&amp;"2:"&amp;$Z12&amp;"209")),IF(ISNUMBER(INDIRECT("Returns!"&amp;M$26&amp;"2:"&amp;M$26&amp;"209")),INDIRECT("Returns!"&amp;M$26&amp;"2:"&amp;M$26&amp;"209")))</f>
        <v>0.80371501712555138</v>
      </c>
      <c r="N12" s="46" cm="1">
        <f t="array" aca="1" ref="N12" ca="1">CORREL(IF(ISNUMBER(INDIRECT("Returns!"&amp;$Z12&amp;"2:"&amp;$Z12&amp;"209")),INDIRECT("Returns!"&amp;$Z12&amp;"2:"&amp;$Z12&amp;"209")),IF(ISNUMBER(INDIRECT("Returns!"&amp;N$26&amp;"2:"&amp;N$26&amp;"209")),INDIRECT("Returns!"&amp;N$26&amp;"2:"&amp;N$26&amp;"209")))</f>
        <v>0.35388858318916772</v>
      </c>
      <c r="O12" s="46" cm="1">
        <f t="array" aca="1" ref="O12" ca="1">CORREL(IF(ISNUMBER(INDIRECT("Returns!"&amp;$Z12&amp;"2:"&amp;$Z12&amp;"209")),INDIRECT("Returns!"&amp;$Z12&amp;"2:"&amp;$Z12&amp;"209")),IF(ISNUMBER(INDIRECT("Returns!"&amp;O$26&amp;"2:"&amp;O$26&amp;"209")),INDIRECT("Returns!"&amp;O$26&amp;"2:"&amp;O$26&amp;"209")))</f>
        <v>0.65646152422726922</v>
      </c>
      <c r="P12" s="46" cm="1">
        <f t="array" aca="1" ref="P12" ca="1">CORREL(IF(ISNUMBER(INDIRECT("Returns!"&amp;$Z12&amp;"2:"&amp;$Z12&amp;"209")),INDIRECT("Returns!"&amp;$Z12&amp;"2:"&amp;$Z12&amp;"209")),IF(ISNUMBER(INDIRECT("Returns!"&amp;P$26&amp;"2:"&amp;P$26&amp;"209")),INDIRECT("Returns!"&amp;P$26&amp;"2:"&amp;P$26&amp;"209")))</f>
        <v>0.60453355309860057</v>
      </c>
      <c r="Q12" s="46" cm="1">
        <f t="array" aca="1" ref="Q12" ca="1">CORREL(IF(ISNUMBER(INDIRECT("Returns!"&amp;$Z12&amp;"2:"&amp;$Z12&amp;"209")),INDIRECT("Returns!"&amp;$Z12&amp;"2:"&amp;$Z12&amp;"209")),IF(ISNUMBER(INDIRECT("Returns!"&amp;Q$26&amp;"2:"&amp;Q$26&amp;"209")),INDIRECT("Returns!"&amp;Q$26&amp;"2:"&amp;Q$26&amp;"209")))</f>
        <v>0.53560781787071021</v>
      </c>
      <c r="R12" s="46" cm="1">
        <f t="array" aca="1" ref="R12" ca="1">CORREL(IF(ISNUMBER(INDIRECT("Returns!"&amp;$Z12&amp;"2:"&amp;$Z12&amp;"209")),INDIRECT("Returns!"&amp;$Z12&amp;"2:"&amp;$Z12&amp;"209")),IF(ISNUMBER(INDIRECT("Returns!"&amp;R$26&amp;"2:"&amp;R$26&amp;"209")),INDIRECT("Returns!"&amp;R$26&amp;"2:"&amp;R$26&amp;"209")))</f>
        <v>0.51164522550893687</v>
      </c>
      <c r="S12" s="46" cm="1">
        <f t="array" aca="1" ref="S12" ca="1">CORREL(IF(ISNUMBER(INDIRECT("Returns!"&amp;$Z12&amp;"2:"&amp;$Z12&amp;"209")),INDIRECT("Returns!"&amp;$Z12&amp;"2:"&amp;$Z12&amp;"209")),IF(ISNUMBER(INDIRECT("Returns!"&amp;S$26&amp;"2:"&amp;S$26&amp;"209")),INDIRECT("Returns!"&amp;S$26&amp;"2:"&amp;S$26&amp;"209")))</f>
        <v>0.70439489157173885</v>
      </c>
      <c r="T12" s="46" cm="1">
        <f t="array" aca="1" ref="T12" ca="1">CORREL(IF(ISNUMBER(INDIRECT("Returns!"&amp;$Z12&amp;"2:"&amp;$Z12&amp;"209")),INDIRECT("Returns!"&amp;$Z12&amp;"2:"&amp;$Z12&amp;"209")),IF(ISNUMBER(INDIRECT("Returns!"&amp;T$26&amp;"2:"&amp;T$26&amp;"209")),INDIRECT("Returns!"&amp;T$26&amp;"2:"&amp;T$26&amp;"209")))</f>
        <v>0.50241200899212712</v>
      </c>
      <c r="U12" s="46" cm="1">
        <f t="array" aca="1" ref="U12" ca="1">CORREL(IF(ISNUMBER(INDIRECT("Returns!"&amp;$Z12&amp;"2:"&amp;$Z12&amp;"209")),INDIRECT("Returns!"&amp;$Z12&amp;"2:"&amp;$Z12&amp;"209")),IF(ISNUMBER(INDIRECT("Returns!"&amp;U$26&amp;"2:"&amp;U$26&amp;"209")),INDIRECT("Returns!"&amp;U$26&amp;"2:"&amp;U$26&amp;"209")))</f>
        <v>0.66738008145678474</v>
      </c>
      <c r="V12" s="46" cm="1">
        <f t="array" aca="1" ref="V12" ca="1">CORREL(IF(ISNUMBER(INDIRECT("Returns!"&amp;$Z12&amp;"2:"&amp;$Z12&amp;"209")),INDIRECT("Returns!"&amp;$Z12&amp;"2:"&amp;$Z12&amp;"209")),IF(ISNUMBER(INDIRECT("Returns!"&amp;V$26&amp;"2:"&amp;V$26&amp;"209")),INDIRECT("Returns!"&amp;V$26&amp;"2:"&amp;V$26&amp;"209")))</f>
        <v>3.9790106933282013E-2</v>
      </c>
      <c r="W12" s="46" cm="1">
        <f t="array" aca="1" ref="W12" ca="1">CORREL(IF(ISNUMBER(INDIRECT("Returns!"&amp;$Z12&amp;"2:"&amp;$Z12&amp;"209")),INDIRECT("Returns!"&amp;$Z12&amp;"2:"&amp;$Z12&amp;"209")),IF(ISNUMBER(INDIRECT("Returns!"&amp;W$26&amp;"2:"&amp;W$26&amp;"209")),INDIRECT("Returns!"&amp;W$26&amp;"2:"&amp;W$26&amp;"209")))</f>
        <v>9.2215032649488618E-2</v>
      </c>
      <c r="Y12" s="18"/>
      <c r="Z12" t="s">
        <v>155</v>
      </c>
    </row>
    <row r="13" spans="2:26" ht="24" customHeight="1" x14ac:dyDescent="0.35">
      <c r="B13" s="41" t="s">
        <v>104</v>
      </c>
      <c r="C13" s="46" cm="1">
        <f t="array" aca="1" ref="C13" ca="1">CORREL(IF(ISNUMBER(INDIRECT("Returns!"&amp;$Z13&amp;"2:"&amp;$Z13&amp;"209")),INDIRECT("Returns!"&amp;$Z13&amp;"2:"&amp;$Z13&amp;"209")),IF(ISNUMBER(INDIRECT("Returns!"&amp;C$26&amp;"2:"&amp;C$26&amp;"209")),INDIRECT("Returns!"&amp;C$26&amp;"2:"&amp;C$26&amp;"209")))</f>
        <v>0.67768722450278196</v>
      </c>
      <c r="D13" s="46" cm="1">
        <f t="array" aca="1" ref="D13" ca="1">CORREL(IF(ISNUMBER(INDIRECT("Returns!"&amp;$Z13&amp;"2:"&amp;$Z13&amp;"209")),INDIRECT("Returns!"&amp;$Z13&amp;"2:"&amp;$Z13&amp;"209")),IF(ISNUMBER(INDIRECT("Returns!"&amp;D$26&amp;"2:"&amp;D$26&amp;"209")),INDIRECT("Returns!"&amp;D$26&amp;"2:"&amp;D$26&amp;"209")))</f>
        <v>0.67450146264689259</v>
      </c>
      <c r="E13" s="46" cm="1">
        <f t="array" aca="1" ref="E13" ca="1">CORREL(IF(ISNUMBER(INDIRECT("Returns!"&amp;$Z13&amp;"2:"&amp;$Z13&amp;"209")),INDIRECT("Returns!"&amp;$Z13&amp;"2:"&amp;$Z13&amp;"209")),IF(ISNUMBER(INDIRECT("Returns!"&amp;E$26&amp;"2:"&amp;E$26&amp;"209")),INDIRECT("Returns!"&amp;E$26&amp;"2:"&amp;E$26&amp;"209")))</f>
        <v>0.8091462527848422</v>
      </c>
      <c r="F13" s="46" cm="1">
        <f t="array" aca="1" ref="F13" ca="1">CORREL(IF(ISNUMBER(INDIRECT("Returns!"&amp;$Z13&amp;"2:"&amp;$Z13&amp;"209")),INDIRECT("Returns!"&amp;$Z13&amp;"2:"&amp;$Z13&amp;"209")),IF(ISNUMBER(INDIRECT("Returns!"&amp;F$26&amp;"2:"&amp;F$26&amp;"209")),INDIRECT("Returns!"&amp;F$26&amp;"2:"&amp;F$26&amp;"209")))</f>
        <v>0.85465533611552413</v>
      </c>
      <c r="G13" s="46" cm="1">
        <f t="array" aca="1" ref="G13" ca="1">CORREL(IF(ISNUMBER(INDIRECT("Returns!"&amp;$Z13&amp;"2:"&amp;$Z13&amp;"209")),INDIRECT("Returns!"&amp;$Z13&amp;"2:"&amp;$Z13&amp;"209")),IF(ISNUMBER(INDIRECT("Returns!"&amp;G$26&amp;"2:"&amp;G$26&amp;"209")),INDIRECT("Returns!"&amp;G$26&amp;"2:"&amp;G$26&amp;"209")))</f>
        <v>0.75803647705710009</v>
      </c>
      <c r="H13" s="46" cm="1">
        <f t="array" aca="1" ref="H13" ca="1">CORREL(IF(ISNUMBER(INDIRECT("Returns!"&amp;$Z13&amp;"2:"&amp;$Z13&amp;"209")),INDIRECT("Returns!"&amp;$Z13&amp;"2:"&amp;$Z13&amp;"209")),IF(ISNUMBER(INDIRECT("Returns!"&amp;H$26&amp;"2:"&amp;H$26&amp;"209")),INDIRECT("Returns!"&amp;H$26&amp;"2:"&amp;H$26&amp;"209")))</f>
        <v>0.91308658366845963</v>
      </c>
      <c r="I13" s="46" cm="1">
        <f t="array" aca="1" ref="I13" ca="1">CORREL(IF(ISNUMBER(INDIRECT("Returns!"&amp;$Z13&amp;"2:"&amp;$Z13&amp;"209")),INDIRECT("Returns!"&amp;$Z13&amp;"2:"&amp;$Z13&amp;"209")),IF(ISNUMBER(INDIRECT("Returns!"&amp;I$26&amp;"2:"&amp;I$26&amp;"209")),INDIRECT("Returns!"&amp;I$26&amp;"2:"&amp;I$26&amp;"209")))</f>
        <v>0.94026893977930592</v>
      </c>
      <c r="J13" s="46" cm="1">
        <f t="array" aca="1" ref="J13" ca="1">CORREL(IF(ISNUMBER(INDIRECT("Returns!"&amp;$Z13&amp;"2:"&amp;$Z13&amp;"209")),INDIRECT("Returns!"&amp;$Z13&amp;"2:"&amp;$Z13&amp;"209")),IF(ISNUMBER(INDIRECT("Returns!"&amp;J$26&amp;"2:"&amp;J$26&amp;"209")),INDIRECT("Returns!"&amp;J$26&amp;"2:"&amp;J$26&amp;"209")))</f>
        <v>0.95428059263001386</v>
      </c>
      <c r="K13" s="46" cm="1">
        <f t="array" aca="1" ref="K13" ca="1">CORREL(IF(ISNUMBER(INDIRECT("Returns!"&amp;$Z13&amp;"2:"&amp;$Z13&amp;"209")),INDIRECT("Returns!"&amp;$Z13&amp;"2:"&amp;$Z13&amp;"209")),IF(ISNUMBER(INDIRECT("Returns!"&amp;K$26&amp;"2:"&amp;K$26&amp;"209")),INDIRECT("Returns!"&amp;K$26&amp;"2:"&amp;K$26&amp;"209")))</f>
        <v>0.74666541176573054</v>
      </c>
      <c r="L13" s="46" cm="1">
        <f t="array" aca="1" ref="L13" ca="1">CORREL(IF(ISNUMBER(INDIRECT("Returns!"&amp;$Z13&amp;"2:"&amp;$Z13&amp;"209")),INDIRECT("Returns!"&amp;$Z13&amp;"2:"&amp;$Z13&amp;"209")),IF(ISNUMBER(INDIRECT("Returns!"&amp;L$26&amp;"2:"&amp;L$26&amp;"209")),INDIRECT("Returns!"&amp;L$26&amp;"2:"&amp;L$26&amp;"209")))</f>
        <v>0.80371501712555138</v>
      </c>
      <c r="M13" s="46" cm="1">
        <f t="array" aca="1" ref="M13" ca="1">CORREL(IF(ISNUMBER(INDIRECT("Returns!"&amp;$Z13&amp;"2:"&amp;$Z13&amp;"209")),INDIRECT("Returns!"&amp;$Z13&amp;"2:"&amp;$Z13&amp;"209")),IF(ISNUMBER(INDIRECT("Returns!"&amp;M$26&amp;"2:"&amp;M$26&amp;"209")),INDIRECT("Returns!"&amp;M$26&amp;"2:"&amp;M$26&amp;"209")))</f>
        <v>1</v>
      </c>
      <c r="N13" s="46" cm="1">
        <f t="array" aca="1" ref="N13" ca="1">CORREL(IF(ISNUMBER(INDIRECT("Returns!"&amp;$Z13&amp;"2:"&amp;$Z13&amp;"209")),INDIRECT("Returns!"&amp;$Z13&amp;"2:"&amp;$Z13&amp;"209")),IF(ISNUMBER(INDIRECT("Returns!"&amp;N$26&amp;"2:"&amp;N$26&amp;"209")),INDIRECT("Returns!"&amp;N$26&amp;"2:"&amp;N$26&amp;"209")))</f>
        <v>0.7735354208681523</v>
      </c>
      <c r="O13" s="46" cm="1">
        <f t="array" aca="1" ref="O13" ca="1">CORREL(IF(ISNUMBER(INDIRECT("Returns!"&amp;$Z13&amp;"2:"&amp;$Z13&amp;"209")),INDIRECT("Returns!"&amp;$Z13&amp;"2:"&amp;$Z13&amp;"209")),IF(ISNUMBER(INDIRECT("Returns!"&amp;O$26&amp;"2:"&amp;O$26&amp;"209")),INDIRECT("Returns!"&amp;O$26&amp;"2:"&amp;O$26&amp;"209")))</f>
        <v>0.89376293392947115</v>
      </c>
      <c r="P13" s="46" cm="1">
        <f t="array" aca="1" ref="P13" ca="1">CORREL(IF(ISNUMBER(INDIRECT("Returns!"&amp;$Z13&amp;"2:"&amp;$Z13&amp;"209")),INDIRECT("Returns!"&amp;$Z13&amp;"2:"&amp;$Z13&amp;"209")),IF(ISNUMBER(INDIRECT("Returns!"&amp;P$26&amp;"2:"&amp;P$26&amp;"209")),INDIRECT("Returns!"&amp;P$26&amp;"2:"&amp;P$26&amp;"209")))</f>
        <v>0.84084605996199302</v>
      </c>
      <c r="Q13" s="46" cm="1">
        <f t="array" aca="1" ref="Q13" ca="1">CORREL(IF(ISNUMBER(INDIRECT("Returns!"&amp;$Z13&amp;"2:"&amp;$Z13&amp;"209")),INDIRECT("Returns!"&amp;$Z13&amp;"2:"&amp;$Z13&amp;"209")),IF(ISNUMBER(INDIRECT("Returns!"&amp;Q$26&amp;"2:"&amp;Q$26&amp;"209")),INDIRECT("Returns!"&amp;Q$26&amp;"2:"&amp;Q$26&amp;"209")))</f>
        <v>0.44991774792214595</v>
      </c>
      <c r="R13" s="46" cm="1">
        <f t="array" aca="1" ref="R13" ca="1">CORREL(IF(ISNUMBER(INDIRECT("Returns!"&amp;$Z13&amp;"2:"&amp;$Z13&amp;"209")),INDIRECT("Returns!"&amp;$Z13&amp;"2:"&amp;$Z13&amp;"209")),IF(ISNUMBER(INDIRECT("Returns!"&amp;R$26&amp;"2:"&amp;R$26&amp;"209")),INDIRECT("Returns!"&amp;R$26&amp;"2:"&amp;R$26&amp;"209")))</f>
        <v>0.44299791500333735</v>
      </c>
      <c r="S13" s="46" cm="1">
        <f t="array" aca="1" ref="S13" ca="1">CORREL(IF(ISNUMBER(INDIRECT("Returns!"&amp;$Z13&amp;"2:"&amp;$Z13&amp;"209")),INDIRECT("Returns!"&amp;$Z13&amp;"2:"&amp;$Z13&amp;"209")),IF(ISNUMBER(INDIRECT("Returns!"&amp;S$26&amp;"2:"&amp;S$26&amp;"209")),INDIRECT("Returns!"&amp;S$26&amp;"2:"&amp;S$26&amp;"209")))</f>
        <v>0.53972543440513299</v>
      </c>
      <c r="T13" s="46" cm="1">
        <f t="array" aca="1" ref="T13" ca="1">CORREL(IF(ISNUMBER(INDIRECT("Returns!"&amp;$Z13&amp;"2:"&amp;$Z13&amp;"209")),INDIRECT("Returns!"&amp;$Z13&amp;"2:"&amp;$Z13&amp;"209")),IF(ISNUMBER(INDIRECT("Returns!"&amp;T$26&amp;"2:"&amp;T$26&amp;"209")),INDIRECT("Returns!"&amp;T$26&amp;"2:"&amp;T$26&amp;"209")))</f>
        <v>0.73318321423521338</v>
      </c>
      <c r="U13" s="46" cm="1">
        <f t="array" aca="1" ref="U13" ca="1">CORREL(IF(ISNUMBER(INDIRECT("Returns!"&amp;$Z13&amp;"2:"&amp;$Z13&amp;"209")),INDIRECT("Returns!"&amp;$Z13&amp;"2:"&amp;$Z13&amp;"209")),IF(ISNUMBER(INDIRECT("Returns!"&amp;U$26&amp;"2:"&amp;U$26&amp;"209")),INDIRECT("Returns!"&amp;U$26&amp;"2:"&amp;U$26&amp;"209")))</f>
        <v>0.89890335190438508</v>
      </c>
      <c r="V13" s="46" cm="1">
        <f t="array" aca="1" ref="V13" ca="1">CORREL(IF(ISNUMBER(INDIRECT("Returns!"&amp;$Z13&amp;"2:"&amp;$Z13&amp;"209")),INDIRECT("Returns!"&amp;$Z13&amp;"2:"&amp;$Z13&amp;"209")),IF(ISNUMBER(INDIRECT("Returns!"&amp;V$26&amp;"2:"&amp;V$26&amp;"209")),INDIRECT("Returns!"&amp;V$26&amp;"2:"&amp;V$26&amp;"209")))</f>
        <v>-7.6862678694430892E-2</v>
      </c>
      <c r="W13" s="46" cm="1">
        <f t="array" aca="1" ref="W13" ca="1">CORREL(IF(ISNUMBER(INDIRECT("Returns!"&amp;$Z13&amp;"2:"&amp;$Z13&amp;"209")),INDIRECT("Returns!"&amp;$Z13&amp;"2:"&amp;$Z13&amp;"209")),IF(ISNUMBER(INDIRECT("Returns!"&amp;W$26&amp;"2:"&amp;W$26&amp;"209")),INDIRECT("Returns!"&amp;W$26&amp;"2:"&amp;W$26&amp;"209")))</f>
        <v>-0.12385075747097224</v>
      </c>
      <c r="Y13" s="18"/>
      <c r="Z13" t="s">
        <v>156</v>
      </c>
    </row>
    <row r="14" spans="2:26" ht="24" customHeight="1" x14ac:dyDescent="0.35">
      <c r="B14" s="41" t="s">
        <v>91</v>
      </c>
      <c r="C14" s="46" cm="1">
        <f t="array" aca="1" ref="C14" ca="1">CORREL(IF(ISNUMBER(INDIRECT("Returns!"&amp;$Z14&amp;"2:"&amp;$Z14&amp;"209")),INDIRECT("Returns!"&amp;$Z14&amp;"2:"&amp;$Z14&amp;"209")),IF(ISNUMBER(INDIRECT("Returns!"&amp;C$26&amp;"2:"&amp;C$26&amp;"209")),INDIRECT("Returns!"&amp;C$26&amp;"2:"&amp;C$26&amp;"209")))</f>
        <v>0.83263230934956112</v>
      </c>
      <c r="D14" s="46" cm="1">
        <f t="array" aca="1" ref="D14" ca="1">CORREL(IF(ISNUMBER(INDIRECT("Returns!"&amp;$Z14&amp;"2:"&amp;$Z14&amp;"209")),INDIRECT("Returns!"&amp;$Z14&amp;"2:"&amp;$Z14&amp;"209")),IF(ISNUMBER(INDIRECT("Returns!"&amp;D$26&amp;"2:"&amp;D$26&amp;"209")),INDIRECT("Returns!"&amp;D$26&amp;"2:"&amp;D$26&amp;"209")))</f>
        <v>0.75506294328036272</v>
      </c>
      <c r="E14" s="46" cm="1">
        <f t="array" aca="1" ref="E14" ca="1">CORREL(IF(ISNUMBER(INDIRECT("Returns!"&amp;$Z14&amp;"2:"&amp;$Z14&amp;"209")),INDIRECT("Returns!"&amp;$Z14&amp;"2:"&amp;$Z14&amp;"209")),IF(ISNUMBER(INDIRECT("Returns!"&amp;E$26&amp;"2:"&amp;E$26&amp;"209")),INDIRECT("Returns!"&amp;E$26&amp;"2:"&amp;E$26&amp;"209")))</f>
        <v>0.67873358463445033</v>
      </c>
      <c r="F14" s="46" cm="1">
        <f t="array" aca="1" ref="F14" ca="1">CORREL(IF(ISNUMBER(INDIRECT("Returns!"&amp;$Z14&amp;"2:"&amp;$Z14&amp;"209")),INDIRECT("Returns!"&amp;$Z14&amp;"2:"&amp;$Z14&amp;"209")),IF(ISNUMBER(INDIRECT("Returns!"&amp;F$26&amp;"2:"&amp;F$26&amp;"209")),INDIRECT("Returns!"&amp;F$26&amp;"2:"&amp;F$26&amp;"209")))</f>
        <v>0.75600855533367783</v>
      </c>
      <c r="G14" s="46" cm="1">
        <f t="array" aca="1" ref="G14" ca="1">CORREL(IF(ISNUMBER(INDIRECT("Returns!"&amp;$Z14&amp;"2:"&amp;$Z14&amp;"209")),INDIRECT("Returns!"&amp;$Z14&amp;"2:"&amp;$Z14&amp;"209")),IF(ISNUMBER(INDIRECT("Returns!"&amp;G$26&amp;"2:"&amp;G$26&amp;"209")),INDIRECT("Returns!"&amp;G$26&amp;"2:"&amp;G$26&amp;"209")))</f>
        <v>0.90911204405739965</v>
      </c>
      <c r="H14" s="46" cm="1">
        <f t="array" aca="1" ref="H14" ca="1">CORREL(IF(ISNUMBER(INDIRECT("Returns!"&amp;$Z14&amp;"2:"&amp;$Z14&amp;"209")),INDIRECT("Returns!"&amp;$Z14&amp;"2:"&amp;$Z14&amp;"209")),IF(ISNUMBER(INDIRECT("Returns!"&amp;H$26&amp;"2:"&amp;H$26&amp;"209")),INDIRECT("Returns!"&amp;H$26&amp;"2:"&amp;H$26&amp;"209")))</f>
        <v>0.80232642134461785</v>
      </c>
      <c r="I14" s="46" cm="1">
        <f t="array" aca="1" ref="I14" ca="1">CORREL(IF(ISNUMBER(INDIRECT("Returns!"&amp;$Z14&amp;"2:"&amp;$Z14&amp;"209")),INDIRECT("Returns!"&amp;$Z14&amp;"2:"&amp;$Z14&amp;"209")),IF(ISNUMBER(INDIRECT("Returns!"&amp;I$26&amp;"2:"&amp;I$26&amp;"209")),INDIRECT("Returns!"&amp;I$26&amp;"2:"&amp;I$26&amp;"209")))</f>
        <v>0.71187007538823699</v>
      </c>
      <c r="J14" s="46" cm="1">
        <f t="array" aca="1" ref="J14" ca="1">CORREL(IF(ISNUMBER(INDIRECT("Returns!"&amp;$Z14&amp;"2:"&amp;$Z14&amp;"209")),INDIRECT("Returns!"&amp;$Z14&amp;"2:"&amp;$Z14&amp;"209")),IF(ISNUMBER(INDIRECT("Returns!"&amp;J$26&amp;"2:"&amp;J$26&amp;"209")),INDIRECT("Returns!"&amp;J$26&amp;"2:"&amp;J$26&amp;"209")))</f>
        <v>0.64890964918071692</v>
      </c>
      <c r="K14" s="46" cm="1">
        <f t="array" aca="1" ref="K14" ca="1">CORREL(IF(ISNUMBER(INDIRECT("Returns!"&amp;$Z14&amp;"2:"&amp;$Z14&amp;"209")),INDIRECT("Returns!"&amp;$Z14&amp;"2:"&amp;$Z14&amp;"209")),IF(ISNUMBER(INDIRECT("Returns!"&amp;K$26&amp;"2:"&amp;K$26&amp;"209")),INDIRECT("Returns!"&amp;K$26&amp;"2:"&amp;K$26&amp;"209")))</f>
        <v>0.25037275843302786</v>
      </c>
      <c r="L14" s="46" cm="1">
        <f t="array" aca="1" ref="L14" ca="1">CORREL(IF(ISNUMBER(INDIRECT("Returns!"&amp;$Z14&amp;"2:"&amp;$Z14&amp;"209")),INDIRECT("Returns!"&amp;$Z14&amp;"2:"&amp;$Z14&amp;"209")),IF(ISNUMBER(INDIRECT("Returns!"&amp;L$26&amp;"2:"&amp;L$26&amp;"209")),INDIRECT("Returns!"&amp;L$26&amp;"2:"&amp;L$26&amp;"209")))</f>
        <v>0.35388858318916772</v>
      </c>
      <c r="M14" s="46" cm="1">
        <f t="array" aca="1" ref="M14" ca="1">CORREL(IF(ISNUMBER(INDIRECT("Returns!"&amp;$Z14&amp;"2:"&amp;$Z14&amp;"209")),INDIRECT("Returns!"&amp;$Z14&amp;"2:"&amp;$Z14&amp;"209")),IF(ISNUMBER(INDIRECT("Returns!"&amp;M$26&amp;"2:"&amp;M$26&amp;"209")),INDIRECT("Returns!"&amp;M$26&amp;"2:"&amp;M$26&amp;"209")))</f>
        <v>0.7735354208681523</v>
      </c>
      <c r="N14" s="46" cm="1">
        <f t="array" aca="1" ref="N14" ca="1">CORREL(IF(ISNUMBER(INDIRECT("Returns!"&amp;$Z14&amp;"2:"&amp;$Z14&amp;"209")),INDIRECT("Returns!"&amp;$Z14&amp;"2:"&amp;$Z14&amp;"209")),IF(ISNUMBER(INDIRECT("Returns!"&amp;N$26&amp;"2:"&amp;N$26&amp;"209")),INDIRECT("Returns!"&amp;N$26&amp;"2:"&amp;N$26&amp;"209")))</f>
        <v>1</v>
      </c>
      <c r="O14" s="46" cm="1">
        <f t="array" aca="1" ref="O14" ca="1">CORREL(IF(ISNUMBER(INDIRECT("Returns!"&amp;$Z14&amp;"2:"&amp;$Z14&amp;"209")),INDIRECT("Returns!"&amp;$Z14&amp;"2:"&amp;$Z14&amp;"209")),IF(ISNUMBER(INDIRECT("Returns!"&amp;O$26&amp;"2:"&amp;O$26&amp;"209")),INDIRECT("Returns!"&amp;O$26&amp;"2:"&amp;O$26&amp;"209")))</f>
        <v>0.3012313492649773</v>
      </c>
      <c r="P14" s="46" cm="1">
        <f t="array" aca="1" ref="P14" ca="1">CORREL(IF(ISNUMBER(INDIRECT("Returns!"&amp;$Z14&amp;"2:"&amp;$Z14&amp;"209")),INDIRECT("Returns!"&amp;$Z14&amp;"2:"&amp;$Z14&amp;"209")),IF(ISNUMBER(INDIRECT("Returns!"&amp;P$26&amp;"2:"&amp;P$26&amp;"209")),INDIRECT("Returns!"&amp;P$26&amp;"2:"&amp;P$26&amp;"209")))</f>
        <v>0.43212398235670935</v>
      </c>
      <c r="Q14" s="46" cm="1">
        <f t="array" aca="1" ref="Q14" ca="1">CORREL(IF(ISNUMBER(INDIRECT("Returns!"&amp;$Z14&amp;"2:"&amp;$Z14&amp;"209")),INDIRECT("Returns!"&amp;$Z14&amp;"2:"&amp;$Z14&amp;"209")),IF(ISNUMBER(INDIRECT("Returns!"&amp;Q$26&amp;"2:"&amp;Q$26&amp;"209")),INDIRECT("Returns!"&amp;Q$26&amp;"2:"&amp;Q$26&amp;"209")))</f>
        <v>0.24770578119783285</v>
      </c>
      <c r="R14" s="46" cm="1">
        <f t="array" aca="1" ref="R14" ca="1">CORREL(IF(ISNUMBER(INDIRECT("Returns!"&amp;$Z14&amp;"2:"&amp;$Z14&amp;"209")),INDIRECT("Returns!"&amp;$Z14&amp;"2:"&amp;$Z14&amp;"209")),IF(ISNUMBER(INDIRECT("Returns!"&amp;R$26&amp;"2:"&amp;R$26&amp;"209")),INDIRECT("Returns!"&amp;R$26&amp;"2:"&amp;R$26&amp;"209")))</f>
        <v>0.21562029061094584</v>
      </c>
      <c r="S14" s="46" cm="1">
        <f t="array" aca="1" ref="S14" ca="1">CORREL(IF(ISNUMBER(INDIRECT("Returns!"&amp;$Z14&amp;"2:"&amp;$Z14&amp;"209")),INDIRECT("Returns!"&amp;$Z14&amp;"2:"&amp;$Z14&amp;"209")),IF(ISNUMBER(INDIRECT("Returns!"&amp;S$26&amp;"2:"&amp;S$26&amp;"209")),INDIRECT("Returns!"&amp;S$26&amp;"2:"&amp;S$26&amp;"209")))</f>
        <v>4.3648046096331002E-2</v>
      </c>
      <c r="T14" s="46" cm="1">
        <f t="array" aca="1" ref="T14" ca="1">CORREL(IF(ISNUMBER(INDIRECT("Returns!"&amp;$Z14&amp;"2:"&amp;$Z14&amp;"209")),INDIRECT("Returns!"&amp;$Z14&amp;"2:"&amp;$Z14&amp;"209")),IF(ISNUMBER(INDIRECT("Returns!"&amp;T$26&amp;"2:"&amp;T$26&amp;"209")),INDIRECT("Returns!"&amp;T$26&amp;"2:"&amp;T$26&amp;"209")))</f>
        <v>0.97407626682044379</v>
      </c>
      <c r="U14" s="46" cm="1">
        <f t="array" aca="1" ref="U14" ca="1">CORREL(IF(ISNUMBER(INDIRECT("Returns!"&amp;$Z14&amp;"2:"&amp;$Z14&amp;"209")),INDIRECT("Returns!"&amp;$Z14&amp;"2:"&amp;$Z14&amp;"209")),IF(ISNUMBER(INDIRECT("Returns!"&amp;U$26&amp;"2:"&amp;U$26&amp;"209")),INDIRECT("Returns!"&amp;U$26&amp;"2:"&amp;U$26&amp;"209")))</f>
        <v>0.29675871781879065</v>
      </c>
      <c r="V14" s="46" cm="1">
        <f t="array" aca="1" ref="V14" ca="1">CORREL(IF(ISNUMBER(INDIRECT("Returns!"&amp;$Z14&amp;"2:"&amp;$Z14&amp;"209")),INDIRECT("Returns!"&amp;$Z14&amp;"2:"&amp;$Z14&amp;"209")),IF(ISNUMBER(INDIRECT("Returns!"&amp;V$26&amp;"2:"&amp;V$26&amp;"209")),INDIRECT("Returns!"&amp;V$26&amp;"2:"&amp;V$26&amp;"209")))</f>
        <v>-4.336504447688256E-2</v>
      </c>
      <c r="W14" s="46" cm="1">
        <f t="array" aca="1" ref="W14" ca="1">CORREL(IF(ISNUMBER(INDIRECT("Returns!"&amp;$Z14&amp;"2:"&amp;$Z14&amp;"209")),INDIRECT("Returns!"&amp;$Z14&amp;"2:"&amp;$Z14&amp;"209")),IF(ISNUMBER(INDIRECT("Returns!"&amp;W$26&amp;"2:"&amp;W$26&amp;"209")),INDIRECT("Returns!"&amp;W$26&amp;"2:"&amp;W$26&amp;"209")))</f>
        <v>1.1248762267049031E-2</v>
      </c>
      <c r="Y14" s="18"/>
      <c r="Z14" t="s">
        <v>157</v>
      </c>
    </row>
    <row r="15" spans="2:26" ht="24" customHeight="1" x14ac:dyDescent="0.35">
      <c r="B15" s="41" t="s">
        <v>105</v>
      </c>
      <c r="C15" s="46" cm="1">
        <f t="array" aca="1" ref="C15" ca="1">CORREL(IF(ISNUMBER(INDIRECT("Returns!"&amp;$Z15&amp;"2:"&amp;$Z15&amp;"209")),INDIRECT("Returns!"&amp;$Z15&amp;"2:"&amp;$Z15&amp;"209")),IF(ISNUMBER(INDIRECT("Returns!"&amp;C$26&amp;"2:"&amp;C$26&amp;"209")),INDIRECT("Returns!"&amp;C$26&amp;"2:"&amp;C$26&amp;"209")))</f>
        <v>0.22017299619994421</v>
      </c>
      <c r="D15" s="46" cm="1">
        <f t="array" aca="1" ref="D15" ca="1">CORREL(IF(ISNUMBER(INDIRECT("Returns!"&amp;$Z15&amp;"2:"&amp;$Z15&amp;"209")),INDIRECT("Returns!"&amp;$Z15&amp;"2:"&amp;$Z15&amp;"209")),IF(ISNUMBER(INDIRECT("Returns!"&amp;D$26&amp;"2:"&amp;D$26&amp;"209")),INDIRECT("Returns!"&amp;D$26&amp;"2:"&amp;D$26&amp;"209")))</f>
        <v>0.24811044191470302</v>
      </c>
      <c r="E15" s="46" cm="1">
        <f t="array" aca="1" ref="E15" ca="1">CORREL(IF(ISNUMBER(INDIRECT("Returns!"&amp;$Z15&amp;"2:"&amp;$Z15&amp;"209")),INDIRECT("Returns!"&amp;$Z15&amp;"2:"&amp;$Z15&amp;"209")),IF(ISNUMBER(INDIRECT("Returns!"&amp;E$26&amp;"2:"&amp;E$26&amp;"209")),INDIRECT("Returns!"&amp;E$26&amp;"2:"&amp;E$26&amp;"209")))</f>
        <v>0.40761972268003444</v>
      </c>
      <c r="F15" s="46" cm="1">
        <f t="array" aca="1" ref="F15" ca="1">CORREL(IF(ISNUMBER(INDIRECT("Returns!"&amp;$Z15&amp;"2:"&amp;$Z15&amp;"209")),INDIRECT("Returns!"&amp;$Z15&amp;"2:"&amp;$Z15&amp;"209")),IF(ISNUMBER(INDIRECT("Returns!"&amp;F$26&amp;"2:"&amp;F$26&amp;"209")),INDIRECT("Returns!"&amp;F$26&amp;"2:"&amp;F$26&amp;"209")))</f>
        <v>0.30760142880957103</v>
      </c>
      <c r="G15" s="46" cm="1">
        <f t="array" aca="1" ref="G15" ca="1">CORREL(IF(ISNUMBER(INDIRECT("Returns!"&amp;$Z15&amp;"2:"&amp;$Z15&amp;"209")),INDIRECT("Returns!"&amp;$Z15&amp;"2:"&amp;$Z15&amp;"209")),IF(ISNUMBER(INDIRECT("Returns!"&amp;G$26&amp;"2:"&amp;G$26&amp;"209")),INDIRECT("Returns!"&amp;G$26&amp;"2:"&amp;G$26&amp;"209")))</f>
        <v>0.38342979791401793</v>
      </c>
      <c r="H15" s="46" cm="1">
        <f t="array" aca="1" ref="H15" ca="1">CORREL(IF(ISNUMBER(INDIRECT("Returns!"&amp;$Z15&amp;"2:"&amp;$Z15&amp;"209")),INDIRECT("Returns!"&amp;$Z15&amp;"2:"&amp;$Z15&amp;"209")),IF(ISNUMBER(INDIRECT("Returns!"&amp;H$26&amp;"2:"&amp;H$26&amp;"209")),INDIRECT("Returns!"&amp;H$26&amp;"2:"&amp;H$26&amp;"209")))</f>
        <v>0.54148870420476602</v>
      </c>
      <c r="I15" s="46" cm="1">
        <f t="array" aca="1" ref="I15" ca="1">CORREL(IF(ISNUMBER(INDIRECT("Returns!"&amp;$Z15&amp;"2:"&amp;$Z15&amp;"209")),INDIRECT("Returns!"&amp;$Z15&amp;"2:"&amp;$Z15&amp;"209")),IF(ISNUMBER(INDIRECT("Returns!"&amp;I$26&amp;"2:"&amp;I$26&amp;"209")),INDIRECT("Returns!"&amp;I$26&amp;"2:"&amp;I$26&amp;"209")))</f>
        <v>0.55868644124794875</v>
      </c>
      <c r="J15" s="46" cm="1">
        <f t="array" aca="1" ref="J15" ca="1">CORREL(IF(ISNUMBER(INDIRECT("Returns!"&amp;$Z15&amp;"2:"&amp;$Z15&amp;"209")),INDIRECT("Returns!"&amp;$Z15&amp;"2:"&amp;$Z15&amp;"209")),IF(ISNUMBER(INDIRECT("Returns!"&amp;J$26&amp;"2:"&amp;J$26&amp;"209")),INDIRECT("Returns!"&amp;J$26&amp;"2:"&amp;J$26&amp;"209")))</f>
        <v>0.56892605090857951</v>
      </c>
      <c r="K15" s="46" cm="1">
        <f t="array" aca="1" ref="K15" ca="1">CORREL(IF(ISNUMBER(INDIRECT("Returns!"&amp;$Z15&amp;"2:"&amp;$Z15&amp;"209")),INDIRECT("Returns!"&amp;$Z15&amp;"2:"&amp;$Z15&amp;"209")),IF(ISNUMBER(INDIRECT("Returns!"&amp;K$26&amp;"2:"&amp;K$26&amp;"209")),INDIRECT("Returns!"&amp;K$26&amp;"2:"&amp;K$26&amp;"209")))</f>
        <v>0.68268975788491038</v>
      </c>
      <c r="L15" s="46" cm="1">
        <f t="array" aca="1" ref="L15" ca="1">CORREL(IF(ISNUMBER(INDIRECT("Returns!"&amp;$Z15&amp;"2:"&amp;$Z15&amp;"209")),INDIRECT("Returns!"&amp;$Z15&amp;"2:"&amp;$Z15&amp;"209")),IF(ISNUMBER(INDIRECT("Returns!"&amp;L$26&amp;"2:"&amp;L$26&amp;"209")),INDIRECT("Returns!"&amp;L$26&amp;"2:"&amp;L$26&amp;"209")))</f>
        <v>0.65646152422726922</v>
      </c>
      <c r="M15" s="46" cm="1">
        <f t="array" aca="1" ref="M15" ca="1">CORREL(IF(ISNUMBER(INDIRECT("Returns!"&amp;$Z15&amp;"2:"&amp;$Z15&amp;"209")),INDIRECT("Returns!"&amp;$Z15&amp;"2:"&amp;$Z15&amp;"209")),IF(ISNUMBER(INDIRECT("Returns!"&amp;M$26&amp;"2:"&amp;M$26&amp;"209")),INDIRECT("Returns!"&amp;M$26&amp;"2:"&amp;M$26&amp;"209")))</f>
        <v>0.89376293392947115</v>
      </c>
      <c r="N15" s="46" cm="1">
        <f t="array" aca="1" ref="N15" ca="1">CORREL(IF(ISNUMBER(INDIRECT("Returns!"&amp;$Z15&amp;"2:"&amp;$Z15&amp;"209")),INDIRECT("Returns!"&amp;$Z15&amp;"2:"&amp;$Z15&amp;"209")),IF(ISNUMBER(INDIRECT("Returns!"&amp;N$26&amp;"2:"&amp;N$26&amp;"209")),INDIRECT("Returns!"&amp;N$26&amp;"2:"&amp;N$26&amp;"209")))</f>
        <v>0.3012313492649773</v>
      </c>
      <c r="O15" s="46" cm="1">
        <f t="array" aca="1" ref="O15" ca="1">CORREL(IF(ISNUMBER(INDIRECT("Returns!"&amp;$Z15&amp;"2:"&amp;$Z15&amp;"209")),INDIRECT("Returns!"&amp;$Z15&amp;"2:"&amp;$Z15&amp;"209")),IF(ISNUMBER(INDIRECT("Returns!"&amp;O$26&amp;"2:"&amp;O$26&amp;"209")),INDIRECT("Returns!"&amp;O$26&amp;"2:"&amp;O$26&amp;"209")))</f>
        <v>0.99999999999999978</v>
      </c>
      <c r="P15" s="46" cm="1">
        <f t="array" aca="1" ref="P15" ca="1">CORREL(IF(ISNUMBER(INDIRECT("Returns!"&amp;$Z15&amp;"2:"&amp;$Z15&amp;"209")),INDIRECT("Returns!"&amp;$Z15&amp;"2:"&amp;$Z15&amp;"209")),IF(ISNUMBER(INDIRECT("Returns!"&amp;P$26&amp;"2:"&amp;P$26&amp;"209")),INDIRECT("Returns!"&amp;P$26&amp;"2:"&amp;P$26&amp;"209")))</f>
        <v>0.44556215933310184</v>
      </c>
      <c r="Q15" s="46" cm="1">
        <f t="array" aca="1" ref="Q15" ca="1">CORREL(IF(ISNUMBER(INDIRECT("Returns!"&amp;$Z15&amp;"2:"&amp;$Z15&amp;"209")),INDIRECT("Returns!"&amp;$Z15&amp;"2:"&amp;$Z15&amp;"209")),IF(ISNUMBER(INDIRECT("Returns!"&amp;Q$26&amp;"2:"&amp;Q$26&amp;"209")),INDIRECT("Returns!"&amp;Q$26&amp;"2:"&amp;Q$26&amp;"209")))</f>
        <v>0.46109986598549446</v>
      </c>
      <c r="R15" s="46" cm="1">
        <f t="array" aca="1" ref="R15" ca="1">CORREL(IF(ISNUMBER(INDIRECT("Returns!"&amp;$Z15&amp;"2:"&amp;$Z15&amp;"209")),INDIRECT("Returns!"&amp;$Z15&amp;"2:"&amp;$Z15&amp;"209")),IF(ISNUMBER(INDIRECT("Returns!"&amp;R$26&amp;"2:"&amp;R$26&amp;"209")),INDIRECT("Returns!"&amp;R$26&amp;"2:"&amp;R$26&amp;"209")))</f>
        <v>0.4134542985948978</v>
      </c>
      <c r="S15" s="46" cm="1">
        <f t="array" aca="1" ref="S15" ca="1">CORREL(IF(ISNUMBER(INDIRECT("Returns!"&amp;$Z15&amp;"2:"&amp;$Z15&amp;"209")),INDIRECT("Returns!"&amp;$Z15&amp;"2:"&amp;$Z15&amp;"209")),IF(ISNUMBER(INDIRECT("Returns!"&amp;S$26&amp;"2:"&amp;S$26&amp;"209")),INDIRECT("Returns!"&amp;S$26&amp;"2:"&amp;S$26&amp;"209")))</f>
        <v>0.35276050517421259</v>
      </c>
      <c r="T15" s="46" cm="1">
        <f t="array" aca="1" ref="T15" ca="1">CORREL(IF(ISNUMBER(INDIRECT("Returns!"&amp;$Z15&amp;"2:"&amp;$Z15&amp;"209")),INDIRECT("Returns!"&amp;$Z15&amp;"2:"&amp;$Z15&amp;"209")),IF(ISNUMBER(INDIRECT("Returns!"&amp;T$26&amp;"2:"&amp;T$26&amp;"209")),INDIRECT("Returns!"&amp;T$26&amp;"2:"&amp;T$26&amp;"209")))</f>
        <v>0.81169898662058193</v>
      </c>
      <c r="U15" s="46" cm="1">
        <f t="array" aca="1" ref="U15" ca="1">CORREL(IF(ISNUMBER(INDIRECT("Returns!"&amp;$Z15&amp;"2:"&amp;$Z15&amp;"209")),INDIRECT("Returns!"&amp;$Z15&amp;"2:"&amp;$Z15&amp;"209")),IF(ISNUMBER(INDIRECT("Returns!"&amp;U$26&amp;"2:"&amp;U$26&amp;"209")),INDIRECT("Returns!"&amp;U$26&amp;"2:"&amp;U$26&amp;"209")))</f>
        <v>0.99741000166587379</v>
      </c>
      <c r="V15" s="46" cm="1">
        <f t="array" aca="1" ref="V15" ca="1">CORREL(IF(ISNUMBER(INDIRECT("Returns!"&amp;$Z15&amp;"2:"&amp;$Z15&amp;"209")),INDIRECT("Returns!"&amp;$Z15&amp;"2:"&amp;$Z15&amp;"209")),IF(ISNUMBER(INDIRECT("Returns!"&amp;V$26&amp;"2:"&amp;V$26&amp;"209")),INDIRECT("Returns!"&amp;V$26&amp;"2:"&amp;V$26&amp;"209")))</f>
        <v>3.4405303023956148E-2</v>
      </c>
      <c r="W15" s="46" cm="1">
        <f t="array" aca="1" ref="W15" ca="1">CORREL(IF(ISNUMBER(INDIRECT("Returns!"&amp;$Z15&amp;"2:"&amp;$Z15&amp;"209")),INDIRECT("Returns!"&amp;$Z15&amp;"2:"&amp;$Z15&amp;"209")),IF(ISNUMBER(INDIRECT("Returns!"&amp;W$26&amp;"2:"&amp;W$26&amp;"209")),INDIRECT("Returns!"&amp;W$26&amp;"2:"&amp;W$26&amp;"209")))</f>
        <v>0.1605098284861699</v>
      </c>
      <c r="Y15" s="18"/>
      <c r="Z15" t="s">
        <v>158</v>
      </c>
    </row>
    <row r="16" spans="2:26" ht="24" customHeight="1" x14ac:dyDescent="0.35">
      <c r="B16" s="41" t="s">
        <v>106</v>
      </c>
      <c r="C16" s="46" cm="1">
        <f t="array" aca="1" ref="C16" ca="1">CORREL(IF(ISNUMBER(INDIRECT("Returns!"&amp;$Z16&amp;"2:"&amp;$Z16&amp;"209")),INDIRECT("Returns!"&amp;$Z16&amp;"2:"&amp;$Z16&amp;"209")),IF(ISNUMBER(INDIRECT("Returns!"&amp;C$26&amp;"2:"&amp;C$26&amp;"209")),INDIRECT("Returns!"&amp;C$26&amp;"2:"&amp;C$26&amp;"209")))</f>
        <v>0.29669257773259189</v>
      </c>
      <c r="D16" s="46" cm="1">
        <f t="array" aca="1" ref="D16" ca="1">CORREL(IF(ISNUMBER(INDIRECT("Returns!"&amp;$Z16&amp;"2:"&amp;$Z16&amp;"209")),INDIRECT("Returns!"&amp;$Z16&amp;"2:"&amp;$Z16&amp;"209")),IF(ISNUMBER(INDIRECT("Returns!"&amp;D$26&amp;"2:"&amp;D$26&amp;"209")),INDIRECT("Returns!"&amp;D$26&amp;"2:"&amp;D$26&amp;"209")))</f>
        <v>0.25971029197245982</v>
      </c>
      <c r="E16" s="46" cm="1">
        <f t="array" aca="1" ref="E16" ca="1">CORREL(IF(ISNUMBER(INDIRECT("Returns!"&amp;$Z16&amp;"2:"&amp;$Z16&amp;"209")),INDIRECT("Returns!"&amp;$Z16&amp;"2:"&amp;$Z16&amp;"209")),IF(ISNUMBER(INDIRECT("Returns!"&amp;E$26&amp;"2:"&amp;E$26&amp;"209")),INDIRECT("Returns!"&amp;E$26&amp;"2:"&amp;E$26&amp;"209")))</f>
        <v>0.5557958779915777</v>
      </c>
      <c r="F16" s="46" cm="1">
        <f t="array" aca="1" ref="F16" ca="1">CORREL(IF(ISNUMBER(INDIRECT("Returns!"&amp;$Z16&amp;"2:"&amp;$Z16&amp;"209")),INDIRECT("Returns!"&amp;$Z16&amp;"2:"&amp;$Z16&amp;"209")),IF(ISNUMBER(INDIRECT("Returns!"&amp;F$26&amp;"2:"&amp;F$26&amp;"209")),INDIRECT("Returns!"&amp;F$26&amp;"2:"&amp;F$26&amp;"209")))</f>
        <v>0.28860169094128379</v>
      </c>
      <c r="G16" s="46" cm="1">
        <f t="array" aca="1" ref="G16" ca="1">CORREL(IF(ISNUMBER(INDIRECT("Returns!"&amp;$Z16&amp;"2:"&amp;$Z16&amp;"209")),INDIRECT("Returns!"&amp;$Z16&amp;"2:"&amp;$Z16&amp;"209")),IF(ISNUMBER(INDIRECT("Returns!"&amp;G$26&amp;"2:"&amp;G$26&amp;"209")),INDIRECT("Returns!"&amp;G$26&amp;"2:"&amp;G$26&amp;"209")))</f>
        <v>0.41294972146291842</v>
      </c>
      <c r="H16" s="46" cm="1">
        <f t="array" aca="1" ref="H16" ca="1">CORREL(IF(ISNUMBER(INDIRECT("Returns!"&amp;$Z16&amp;"2:"&amp;$Z16&amp;"209")),INDIRECT("Returns!"&amp;$Z16&amp;"2:"&amp;$Z16&amp;"209")),IF(ISNUMBER(INDIRECT("Returns!"&amp;H$26&amp;"2:"&amp;H$26&amp;"209")),INDIRECT("Returns!"&amp;H$26&amp;"2:"&amp;H$26&amp;"209")))</f>
        <v>0.52894875434178801</v>
      </c>
      <c r="I16" s="46" cm="1">
        <f t="array" aca="1" ref="I16" ca="1">CORREL(IF(ISNUMBER(INDIRECT("Returns!"&amp;$Z16&amp;"2:"&amp;$Z16&amp;"209")),INDIRECT("Returns!"&amp;$Z16&amp;"2:"&amp;$Z16&amp;"209")),IF(ISNUMBER(INDIRECT("Returns!"&amp;I$26&amp;"2:"&amp;I$26&amp;"209")),INDIRECT("Returns!"&amp;I$26&amp;"2:"&amp;I$26&amp;"209")))</f>
        <v>0.60330161507271585</v>
      </c>
      <c r="J16" s="46" cm="1">
        <f t="array" aca="1" ref="J16" ca="1">CORREL(IF(ISNUMBER(INDIRECT("Returns!"&amp;$Z16&amp;"2:"&amp;$Z16&amp;"209")),INDIRECT("Returns!"&amp;$Z16&amp;"2:"&amp;$Z16&amp;"209")),IF(ISNUMBER(INDIRECT("Returns!"&amp;J$26&amp;"2:"&amp;J$26&amp;"209")),INDIRECT("Returns!"&amp;J$26&amp;"2:"&amp;J$26&amp;"209")))</f>
        <v>0.67958918442100125</v>
      </c>
      <c r="K16" s="46" cm="1">
        <f t="array" aca="1" ref="K16" ca="1">CORREL(IF(ISNUMBER(INDIRECT("Returns!"&amp;$Z16&amp;"2:"&amp;$Z16&amp;"209")),INDIRECT("Returns!"&amp;$Z16&amp;"2:"&amp;$Z16&amp;"209")),IF(ISNUMBER(INDIRECT("Returns!"&amp;K$26&amp;"2:"&amp;K$26&amp;"209")),INDIRECT("Returns!"&amp;K$26&amp;"2:"&amp;K$26&amp;"209")))</f>
        <v>0.59163647950326681</v>
      </c>
      <c r="L16" s="46" cm="1">
        <f t="array" aca="1" ref="L16" ca="1">CORREL(IF(ISNUMBER(INDIRECT("Returns!"&amp;$Z16&amp;"2:"&amp;$Z16&amp;"209")),INDIRECT("Returns!"&amp;$Z16&amp;"2:"&amp;$Z16&amp;"209")),IF(ISNUMBER(INDIRECT("Returns!"&amp;L$26&amp;"2:"&amp;L$26&amp;"209")),INDIRECT("Returns!"&amp;L$26&amp;"2:"&amp;L$26&amp;"209")))</f>
        <v>0.60453355309860057</v>
      </c>
      <c r="M16" s="46" cm="1">
        <f t="array" aca="1" ref="M16" ca="1">CORREL(IF(ISNUMBER(INDIRECT("Returns!"&amp;$Z16&amp;"2:"&amp;$Z16&amp;"209")),INDIRECT("Returns!"&amp;$Z16&amp;"2:"&amp;$Z16&amp;"209")),IF(ISNUMBER(INDIRECT("Returns!"&amp;M$26&amp;"2:"&amp;M$26&amp;"209")),INDIRECT("Returns!"&amp;M$26&amp;"2:"&amp;M$26&amp;"209")))</f>
        <v>0.84084605996199302</v>
      </c>
      <c r="N16" s="46" cm="1">
        <f t="array" aca="1" ref="N16" ca="1">CORREL(IF(ISNUMBER(INDIRECT("Returns!"&amp;$Z16&amp;"2:"&amp;$Z16&amp;"209")),INDIRECT("Returns!"&amp;$Z16&amp;"2:"&amp;$Z16&amp;"209")),IF(ISNUMBER(INDIRECT("Returns!"&amp;N$26&amp;"2:"&amp;N$26&amp;"209")),INDIRECT("Returns!"&amp;N$26&amp;"2:"&amp;N$26&amp;"209")))</f>
        <v>0.43212398235670935</v>
      </c>
      <c r="O16" s="46" cm="1">
        <f t="array" aca="1" ref="O16" ca="1">CORREL(IF(ISNUMBER(INDIRECT("Returns!"&amp;$Z16&amp;"2:"&amp;$Z16&amp;"209")),INDIRECT("Returns!"&amp;$Z16&amp;"2:"&amp;$Z16&amp;"209")),IF(ISNUMBER(INDIRECT("Returns!"&amp;O$26&amp;"2:"&amp;O$26&amp;"209")),INDIRECT("Returns!"&amp;O$26&amp;"2:"&amp;O$26&amp;"209")))</f>
        <v>0.44556215933310184</v>
      </c>
      <c r="P16" s="46" cm="1">
        <f t="array" aca="1" ref="P16" ca="1">CORREL(IF(ISNUMBER(INDIRECT("Returns!"&amp;$Z16&amp;"2:"&amp;$Z16&amp;"209")),INDIRECT("Returns!"&amp;$Z16&amp;"2:"&amp;$Z16&amp;"209")),IF(ISNUMBER(INDIRECT("Returns!"&amp;P$26&amp;"2:"&amp;P$26&amp;"209")),INDIRECT("Returns!"&amp;P$26&amp;"2:"&amp;P$26&amp;"209")))</f>
        <v>0.99999999999999989</v>
      </c>
      <c r="Q16" s="46" cm="1">
        <f t="array" aca="1" ref="Q16" ca="1">CORREL(IF(ISNUMBER(INDIRECT("Returns!"&amp;$Z16&amp;"2:"&amp;$Z16&amp;"209")),INDIRECT("Returns!"&amp;$Z16&amp;"2:"&amp;$Z16&amp;"209")),IF(ISNUMBER(INDIRECT("Returns!"&amp;Q$26&amp;"2:"&amp;Q$26&amp;"209")),INDIRECT("Returns!"&amp;Q$26&amp;"2:"&amp;Q$26&amp;"209")))</f>
        <v>0.48096177726878758</v>
      </c>
      <c r="R16" s="46" cm="1">
        <f t="array" aca="1" ref="R16" ca="1">CORREL(IF(ISNUMBER(INDIRECT("Returns!"&amp;$Z16&amp;"2:"&amp;$Z16&amp;"209")),INDIRECT("Returns!"&amp;$Z16&amp;"2:"&amp;$Z16&amp;"209")),IF(ISNUMBER(INDIRECT("Returns!"&amp;R$26&amp;"2:"&amp;R$26&amp;"209")),INDIRECT("Returns!"&amp;R$26&amp;"2:"&amp;R$26&amp;"209")))</f>
        <v>0.44277279895066629</v>
      </c>
      <c r="S16" s="46" cm="1">
        <f t="array" aca="1" ref="S16" ca="1">CORREL(IF(ISNUMBER(INDIRECT("Returns!"&amp;$Z16&amp;"2:"&amp;$Z16&amp;"209")),INDIRECT("Returns!"&amp;$Z16&amp;"2:"&amp;$Z16&amp;"209")),IF(ISNUMBER(INDIRECT("Returns!"&amp;S$26&amp;"2:"&amp;S$26&amp;"209")),INDIRECT("Returns!"&amp;S$26&amp;"2:"&amp;S$26&amp;"209")))</f>
        <v>0.47109343978585433</v>
      </c>
      <c r="T16" s="46" cm="1">
        <f t="array" aca="1" ref="T16" ca="1">CORREL(IF(ISNUMBER(INDIRECT("Returns!"&amp;$Z16&amp;"2:"&amp;$Z16&amp;"209")),INDIRECT("Returns!"&amp;$Z16&amp;"2:"&amp;$Z16&amp;"209")),IF(ISNUMBER(INDIRECT("Returns!"&amp;T$26&amp;"2:"&amp;T$26&amp;"209")),INDIRECT("Returns!"&amp;T$26&amp;"2:"&amp;T$26&amp;"209")))</f>
        <v>0.76893721361342926</v>
      </c>
      <c r="U16" s="46" cm="1">
        <f t="array" aca="1" ref="U16" ca="1">CORREL(IF(ISNUMBER(INDIRECT("Returns!"&amp;$Z16&amp;"2:"&amp;$Z16&amp;"209")),INDIRECT("Returns!"&amp;$Z16&amp;"2:"&amp;$Z16&amp;"209")),IF(ISNUMBER(INDIRECT("Returns!"&amp;U$26&amp;"2:"&amp;U$26&amp;"209")),INDIRECT("Returns!"&amp;U$26&amp;"2:"&amp;U$26&amp;"209")))</f>
        <v>0.45973332879437573</v>
      </c>
      <c r="V16" s="46" cm="1">
        <f t="array" aca="1" ref="V16" ca="1">CORREL(IF(ISNUMBER(INDIRECT("Returns!"&amp;$Z16&amp;"2:"&amp;$Z16&amp;"209")),INDIRECT("Returns!"&amp;$Z16&amp;"2:"&amp;$Z16&amp;"209")),IF(ISNUMBER(INDIRECT("Returns!"&amp;V$26&amp;"2:"&amp;V$26&amp;"209")),INDIRECT("Returns!"&amp;V$26&amp;"2:"&amp;V$26&amp;"209")))</f>
        <v>4.3900427528795208E-2</v>
      </c>
      <c r="W16" s="46" cm="1">
        <f t="array" aca="1" ref="W16" ca="1">CORREL(IF(ISNUMBER(INDIRECT("Returns!"&amp;$Z16&amp;"2:"&amp;$Z16&amp;"209")),INDIRECT("Returns!"&amp;$Z16&amp;"2:"&amp;$Z16&amp;"209")),IF(ISNUMBER(INDIRECT("Returns!"&amp;W$26&amp;"2:"&amp;W$26&amp;"209")),INDIRECT("Returns!"&amp;W$26&amp;"2:"&amp;W$26&amp;"209")))</f>
        <v>7.0799091950377271E-2</v>
      </c>
      <c r="Y16" s="18"/>
      <c r="Z16" t="s">
        <v>159</v>
      </c>
    </row>
    <row r="17" spans="2:26" ht="24" customHeight="1" x14ac:dyDescent="0.35">
      <c r="B17" s="41" t="s">
        <v>99</v>
      </c>
      <c r="C17" s="46" cm="1">
        <f t="array" aca="1" ref="C17" ca="1">CORREL(IF(ISNUMBER(INDIRECT("Returns!"&amp;$Z17&amp;"2:"&amp;$Z17&amp;"209")),INDIRECT("Returns!"&amp;$Z17&amp;"2:"&amp;$Z17&amp;"209")),IF(ISNUMBER(INDIRECT("Returns!"&amp;C$26&amp;"2:"&amp;C$26&amp;"209")),INDIRECT("Returns!"&amp;C$26&amp;"2:"&amp;C$26&amp;"209")))</f>
        <v>0.17835776816155458</v>
      </c>
      <c r="D17" s="46" cm="1">
        <f t="array" aca="1" ref="D17" ca="1">CORREL(IF(ISNUMBER(INDIRECT("Returns!"&amp;$Z17&amp;"2:"&amp;$Z17&amp;"209")),INDIRECT("Returns!"&amp;$Z17&amp;"2:"&amp;$Z17&amp;"209")),IF(ISNUMBER(INDIRECT("Returns!"&amp;D$26&amp;"2:"&amp;D$26&amp;"209")),INDIRECT("Returns!"&amp;D$26&amp;"2:"&amp;D$26&amp;"209")))</f>
        <v>0.21955280652492298</v>
      </c>
      <c r="E17" s="46" cm="1">
        <f t="array" aca="1" ref="E17" ca="1">CORREL(IF(ISNUMBER(INDIRECT("Returns!"&amp;$Z17&amp;"2:"&amp;$Z17&amp;"209")),INDIRECT("Returns!"&amp;$Z17&amp;"2:"&amp;$Z17&amp;"209")),IF(ISNUMBER(INDIRECT("Returns!"&amp;E$26&amp;"2:"&amp;E$26&amp;"209")),INDIRECT("Returns!"&amp;E$26&amp;"2:"&amp;E$26&amp;"209")))</f>
        <v>0.31839724406639447</v>
      </c>
      <c r="F17" s="46" cm="1">
        <f t="array" aca="1" ref="F17" ca="1">CORREL(IF(ISNUMBER(INDIRECT("Returns!"&amp;$Z17&amp;"2:"&amp;$Z17&amp;"209")),INDIRECT("Returns!"&amp;$Z17&amp;"2:"&amp;$Z17&amp;"209")),IF(ISNUMBER(INDIRECT("Returns!"&amp;F$26&amp;"2:"&amp;F$26&amp;"209")),INDIRECT("Returns!"&amp;F$26&amp;"2:"&amp;F$26&amp;"209")))</f>
        <v>0.26395499318828769</v>
      </c>
      <c r="G17" s="46" cm="1">
        <f t="array" aca="1" ref="G17" ca="1">CORREL(IF(ISNUMBER(INDIRECT("Returns!"&amp;$Z17&amp;"2:"&amp;$Z17&amp;"209")),INDIRECT("Returns!"&amp;$Z17&amp;"2:"&amp;$Z17&amp;"209")),IF(ISNUMBER(INDIRECT("Returns!"&amp;G$26&amp;"2:"&amp;G$26&amp;"209")),INDIRECT("Returns!"&amp;G$26&amp;"2:"&amp;G$26&amp;"209")))</f>
        <v>0.29819972911592518</v>
      </c>
      <c r="H17" s="46" cm="1">
        <f t="array" aca="1" ref="H17" ca="1">CORREL(IF(ISNUMBER(INDIRECT("Returns!"&amp;$Z17&amp;"2:"&amp;$Z17&amp;"209")),INDIRECT("Returns!"&amp;$Z17&amp;"2:"&amp;$Z17&amp;"209")),IF(ISNUMBER(INDIRECT("Returns!"&amp;H$26&amp;"2:"&amp;H$26&amp;"209")),INDIRECT("Returns!"&amp;H$26&amp;"2:"&amp;H$26&amp;"209")))</f>
        <v>0.41213286591011727</v>
      </c>
      <c r="I17" s="46" cm="1">
        <f t="array" aca="1" ref="I17" ca="1">CORREL(IF(ISNUMBER(INDIRECT("Returns!"&amp;$Z17&amp;"2:"&amp;$Z17&amp;"209")),INDIRECT("Returns!"&amp;$Z17&amp;"2:"&amp;$Z17&amp;"209")),IF(ISNUMBER(INDIRECT("Returns!"&amp;I$26&amp;"2:"&amp;I$26&amp;"209")),INDIRECT("Returns!"&amp;I$26&amp;"2:"&amp;I$26&amp;"209")))</f>
        <v>0.44191574762042513</v>
      </c>
      <c r="J17" s="46" cm="1">
        <f t="array" aca="1" ref="J17" ca="1">CORREL(IF(ISNUMBER(INDIRECT("Returns!"&amp;$Z17&amp;"2:"&amp;$Z17&amp;"209")),INDIRECT("Returns!"&amp;$Z17&amp;"2:"&amp;$Z17&amp;"209")),IF(ISNUMBER(INDIRECT("Returns!"&amp;J$26&amp;"2:"&amp;J$26&amp;"209")),INDIRECT("Returns!"&amp;J$26&amp;"2:"&amp;J$26&amp;"209")))</f>
        <v>0.47879350228114614</v>
      </c>
      <c r="K17" s="46" cm="1">
        <f t="array" aca="1" ref="K17" ca="1">CORREL(IF(ISNUMBER(INDIRECT("Returns!"&amp;$Z17&amp;"2:"&amp;$Z17&amp;"209")),INDIRECT("Returns!"&amp;$Z17&amp;"2:"&amp;$Z17&amp;"209")),IF(ISNUMBER(INDIRECT("Returns!"&amp;K$26&amp;"2:"&amp;K$26&amp;"209")),INDIRECT("Returns!"&amp;K$26&amp;"2:"&amp;K$26&amp;"209")))</f>
        <v>0.48113822619120733</v>
      </c>
      <c r="L17" s="46" cm="1">
        <f t="array" aca="1" ref="L17" ca="1">CORREL(IF(ISNUMBER(INDIRECT("Returns!"&amp;$Z17&amp;"2:"&amp;$Z17&amp;"209")),INDIRECT("Returns!"&amp;$Z17&amp;"2:"&amp;$Z17&amp;"209")),IF(ISNUMBER(INDIRECT("Returns!"&amp;L$26&amp;"2:"&amp;L$26&amp;"209")),INDIRECT("Returns!"&amp;L$26&amp;"2:"&amp;L$26&amp;"209")))</f>
        <v>0.53560781787071021</v>
      </c>
      <c r="M17" s="46" cm="1">
        <f t="array" aca="1" ref="M17" ca="1">CORREL(IF(ISNUMBER(INDIRECT("Returns!"&amp;$Z17&amp;"2:"&amp;$Z17&amp;"209")),INDIRECT("Returns!"&amp;$Z17&amp;"2:"&amp;$Z17&amp;"209")),IF(ISNUMBER(INDIRECT("Returns!"&amp;M$26&amp;"2:"&amp;M$26&amp;"209")),INDIRECT("Returns!"&amp;M$26&amp;"2:"&amp;M$26&amp;"209")))</f>
        <v>0.44991774792214595</v>
      </c>
      <c r="N17" s="46" cm="1">
        <f t="array" aca="1" ref="N17" ca="1">CORREL(IF(ISNUMBER(INDIRECT("Returns!"&amp;$Z17&amp;"2:"&amp;$Z17&amp;"209")),INDIRECT("Returns!"&amp;$Z17&amp;"2:"&amp;$Z17&amp;"209")),IF(ISNUMBER(INDIRECT("Returns!"&amp;N$26&amp;"2:"&amp;N$26&amp;"209")),INDIRECT("Returns!"&amp;N$26&amp;"2:"&amp;N$26&amp;"209")))</f>
        <v>0.24770578119783285</v>
      </c>
      <c r="O17" s="46" cm="1">
        <f t="array" aca="1" ref="O17" ca="1">CORREL(IF(ISNUMBER(INDIRECT("Returns!"&amp;$Z17&amp;"2:"&amp;$Z17&amp;"209")),INDIRECT("Returns!"&amp;$Z17&amp;"2:"&amp;$Z17&amp;"209")),IF(ISNUMBER(INDIRECT("Returns!"&amp;O$26&amp;"2:"&amp;O$26&amp;"209")),INDIRECT("Returns!"&amp;O$26&amp;"2:"&amp;O$26&amp;"209")))</f>
        <v>0.46109986598549446</v>
      </c>
      <c r="P17" s="46" cm="1">
        <f t="array" aca="1" ref="P17" ca="1">CORREL(IF(ISNUMBER(INDIRECT("Returns!"&amp;$Z17&amp;"2:"&amp;$Z17&amp;"209")),INDIRECT("Returns!"&amp;$Z17&amp;"2:"&amp;$Z17&amp;"209")),IF(ISNUMBER(INDIRECT("Returns!"&amp;P$26&amp;"2:"&amp;P$26&amp;"209")),INDIRECT("Returns!"&amp;P$26&amp;"2:"&amp;P$26&amp;"209")))</f>
        <v>0.48096177726878758</v>
      </c>
      <c r="Q17" s="46" cm="1">
        <f t="array" aca="1" ref="Q17" ca="1">CORREL(IF(ISNUMBER(INDIRECT("Returns!"&amp;$Z17&amp;"2:"&amp;$Z17&amp;"209")),INDIRECT("Returns!"&amp;$Z17&amp;"2:"&amp;$Z17&amp;"209")),IF(ISNUMBER(INDIRECT("Returns!"&amp;Q$26&amp;"2:"&amp;Q$26&amp;"209")),INDIRECT("Returns!"&amp;Q$26&amp;"2:"&amp;Q$26&amp;"209")))</f>
        <v>1.0000000000000002</v>
      </c>
      <c r="R17" s="46" cm="1">
        <f t="array" aca="1" ref="R17" ca="1">CORREL(IF(ISNUMBER(INDIRECT("Returns!"&amp;$Z17&amp;"2:"&amp;$Z17&amp;"209")),INDIRECT("Returns!"&amp;$Z17&amp;"2:"&amp;$Z17&amp;"209")),IF(ISNUMBER(INDIRECT("Returns!"&amp;R$26&amp;"2:"&amp;R$26&amp;"209")),INDIRECT("Returns!"&amp;R$26&amp;"2:"&amp;R$26&amp;"209")))</f>
        <v>0.95987443160036112</v>
      </c>
      <c r="S17" s="46" cm="1">
        <f t="array" aca="1" ref="S17" ca="1">CORREL(IF(ISNUMBER(INDIRECT("Returns!"&amp;$Z17&amp;"2:"&amp;$Z17&amp;"209")),INDIRECT("Returns!"&amp;$Z17&amp;"2:"&amp;$Z17&amp;"209")),IF(ISNUMBER(INDIRECT("Returns!"&amp;S$26&amp;"2:"&amp;S$26&amp;"209")),INDIRECT("Returns!"&amp;S$26&amp;"2:"&amp;S$26&amp;"209")))</f>
        <v>0.19191535317884645</v>
      </c>
      <c r="T17" s="46" cm="1">
        <f t="array" aca="1" ref="T17" ca="1">CORREL(IF(ISNUMBER(INDIRECT("Returns!"&amp;$Z17&amp;"2:"&amp;$Z17&amp;"209")),INDIRECT("Returns!"&amp;$Z17&amp;"2:"&amp;$Z17&amp;"209")),IF(ISNUMBER(INDIRECT("Returns!"&amp;T$26&amp;"2:"&amp;T$26&amp;"209")),INDIRECT("Returns!"&amp;T$26&amp;"2:"&amp;T$26&amp;"209")))</f>
        <v>0.26678035820898527</v>
      </c>
      <c r="U17" s="46" cm="1">
        <f t="array" aca="1" ref="U17" ca="1">CORREL(IF(ISNUMBER(INDIRECT("Returns!"&amp;$Z17&amp;"2:"&amp;$Z17&amp;"209")),INDIRECT("Returns!"&amp;$Z17&amp;"2:"&amp;$Z17&amp;"209")),IF(ISNUMBER(INDIRECT("Returns!"&amp;U$26&amp;"2:"&amp;U$26&amp;"209")),INDIRECT("Returns!"&amp;U$26&amp;"2:"&amp;U$26&amp;"209")))</f>
        <v>0.47267604858282636</v>
      </c>
      <c r="V17" s="46" cm="1">
        <f t="array" aca="1" ref="V17" ca="1">CORREL(IF(ISNUMBER(INDIRECT("Returns!"&amp;$Z17&amp;"2:"&amp;$Z17&amp;"209")),INDIRECT("Returns!"&amp;$Z17&amp;"2:"&amp;$Z17&amp;"209")),IF(ISNUMBER(INDIRECT("Returns!"&amp;V$26&amp;"2:"&amp;V$26&amp;"209")),INDIRECT("Returns!"&amp;V$26&amp;"2:"&amp;V$26&amp;"209")))</f>
        <v>0.15419626042255496</v>
      </c>
      <c r="W17" s="46" cm="1">
        <f t="array" aca="1" ref="W17" ca="1">CORREL(IF(ISNUMBER(INDIRECT("Returns!"&amp;$Z17&amp;"2:"&amp;$Z17&amp;"209")),INDIRECT("Returns!"&amp;$Z17&amp;"2:"&amp;$Z17&amp;"209")),IF(ISNUMBER(INDIRECT("Returns!"&amp;W$26&amp;"2:"&amp;W$26&amp;"209")),INDIRECT("Returns!"&amp;W$26&amp;"2:"&amp;W$26&amp;"209")))</f>
        <v>0.21594813220552472</v>
      </c>
      <c r="Y17" s="18"/>
      <c r="Z17" t="s">
        <v>160</v>
      </c>
    </row>
    <row r="18" spans="2:26" ht="24" customHeight="1" x14ac:dyDescent="0.35">
      <c r="B18" s="41" t="s">
        <v>107</v>
      </c>
      <c r="C18" s="46" cm="1">
        <f t="array" aca="1" ref="C18" ca="1">CORREL(IF(ISNUMBER(INDIRECT("Returns!"&amp;$Z18&amp;"2:"&amp;$Z18&amp;"209")),INDIRECT("Returns!"&amp;$Z18&amp;"2:"&amp;$Z18&amp;"209")),IF(ISNUMBER(INDIRECT("Returns!"&amp;C$26&amp;"2:"&amp;C$26&amp;"209")),INDIRECT("Returns!"&amp;C$26&amp;"2:"&amp;C$26&amp;"209")))</f>
        <v>0.12469567507509757</v>
      </c>
      <c r="D18" s="46" cm="1">
        <f t="array" aca="1" ref="D18" ca="1">CORREL(IF(ISNUMBER(INDIRECT("Returns!"&amp;$Z18&amp;"2:"&amp;$Z18&amp;"209")),INDIRECT("Returns!"&amp;$Z18&amp;"2:"&amp;$Z18&amp;"209")),IF(ISNUMBER(INDIRECT("Returns!"&amp;D$26&amp;"2:"&amp;D$26&amp;"209")),INDIRECT("Returns!"&amp;D$26&amp;"2:"&amp;D$26&amp;"209")))</f>
        <v>0.16040177045287149</v>
      </c>
      <c r="E18" s="46" cm="1">
        <f t="array" aca="1" ref="E18" ca="1">CORREL(IF(ISNUMBER(INDIRECT("Returns!"&amp;$Z18&amp;"2:"&amp;$Z18&amp;"209")),INDIRECT("Returns!"&amp;$Z18&amp;"2:"&amp;$Z18&amp;"209")),IF(ISNUMBER(INDIRECT("Returns!"&amp;E$26&amp;"2:"&amp;E$26&amp;"209")),INDIRECT("Returns!"&amp;E$26&amp;"2:"&amp;E$26&amp;"209")))</f>
        <v>0.28124046356489091</v>
      </c>
      <c r="F18" s="46" cm="1">
        <f t="array" aca="1" ref="F18" ca="1">CORREL(IF(ISNUMBER(INDIRECT("Returns!"&amp;$Z18&amp;"2:"&amp;$Z18&amp;"209")),INDIRECT("Returns!"&amp;$Z18&amp;"2:"&amp;$Z18&amp;"209")),IF(ISNUMBER(INDIRECT("Returns!"&amp;F$26&amp;"2:"&amp;F$26&amp;"209")),INDIRECT("Returns!"&amp;F$26&amp;"2:"&amp;F$26&amp;"209")))</f>
        <v>0.23084701865020718</v>
      </c>
      <c r="G18" s="46" cm="1">
        <f t="array" aca="1" ref="G18" ca="1">CORREL(IF(ISNUMBER(INDIRECT("Returns!"&amp;$Z18&amp;"2:"&amp;$Z18&amp;"209")),INDIRECT("Returns!"&amp;$Z18&amp;"2:"&amp;$Z18&amp;"209")),IF(ISNUMBER(INDIRECT("Returns!"&amp;G$26&amp;"2:"&amp;G$26&amp;"209")),INDIRECT("Returns!"&amp;G$26&amp;"2:"&amp;G$26&amp;"209")))</f>
        <v>0.24035062187329148</v>
      </c>
      <c r="H18" s="46" cm="1">
        <f t="array" aca="1" ref="H18" ca="1">CORREL(IF(ISNUMBER(INDIRECT("Returns!"&amp;$Z18&amp;"2:"&amp;$Z18&amp;"209")),INDIRECT("Returns!"&amp;$Z18&amp;"2:"&amp;$Z18&amp;"209")),IF(ISNUMBER(INDIRECT("Returns!"&amp;H$26&amp;"2:"&amp;H$26&amp;"209")),INDIRECT("Returns!"&amp;H$26&amp;"2:"&amp;H$26&amp;"209")))</f>
        <v>0.36671717217715033</v>
      </c>
      <c r="I18" s="46" cm="1">
        <f t="array" aca="1" ref="I18" ca="1">CORREL(IF(ISNUMBER(INDIRECT("Returns!"&amp;$Z18&amp;"2:"&amp;$Z18&amp;"209")),INDIRECT("Returns!"&amp;$Z18&amp;"2:"&amp;$Z18&amp;"209")),IF(ISNUMBER(INDIRECT("Returns!"&amp;I$26&amp;"2:"&amp;I$26&amp;"209")),INDIRECT("Returns!"&amp;I$26&amp;"2:"&amp;I$26&amp;"209")))</f>
        <v>0.3841551433622819</v>
      </c>
      <c r="J18" s="46" cm="1">
        <f t="array" aca="1" ref="J18" ca="1">CORREL(IF(ISNUMBER(INDIRECT("Returns!"&amp;$Z18&amp;"2:"&amp;$Z18&amp;"209")),INDIRECT("Returns!"&amp;$Z18&amp;"2:"&amp;$Z18&amp;"209")),IF(ISNUMBER(INDIRECT("Returns!"&amp;J$26&amp;"2:"&amp;J$26&amp;"209")),INDIRECT("Returns!"&amp;J$26&amp;"2:"&amp;J$26&amp;"209")))</f>
        <v>0.45560267649760711</v>
      </c>
      <c r="K18" s="46" cm="1">
        <f t="array" aca="1" ref="K18" ca="1">CORREL(IF(ISNUMBER(INDIRECT("Returns!"&amp;$Z18&amp;"2:"&amp;$Z18&amp;"209")),INDIRECT("Returns!"&amp;$Z18&amp;"2:"&amp;$Z18&amp;"209")),IF(ISNUMBER(INDIRECT("Returns!"&amp;K$26&amp;"2:"&amp;K$26&amp;"209")),INDIRECT("Returns!"&amp;K$26&amp;"2:"&amp;K$26&amp;"209")))</f>
        <v>0.46674218577745991</v>
      </c>
      <c r="L18" s="46" cm="1">
        <f t="array" aca="1" ref="L18" ca="1">CORREL(IF(ISNUMBER(INDIRECT("Returns!"&amp;$Z18&amp;"2:"&amp;$Z18&amp;"209")),INDIRECT("Returns!"&amp;$Z18&amp;"2:"&amp;$Z18&amp;"209")),IF(ISNUMBER(INDIRECT("Returns!"&amp;L$26&amp;"2:"&amp;L$26&amp;"209")),INDIRECT("Returns!"&amp;L$26&amp;"2:"&amp;L$26&amp;"209")))</f>
        <v>0.51164522550893687</v>
      </c>
      <c r="M18" s="46" cm="1">
        <f t="array" aca="1" ref="M18" ca="1">CORREL(IF(ISNUMBER(INDIRECT("Returns!"&amp;$Z18&amp;"2:"&amp;$Z18&amp;"209")),INDIRECT("Returns!"&amp;$Z18&amp;"2:"&amp;$Z18&amp;"209")),IF(ISNUMBER(INDIRECT("Returns!"&amp;M$26&amp;"2:"&amp;M$26&amp;"209")),INDIRECT("Returns!"&amp;M$26&amp;"2:"&amp;M$26&amp;"209")))</f>
        <v>0.44299791500333735</v>
      </c>
      <c r="N18" s="46" cm="1">
        <f t="array" aca="1" ref="N18" ca="1">CORREL(IF(ISNUMBER(INDIRECT("Returns!"&amp;$Z18&amp;"2:"&amp;$Z18&amp;"209")),INDIRECT("Returns!"&amp;$Z18&amp;"2:"&amp;$Z18&amp;"209")),IF(ISNUMBER(INDIRECT("Returns!"&amp;N$26&amp;"2:"&amp;N$26&amp;"209")),INDIRECT("Returns!"&amp;N$26&amp;"2:"&amp;N$26&amp;"209")))</f>
        <v>0.21562029061094584</v>
      </c>
      <c r="O18" s="46" cm="1">
        <f t="array" aca="1" ref="O18" ca="1">CORREL(IF(ISNUMBER(INDIRECT("Returns!"&amp;$Z18&amp;"2:"&amp;$Z18&amp;"209")),INDIRECT("Returns!"&amp;$Z18&amp;"2:"&amp;$Z18&amp;"209")),IF(ISNUMBER(INDIRECT("Returns!"&amp;O$26&amp;"2:"&amp;O$26&amp;"209")),INDIRECT("Returns!"&amp;O$26&amp;"2:"&amp;O$26&amp;"209")))</f>
        <v>0.4134542985948978</v>
      </c>
      <c r="P18" s="46" cm="1">
        <f t="array" aca="1" ref="P18" ca="1">CORREL(IF(ISNUMBER(INDIRECT("Returns!"&amp;$Z18&amp;"2:"&amp;$Z18&amp;"209")),INDIRECT("Returns!"&amp;$Z18&amp;"2:"&amp;$Z18&amp;"209")),IF(ISNUMBER(INDIRECT("Returns!"&amp;P$26&amp;"2:"&amp;P$26&amp;"209")),INDIRECT("Returns!"&amp;P$26&amp;"2:"&amp;P$26&amp;"209")))</f>
        <v>0.44277279895066629</v>
      </c>
      <c r="Q18" s="46" cm="1">
        <f t="array" aca="1" ref="Q18" ca="1">CORREL(IF(ISNUMBER(INDIRECT("Returns!"&amp;$Z18&amp;"2:"&amp;$Z18&amp;"209")),INDIRECT("Returns!"&amp;$Z18&amp;"2:"&amp;$Z18&amp;"209")),IF(ISNUMBER(INDIRECT("Returns!"&amp;Q$26&amp;"2:"&amp;Q$26&amp;"209")),INDIRECT("Returns!"&amp;Q$26&amp;"2:"&amp;Q$26&amp;"209")))</f>
        <v>0.95987443160036112</v>
      </c>
      <c r="R18" s="46" cm="1">
        <f t="array" aca="1" ref="R18" ca="1">CORREL(IF(ISNUMBER(INDIRECT("Returns!"&amp;$Z18&amp;"2:"&amp;$Z18&amp;"209")),INDIRECT("Returns!"&amp;$Z18&amp;"2:"&amp;$Z18&amp;"209")),IF(ISNUMBER(INDIRECT("Returns!"&amp;R$26&amp;"2:"&amp;R$26&amp;"209")),INDIRECT("Returns!"&amp;R$26&amp;"2:"&amp;R$26&amp;"209")))</f>
        <v>1</v>
      </c>
      <c r="S18" s="46" cm="1">
        <f t="array" aca="1" ref="S18" ca="1">CORREL(IF(ISNUMBER(INDIRECT("Returns!"&amp;$Z18&amp;"2:"&amp;$Z18&amp;"209")),INDIRECT("Returns!"&amp;$Z18&amp;"2:"&amp;$Z18&amp;"209")),IF(ISNUMBER(INDIRECT("Returns!"&amp;S$26&amp;"2:"&amp;S$26&amp;"209")),INDIRECT("Returns!"&amp;S$26&amp;"2:"&amp;S$26&amp;"209")))</f>
        <v>0.24859321442116367</v>
      </c>
      <c r="T18" s="46" cm="1">
        <f t="array" aca="1" ref="T18" ca="1">CORREL(IF(ISNUMBER(INDIRECT("Returns!"&amp;$Z18&amp;"2:"&amp;$Z18&amp;"209")),INDIRECT("Returns!"&amp;$Z18&amp;"2:"&amp;$Z18&amp;"209")),IF(ISNUMBER(INDIRECT("Returns!"&amp;T$26&amp;"2:"&amp;T$26&amp;"209")),INDIRECT("Returns!"&amp;T$26&amp;"2:"&amp;T$26&amp;"209")))</f>
        <v>0.26174102131039934</v>
      </c>
      <c r="U18" s="46" cm="1">
        <f t="array" aca="1" ref="U18" ca="1">CORREL(IF(ISNUMBER(INDIRECT("Returns!"&amp;$Z18&amp;"2:"&amp;$Z18&amp;"209")),INDIRECT("Returns!"&amp;$Z18&amp;"2:"&amp;$Z18&amp;"209")),IF(ISNUMBER(INDIRECT("Returns!"&amp;U$26&amp;"2:"&amp;U$26&amp;"209")),INDIRECT("Returns!"&amp;U$26&amp;"2:"&amp;U$26&amp;"209")))</f>
        <v>0.42784575364471844</v>
      </c>
      <c r="V18" s="46" cm="1">
        <f t="array" aca="1" ref="V18" ca="1">CORREL(IF(ISNUMBER(INDIRECT("Returns!"&amp;$Z18&amp;"2:"&amp;$Z18&amp;"209")),INDIRECT("Returns!"&amp;$Z18&amp;"2:"&amp;$Z18&amp;"209")),IF(ISNUMBER(INDIRECT("Returns!"&amp;V$26&amp;"2:"&amp;V$26&amp;"209")),INDIRECT("Returns!"&amp;V$26&amp;"2:"&amp;V$26&amp;"209")))</f>
        <v>0.11734719417155644</v>
      </c>
      <c r="W18" s="46" cm="1">
        <f t="array" aca="1" ref="W18" ca="1">CORREL(IF(ISNUMBER(INDIRECT("Returns!"&amp;$Z18&amp;"2:"&amp;$Z18&amp;"209")),INDIRECT("Returns!"&amp;$Z18&amp;"2:"&amp;$Z18&amp;"209")),IF(ISNUMBER(INDIRECT("Returns!"&amp;W$26&amp;"2:"&amp;W$26&amp;"209")),INDIRECT("Returns!"&amp;W$26&amp;"2:"&amp;W$26&amp;"209")))</f>
        <v>0.18051270407473116</v>
      </c>
      <c r="X18" s="45"/>
      <c r="Y18" s="18"/>
      <c r="Z18" t="s">
        <v>161</v>
      </c>
    </row>
    <row r="19" spans="2:26" ht="24" customHeight="1" x14ac:dyDescent="0.35">
      <c r="B19" s="41" t="s">
        <v>94</v>
      </c>
      <c r="C19" s="46" cm="1">
        <f t="array" aca="1" ref="C19" ca="1">CORREL(IF(ISNUMBER(INDIRECT("Returns!"&amp;$Z19&amp;"2:"&amp;$Z19&amp;"209")),INDIRECT("Returns!"&amp;$Z19&amp;"2:"&amp;$Z19&amp;"209")),IF(ISNUMBER(INDIRECT("Returns!"&amp;C$26&amp;"2:"&amp;C$26&amp;"209")),INDIRECT("Returns!"&amp;C$26&amp;"2:"&amp;C$26&amp;"209")))</f>
        <v>-0.1564135768369776</v>
      </c>
      <c r="D19" s="46" cm="1">
        <f t="array" aca="1" ref="D19" ca="1">CORREL(IF(ISNUMBER(INDIRECT("Returns!"&amp;$Z19&amp;"2:"&amp;$Z19&amp;"209")),INDIRECT("Returns!"&amp;$Z19&amp;"2:"&amp;$Z19&amp;"209")),IF(ISNUMBER(INDIRECT("Returns!"&amp;D$26&amp;"2:"&amp;D$26&amp;"209")),INDIRECT("Returns!"&amp;D$26&amp;"2:"&amp;D$26&amp;"209")))</f>
        <v>-9.5177436435770257E-2</v>
      </c>
      <c r="E19" s="46" cm="1">
        <f t="array" aca="1" ref="E19" ca="1">CORREL(IF(ISNUMBER(INDIRECT("Returns!"&amp;$Z19&amp;"2:"&amp;$Z19&amp;"209")),INDIRECT("Returns!"&amp;$Z19&amp;"2:"&amp;$Z19&amp;"209")),IF(ISNUMBER(INDIRECT("Returns!"&amp;E$26&amp;"2:"&amp;E$26&amp;"209")),INDIRECT("Returns!"&amp;E$26&amp;"2:"&amp;E$26&amp;"209")))</f>
        <v>0.33518719934401614</v>
      </c>
      <c r="F19" s="46" cm="1">
        <f t="array" aca="1" ref="F19" ca="1">CORREL(IF(ISNUMBER(INDIRECT("Returns!"&amp;$Z19&amp;"2:"&amp;$Z19&amp;"209")),INDIRECT("Returns!"&amp;$Z19&amp;"2:"&amp;$Z19&amp;"209")),IF(ISNUMBER(INDIRECT("Returns!"&amp;F$26&amp;"2:"&amp;F$26&amp;"209")),INDIRECT("Returns!"&amp;F$26&amp;"2:"&amp;F$26&amp;"209")))</f>
        <v>0.19523766066417092</v>
      </c>
      <c r="G19" s="46" cm="1">
        <f t="array" aca="1" ref="G19" ca="1">CORREL(IF(ISNUMBER(INDIRECT("Returns!"&amp;$Z19&amp;"2:"&amp;$Z19&amp;"209")),INDIRECT("Returns!"&amp;$Z19&amp;"2:"&amp;$Z19&amp;"209")),IF(ISNUMBER(INDIRECT("Returns!"&amp;G$26&amp;"2:"&amp;G$26&amp;"209")),INDIRECT("Returns!"&amp;G$26&amp;"2:"&amp;G$26&amp;"209")))</f>
        <v>-6.1676933510504954E-2</v>
      </c>
      <c r="H19" s="46" cm="1">
        <f t="array" aca="1" ref="H19" ca="1">CORREL(IF(ISNUMBER(INDIRECT("Returns!"&amp;$Z19&amp;"2:"&amp;$Z19&amp;"209")),INDIRECT("Returns!"&amp;$Z19&amp;"2:"&amp;$Z19&amp;"209")),IF(ISNUMBER(INDIRECT("Returns!"&amp;H$26&amp;"2:"&amp;H$26&amp;"209")),INDIRECT("Returns!"&amp;H$26&amp;"2:"&amp;H$26&amp;"209")))</f>
        <v>0.27991288982921725</v>
      </c>
      <c r="I19" s="46" cm="1">
        <f t="array" aca="1" ref="I19" ca="1">CORREL(IF(ISNUMBER(INDIRECT("Returns!"&amp;$Z19&amp;"2:"&amp;$Z19&amp;"209")),INDIRECT("Returns!"&amp;$Z19&amp;"2:"&amp;$Z19&amp;"209")),IF(ISNUMBER(INDIRECT("Returns!"&amp;I$26&amp;"2:"&amp;I$26&amp;"209")),INDIRECT("Returns!"&amp;I$26&amp;"2:"&amp;I$26&amp;"209")))</f>
        <v>0.3781403573725246</v>
      </c>
      <c r="J19" s="46" cm="1">
        <f t="array" aca="1" ref="J19" ca="1">CORREL(IF(ISNUMBER(INDIRECT("Returns!"&amp;$Z19&amp;"2:"&amp;$Z19&amp;"209")),INDIRECT("Returns!"&amp;$Z19&amp;"2:"&amp;$Z19&amp;"209")),IF(ISNUMBER(INDIRECT("Returns!"&amp;J$26&amp;"2:"&amp;J$26&amp;"209")),INDIRECT("Returns!"&amp;J$26&amp;"2:"&amp;J$26&amp;"209")))</f>
        <v>0.60207056017083249</v>
      </c>
      <c r="K19" s="46" cm="1">
        <f t="array" aca="1" ref="K19" ca="1">CORREL(IF(ISNUMBER(INDIRECT("Returns!"&amp;$Z19&amp;"2:"&amp;$Z19&amp;"209")),INDIRECT("Returns!"&amp;$Z19&amp;"2:"&amp;$Z19&amp;"209")),IF(ISNUMBER(INDIRECT("Returns!"&amp;K$26&amp;"2:"&amp;K$26&amp;"209")),INDIRECT("Returns!"&amp;K$26&amp;"2:"&amp;K$26&amp;"209")))</f>
        <v>0.76140343667023835</v>
      </c>
      <c r="L19" s="46" cm="1">
        <f t="array" aca="1" ref="L19" ca="1">CORREL(IF(ISNUMBER(INDIRECT("Returns!"&amp;$Z19&amp;"2:"&amp;$Z19&amp;"209")),INDIRECT("Returns!"&amp;$Z19&amp;"2:"&amp;$Z19&amp;"209")),IF(ISNUMBER(INDIRECT("Returns!"&amp;L$26&amp;"2:"&amp;L$26&amp;"209")),INDIRECT("Returns!"&amp;L$26&amp;"2:"&amp;L$26&amp;"209")))</f>
        <v>0.70439489157173885</v>
      </c>
      <c r="M19" s="46" cm="1">
        <f t="array" aca="1" ref="M19" ca="1">CORREL(IF(ISNUMBER(INDIRECT("Returns!"&amp;$Z19&amp;"2:"&amp;$Z19&amp;"209")),INDIRECT("Returns!"&amp;$Z19&amp;"2:"&amp;$Z19&amp;"209")),IF(ISNUMBER(INDIRECT("Returns!"&amp;M$26&amp;"2:"&amp;M$26&amp;"209")),INDIRECT("Returns!"&amp;M$26&amp;"2:"&amp;M$26&amp;"209")))</f>
        <v>0.53972543440513299</v>
      </c>
      <c r="N19" s="46" cm="1">
        <f t="array" aca="1" ref="N19" ca="1">CORREL(IF(ISNUMBER(INDIRECT("Returns!"&amp;$Z19&amp;"2:"&amp;$Z19&amp;"209")),INDIRECT("Returns!"&amp;$Z19&amp;"2:"&amp;$Z19&amp;"209")),IF(ISNUMBER(INDIRECT("Returns!"&amp;N$26&amp;"2:"&amp;N$26&amp;"209")),INDIRECT("Returns!"&amp;N$26&amp;"2:"&amp;N$26&amp;"209")))</f>
        <v>4.3648046096331002E-2</v>
      </c>
      <c r="O19" s="46" cm="1">
        <f t="array" aca="1" ref="O19" ca="1">CORREL(IF(ISNUMBER(INDIRECT("Returns!"&amp;$Z19&amp;"2:"&amp;$Z19&amp;"209")),INDIRECT("Returns!"&amp;$Z19&amp;"2:"&amp;$Z19&amp;"209")),IF(ISNUMBER(INDIRECT("Returns!"&amp;O$26&amp;"2:"&amp;O$26&amp;"209")),INDIRECT("Returns!"&amp;O$26&amp;"2:"&amp;O$26&amp;"209")))</f>
        <v>0.35276050517421259</v>
      </c>
      <c r="P19" s="46" cm="1">
        <f t="array" aca="1" ref="P19" ca="1">CORREL(IF(ISNUMBER(INDIRECT("Returns!"&amp;$Z19&amp;"2:"&amp;$Z19&amp;"209")),INDIRECT("Returns!"&amp;$Z19&amp;"2:"&amp;$Z19&amp;"209")),IF(ISNUMBER(INDIRECT("Returns!"&amp;P$26&amp;"2:"&amp;P$26&amp;"209")),INDIRECT("Returns!"&amp;P$26&amp;"2:"&amp;P$26&amp;"209")))</f>
        <v>0.47109343978585433</v>
      </c>
      <c r="Q19" s="46" cm="1">
        <f t="array" aca="1" ref="Q19" ca="1">CORREL(IF(ISNUMBER(INDIRECT("Returns!"&amp;$Z19&amp;"2:"&amp;$Z19&amp;"209")),INDIRECT("Returns!"&amp;$Z19&amp;"2:"&amp;$Z19&amp;"209")),IF(ISNUMBER(INDIRECT("Returns!"&amp;Q$26&amp;"2:"&amp;Q$26&amp;"209")),INDIRECT("Returns!"&amp;Q$26&amp;"2:"&amp;Q$26&amp;"209")))</f>
        <v>0.19191535317884645</v>
      </c>
      <c r="R19" s="46" cm="1">
        <f t="array" aca="1" ref="R19" ca="1">CORREL(IF(ISNUMBER(INDIRECT("Returns!"&amp;$Z19&amp;"2:"&amp;$Z19&amp;"209")),INDIRECT("Returns!"&amp;$Z19&amp;"2:"&amp;$Z19&amp;"209")),IF(ISNUMBER(INDIRECT("Returns!"&amp;R$26&amp;"2:"&amp;R$26&amp;"209")),INDIRECT("Returns!"&amp;R$26&amp;"2:"&amp;R$26&amp;"209")))</f>
        <v>0.24859321442116367</v>
      </c>
      <c r="S19" s="46" cm="1">
        <f t="array" aca="1" ref="S19" ca="1">CORREL(IF(ISNUMBER(INDIRECT("Returns!"&amp;$Z19&amp;"2:"&amp;$Z19&amp;"209")),INDIRECT("Returns!"&amp;$Z19&amp;"2:"&amp;$Z19&amp;"209")),IF(ISNUMBER(INDIRECT("Returns!"&amp;S$26&amp;"2:"&amp;S$26&amp;"209")),INDIRECT("Returns!"&amp;S$26&amp;"2:"&amp;S$26&amp;"209")))</f>
        <v>1</v>
      </c>
      <c r="T19" s="46" cm="1">
        <f t="array" aca="1" ref="T19" ca="1">CORREL(IF(ISNUMBER(INDIRECT("Returns!"&amp;$Z19&amp;"2:"&amp;$Z19&amp;"209")),INDIRECT("Returns!"&amp;$Z19&amp;"2:"&amp;$Z19&amp;"209")),IF(ISNUMBER(INDIRECT("Returns!"&amp;T$26&amp;"2:"&amp;T$26&amp;"209")),INDIRECT("Returns!"&amp;T$26&amp;"2:"&amp;T$26&amp;"209")))</f>
        <v>7.4011479770997271E-2</v>
      </c>
      <c r="U19" s="46" cm="1">
        <f t="array" aca="1" ref="U19" ca="1">CORREL(IF(ISNUMBER(INDIRECT("Returns!"&amp;$Z19&amp;"2:"&amp;$Z19&amp;"209")),INDIRECT("Returns!"&amp;$Z19&amp;"2:"&amp;$Z19&amp;"209")),IF(ISNUMBER(INDIRECT("Returns!"&amp;U$26&amp;"2:"&amp;U$26&amp;"209")),INDIRECT("Returns!"&amp;U$26&amp;"2:"&amp;U$26&amp;"209")))</f>
        <v>0.39167115922409085</v>
      </c>
      <c r="V19" s="46" cm="1">
        <f t="array" aca="1" ref="V19" ca="1">CORREL(IF(ISNUMBER(INDIRECT("Returns!"&amp;$Z19&amp;"2:"&amp;$Z19&amp;"209")),INDIRECT("Returns!"&amp;$Z19&amp;"2:"&amp;$Z19&amp;"209")),IF(ISNUMBER(INDIRECT("Returns!"&amp;V$26&amp;"2:"&amp;V$26&amp;"209")),INDIRECT("Returns!"&amp;V$26&amp;"2:"&amp;V$26&amp;"209")))</f>
        <v>-0.18569441318456281</v>
      </c>
      <c r="W19" s="46" cm="1">
        <f t="array" aca="1" ref="W19" ca="1">CORREL(IF(ISNUMBER(INDIRECT("Returns!"&amp;$Z19&amp;"2:"&amp;$Z19&amp;"209")),INDIRECT("Returns!"&amp;$Z19&amp;"2:"&amp;$Z19&amp;"209")),IF(ISNUMBER(INDIRECT("Returns!"&amp;W$26&amp;"2:"&amp;W$26&amp;"209")),INDIRECT("Returns!"&amp;W$26&amp;"2:"&amp;W$26&amp;"209")))</f>
        <v>-0.16286249930830496</v>
      </c>
      <c r="Y19" s="18"/>
      <c r="Z19" t="s">
        <v>162</v>
      </c>
    </row>
    <row r="20" spans="2:26" ht="24" customHeight="1" x14ac:dyDescent="0.35">
      <c r="B20" s="41" t="s">
        <v>98</v>
      </c>
      <c r="C20" s="46" cm="1">
        <f t="array" aca="1" ref="C20" ca="1">CORREL(IF(ISNUMBER(INDIRECT("Returns!"&amp;$Z20&amp;"2:"&amp;$Z20&amp;"209")),INDIRECT("Returns!"&amp;$Z20&amp;"2:"&amp;$Z20&amp;"209")),IF(ISNUMBER(INDIRECT("Returns!"&amp;C$26&amp;"2:"&amp;C$26&amp;"209")),INDIRECT("Returns!"&amp;C$26&amp;"2:"&amp;C$26&amp;"209")))</f>
        <v>0.84526963513243569</v>
      </c>
      <c r="D20" s="46" cm="1">
        <f t="array" aca="1" ref="D20" ca="1">CORREL(IF(ISNUMBER(INDIRECT("Returns!"&amp;$Z20&amp;"2:"&amp;$Z20&amp;"209")),INDIRECT("Returns!"&amp;$Z20&amp;"2:"&amp;$Z20&amp;"209")),IF(ISNUMBER(INDIRECT("Returns!"&amp;D$26&amp;"2:"&amp;D$26&amp;"209")),INDIRECT("Returns!"&amp;D$26&amp;"2:"&amp;D$26&amp;"209")))</f>
        <v>0.78415908016594738</v>
      </c>
      <c r="E20" s="46" cm="1">
        <f t="array" aca="1" ref="E20" ca="1">CORREL(IF(ISNUMBER(INDIRECT("Returns!"&amp;$Z20&amp;"2:"&amp;$Z20&amp;"209")),INDIRECT("Returns!"&amp;$Z20&amp;"2:"&amp;$Z20&amp;"209")),IF(ISNUMBER(INDIRECT("Returns!"&amp;E$26&amp;"2:"&amp;E$26&amp;"209")),INDIRECT("Returns!"&amp;E$26&amp;"2:"&amp;E$26&amp;"209")))</f>
        <v>0.77981117126944244</v>
      </c>
      <c r="F20" s="46" cm="1">
        <f t="array" aca="1" ref="F20" ca="1">CORREL(IF(ISNUMBER(INDIRECT("Returns!"&amp;$Z20&amp;"2:"&amp;$Z20&amp;"209")),INDIRECT("Returns!"&amp;$Z20&amp;"2:"&amp;$Z20&amp;"209")),IF(ISNUMBER(INDIRECT("Returns!"&amp;F$26&amp;"2:"&amp;F$26&amp;"209")),INDIRECT("Returns!"&amp;F$26&amp;"2:"&amp;F$26&amp;"209")))</f>
        <v>0.73916845490878824</v>
      </c>
      <c r="G20" s="46" cm="1">
        <f t="array" aca="1" ref="G20" ca="1">CORREL(IF(ISNUMBER(INDIRECT("Returns!"&amp;$Z20&amp;"2:"&amp;$Z20&amp;"209")),INDIRECT("Returns!"&amp;$Z20&amp;"2:"&amp;$Z20&amp;"209")),IF(ISNUMBER(INDIRECT("Returns!"&amp;G$26&amp;"2:"&amp;G$26&amp;"209")),INDIRECT("Returns!"&amp;G$26&amp;"2:"&amp;G$26&amp;"209")))</f>
        <v>0.86254117534632868</v>
      </c>
      <c r="H20" s="46" cm="1">
        <f t="array" aca="1" ref="H20" ca="1">CORREL(IF(ISNUMBER(INDIRECT("Returns!"&amp;$Z20&amp;"2:"&amp;$Z20&amp;"209")),INDIRECT("Returns!"&amp;$Z20&amp;"2:"&amp;$Z20&amp;"209")),IF(ISNUMBER(INDIRECT("Returns!"&amp;H$26&amp;"2:"&amp;H$26&amp;"209")),INDIRECT("Returns!"&amp;H$26&amp;"2:"&amp;H$26&amp;"209")))</f>
        <v>0.84709600933710605</v>
      </c>
      <c r="I20" s="46" cm="1">
        <f t="array" aca="1" ref="I20" ca="1">CORREL(IF(ISNUMBER(INDIRECT("Returns!"&amp;$Z20&amp;"2:"&amp;$Z20&amp;"209")),INDIRECT("Returns!"&amp;$Z20&amp;"2:"&amp;$Z20&amp;"209")),IF(ISNUMBER(INDIRECT("Returns!"&amp;I$26&amp;"2:"&amp;I$26&amp;"209")),INDIRECT("Returns!"&amp;I$26&amp;"2:"&amp;I$26&amp;"209")))</f>
        <v>0.81461645746529576</v>
      </c>
      <c r="J20" s="46" cm="1">
        <f t="array" aca="1" ref="J20" ca="1">CORREL(IF(ISNUMBER(INDIRECT("Returns!"&amp;$Z20&amp;"2:"&amp;$Z20&amp;"209")),INDIRECT("Returns!"&amp;$Z20&amp;"2:"&amp;$Z20&amp;"209")),IF(ISNUMBER(INDIRECT("Returns!"&amp;J$26&amp;"2:"&amp;J$26&amp;"209")),INDIRECT("Returns!"&amp;J$26&amp;"2:"&amp;J$26&amp;"209")))</f>
        <v>0.70456317041295158</v>
      </c>
      <c r="K20" s="46" cm="1">
        <f t="array" aca="1" ref="K20" ca="1">CORREL(IF(ISNUMBER(INDIRECT("Returns!"&amp;$Z20&amp;"2:"&amp;$Z20&amp;"209")),INDIRECT("Returns!"&amp;$Z20&amp;"2:"&amp;$Z20&amp;"209")),IF(ISNUMBER(INDIRECT("Returns!"&amp;K$26&amp;"2:"&amp;K$26&amp;"209")),INDIRECT("Returns!"&amp;K$26&amp;"2:"&amp;K$26&amp;"209")))</f>
        <v>0.44640418066781473</v>
      </c>
      <c r="L20" s="46" cm="1">
        <f t="array" aca="1" ref="L20" ca="1">CORREL(IF(ISNUMBER(INDIRECT("Returns!"&amp;$Z20&amp;"2:"&amp;$Z20&amp;"209")),INDIRECT("Returns!"&amp;$Z20&amp;"2:"&amp;$Z20&amp;"209")),IF(ISNUMBER(INDIRECT("Returns!"&amp;L$26&amp;"2:"&amp;L$26&amp;"209")),INDIRECT("Returns!"&amp;L$26&amp;"2:"&amp;L$26&amp;"209")))</f>
        <v>0.50241200899212712</v>
      </c>
      <c r="M20" s="46" cm="1">
        <f t="array" aca="1" ref="M20" ca="1">CORREL(IF(ISNUMBER(INDIRECT("Returns!"&amp;$Z20&amp;"2:"&amp;$Z20&amp;"209")),INDIRECT("Returns!"&amp;$Z20&amp;"2:"&amp;$Z20&amp;"209")),IF(ISNUMBER(INDIRECT("Returns!"&amp;M$26&amp;"2:"&amp;M$26&amp;"209")),INDIRECT("Returns!"&amp;M$26&amp;"2:"&amp;M$26&amp;"209")))</f>
        <v>0.73318321423521338</v>
      </c>
      <c r="N20" s="46" cm="1">
        <f t="array" aca="1" ref="N20" ca="1">CORREL(IF(ISNUMBER(INDIRECT("Returns!"&amp;$Z20&amp;"2:"&amp;$Z20&amp;"209")),INDIRECT("Returns!"&amp;$Z20&amp;"2:"&amp;$Z20&amp;"209")),IF(ISNUMBER(INDIRECT("Returns!"&amp;N$26&amp;"2:"&amp;N$26&amp;"209")),INDIRECT("Returns!"&amp;N$26&amp;"2:"&amp;N$26&amp;"209")))</f>
        <v>0.97407626682044379</v>
      </c>
      <c r="O20" s="46" cm="1">
        <f t="array" aca="1" ref="O20" ca="1">CORREL(IF(ISNUMBER(INDIRECT("Returns!"&amp;$Z20&amp;"2:"&amp;$Z20&amp;"209")),INDIRECT("Returns!"&amp;$Z20&amp;"2:"&amp;$Z20&amp;"209")),IF(ISNUMBER(INDIRECT("Returns!"&amp;O$26&amp;"2:"&amp;O$26&amp;"209")),INDIRECT("Returns!"&amp;O$26&amp;"2:"&amp;O$26&amp;"209")))</f>
        <v>0.81169898662058193</v>
      </c>
      <c r="P20" s="46" cm="1">
        <f t="array" aca="1" ref="P20" ca="1">CORREL(IF(ISNUMBER(INDIRECT("Returns!"&amp;$Z20&amp;"2:"&amp;$Z20&amp;"209")),INDIRECT("Returns!"&amp;$Z20&amp;"2:"&amp;$Z20&amp;"209")),IF(ISNUMBER(INDIRECT("Returns!"&amp;P$26&amp;"2:"&amp;P$26&amp;"209")),INDIRECT("Returns!"&amp;P$26&amp;"2:"&amp;P$26&amp;"209")))</f>
        <v>0.76893721361342926</v>
      </c>
      <c r="Q20" s="46" cm="1">
        <f t="array" aca="1" ref="Q20" ca="1">CORREL(IF(ISNUMBER(INDIRECT("Returns!"&amp;$Z20&amp;"2:"&amp;$Z20&amp;"209")),INDIRECT("Returns!"&amp;$Z20&amp;"2:"&amp;$Z20&amp;"209")),IF(ISNUMBER(INDIRECT("Returns!"&amp;Q$26&amp;"2:"&amp;Q$26&amp;"209")),INDIRECT("Returns!"&amp;Q$26&amp;"2:"&amp;Q$26&amp;"209")))</f>
        <v>0.26678035820898527</v>
      </c>
      <c r="R20" s="46" cm="1">
        <f t="array" aca="1" ref="R20" ca="1">CORREL(IF(ISNUMBER(INDIRECT("Returns!"&amp;$Z20&amp;"2:"&amp;$Z20&amp;"209")),INDIRECT("Returns!"&amp;$Z20&amp;"2:"&amp;$Z20&amp;"209")),IF(ISNUMBER(INDIRECT("Returns!"&amp;R$26&amp;"2:"&amp;R$26&amp;"209")),INDIRECT("Returns!"&amp;R$26&amp;"2:"&amp;R$26&amp;"209")))</f>
        <v>0.26174102131039934</v>
      </c>
      <c r="S20" s="46" cm="1">
        <f t="array" aca="1" ref="S20" ca="1">CORREL(IF(ISNUMBER(INDIRECT("Returns!"&amp;$Z20&amp;"2:"&amp;$Z20&amp;"209")),INDIRECT("Returns!"&amp;$Z20&amp;"2:"&amp;$Z20&amp;"209")),IF(ISNUMBER(INDIRECT("Returns!"&amp;S$26&amp;"2:"&amp;S$26&amp;"209")),INDIRECT("Returns!"&amp;S$26&amp;"2:"&amp;S$26&amp;"209")))</f>
        <v>7.4011479770997271E-2</v>
      </c>
      <c r="T20" s="46" cm="1">
        <f t="array" aca="1" ref="T20" ca="1">CORREL(IF(ISNUMBER(INDIRECT("Returns!"&amp;$Z20&amp;"2:"&amp;$Z20&amp;"209")),INDIRECT("Returns!"&amp;$Z20&amp;"2:"&amp;$Z20&amp;"209")),IF(ISNUMBER(INDIRECT("Returns!"&amp;T$26&amp;"2:"&amp;T$26&amp;"209")),INDIRECT("Returns!"&amp;T$26&amp;"2:"&amp;T$26&amp;"209")))</f>
        <v>1.0000000000000002</v>
      </c>
      <c r="U20" s="46" cm="1">
        <f t="array" aca="1" ref="U20" ca="1">CORREL(IF(ISNUMBER(INDIRECT("Returns!"&amp;$Z20&amp;"2:"&amp;$Z20&amp;"209")),INDIRECT("Returns!"&amp;$Z20&amp;"2:"&amp;$Z20&amp;"209")),IF(ISNUMBER(INDIRECT("Returns!"&amp;U$26&amp;"2:"&amp;U$26&amp;"209")),INDIRECT("Returns!"&amp;U$26&amp;"2:"&amp;U$26&amp;"209")))</f>
        <v>0.79706252943759093</v>
      </c>
      <c r="V20" s="46" cm="1">
        <f t="array" aca="1" ref="V20" ca="1">CORREL(IF(ISNUMBER(INDIRECT("Returns!"&amp;$Z20&amp;"2:"&amp;$Z20&amp;"209")),INDIRECT("Returns!"&amp;$Z20&amp;"2:"&amp;$Z20&amp;"209")),IF(ISNUMBER(INDIRECT("Returns!"&amp;V$26&amp;"2:"&amp;V$26&amp;"209")),INDIRECT("Returns!"&amp;V$26&amp;"2:"&amp;V$26&amp;"209")))</f>
        <v>-0.13836247608693902</v>
      </c>
      <c r="W20" s="46" cm="1">
        <f t="array" aca="1" ref="W20" ca="1">CORREL(IF(ISNUMBER(INDIRECT("Returns!"&amp;$Z20&amp;"2:"&amp;$Z20&amp;"209")),INDIRECT("Returns!"&amp;$Z20&amp;"2:"&amp;$Z20&amp;"209")),IF(ISNUMBER(INDIRECT("Returns!"&amp;W$26&amp;"2:"&amp;W$26&amp;"209")),INDIRECT("Returns!"&amp;W$26&amp;"2:"&amp;W$26&amp;"209")))</f>
        <v>-7.9224543832262753E-2</v>
      </c>
      <c r="Y20" s="18"/>
      <c r="Z20" t="s">
        <v>163</v>
      </c>
    </row>
    <row r="21" spans="2:26" ht="24" customHeight="1" x14ac:dyDescent="0.35">
      <c r="B21" s="41" t="s">
        <v>108</v>
      </c>
      <c r="C21" s="46" cm="1">
        <f t="array" aca="1" ref="C21" ca="1">CORREL(IF(ISNUMBER(INDIRECT("Returns!"&amp;$Z21&amp;"2:"&amp;$Z21&amp;"209")),INDIRECT("Returns!"&amp;$Z21&amp;"2:"&amp;$Z21&amp;"209")),IF(ISNUMBER(INDIRECT("Returns!"&amp;C$26&amp;"2:"&amp;C$26&amp;"209")),INDIRECT("Returns!"&amp;C$26&amp;"2:"&amp;C$26&amp;"209")))</f>
        <v>0.20408800106870909</v>
      </c>
      <c r="D21" s="46" cm="1">
        <f t="array" aca="1" ref="D21" ca="1">CORREL(IF(ISNUMBER(INDIRECT("Returns!"&amp;$Z21&amp;"2:"&amp;$Z21&amp;"209")),INDIRECT("Returns!"&amp;$Z21&amp;"2:"&amp;$Z21&amp;"209")),IF(ISNUMBER(INDIRECT("Returns!"&amp;D$26&amp;"2:"&amp;D$26&amp;"209")),INDIRECT("Returns!"&amp;D$26&amp;"2:"&amp;D$26&amp;"209")))</f>
        <v>0.23803702993530715</v>
      </c>
      <c r="E21" s="46" cm="1">
        <f t="array" aca="1" ref="E21" ca="1">CORREL(IF(ISNUMBER(INDIRECT("Returns!"&amp;$Z21&amp;"2:"&amp;$Z21&amp;"209")),INDIRECT("Returns!"&amp;$Z21&amp;"2:"&amp;$Z21&amp;"209")),IF(ISNUMBER(INDIRECT("Returns!"&amp;E$26&amp;"2:"&amp;E$26&amp;"209")),INDIRECT("Returns!"&amp;E$26&amp;"2:"&amp;E$26&amp;"209")))</f>
        <v>0.41194625746966268</v>
      </c>
      <c r="F21" s="46" cm="1">
        <f t="array" aca="1" ref="F21" ca="1">CORREL(IF(ISNUMBER(INDIRECT("Returns!"&amp;$Z21&amp;"2:"&amp;$Z21&amp;"209")),INDIRECT("Returns!"&amp;$Z21&amp;"2:"&amp;$Z21&amp;"209")),IF(ISNUMBER(INDIRECT("Returns!"&amp;F$26&amp;"2:"&amp;F$26&amp;"209")),INDIRECT("Returns!"&amp;F$26&amp;"2:"&amp;F$26&amp;"209")))</f>
        <v>0.30025574053904985</v>
      </c>
      <c r="G21" s="46" cm="1">
        <f t="array" aca="1" ref="G21" ca="1">CORREL(IF(ISNUMBER(INDIRECT("Returns!"&amp;$Z21&amp;"2:"&amp;$Z21&amp;"209")),INDIRECT("Returns!"&amp;$Z21&amp;"2:"&amp;$Z21&amp;"209")),IF(ISNUMBER(INDIRECT("Returns!"&amp;G$26&amp;"2:"&amp;G$26&amp;"209")),INDIRECT("Returns!"&amp;G$26&amp;"2:"&amp;G$26&amp;"209")))</f>
        <v>0.37267139430510482</v>
      </c>
      <c r="H21" s="46" cm="1">
        <f t="array" aca="1" ref="H21" ca="1">CORREL(IF(ISNUMBER(INDIRECT("Returns!"&amp;$Z21&amp;"2:"&amp;$Z21&amp;"209")),INDIRECT("Returns!"&amp;$Z21&amp;"2:"&amp;$Z21&amp;"209")),IF(ISNUMBER(INDIRECT("Returns!"&amp;H$26&amp;"2:"&amp;H$26&amp;"209")),INDIRECT("Returns!"&amp;H$26&amp;"2:"&amp;H$26&amp;"209")))</f>
        <v>0.53665022335404178</v>
      </c>
      <c r="I21" s="46" cm="1">
        <f t="array" aca="1" ref="I21" ca="1">CORREL(IF(ISNUMBER(INDIRECT("Returns!"&amp;$Z21&amp;"2:"&amp;$Z21&amp;"209")),INDIRECT("Returns!"&amp;$Z21&amp;"2:"&amp;$Z21&amp;"209")),IF(ISNUMBER(INDIRECT("Returns!"&amp;I$26&amp;"2:"&amp;I$26&amp;"209")),INDIRECT("Returns!"&amp;I$26&amp;"2:"&amp;I$26&amp;"209")))</f>
        <v>0.55470384488409108</v>
      </c>
      <c r="J21" s="46" cm="1">
        <f t="array" aca="1" ref="J21" ca="1">CORREL(IF(ISNUMBER(INDIRECT("Returns!"&amp;$Z21&amp;"2:"&amp;$Z21&amp;"209")),INDIRECT("Returns!"&amp;$Z21&amp;"2:"&amp;$Z21&amp;"209")),IF(ISNUMBER(INDIRECT("Returns!"&amp;J$26&amp;"2:"&amp;J$26&amp;"209")),INDIRECT("Returns!"&amp;J$26&amp;"2:"&amp;J$26&amp;"209")))</f>
        <v>0.5773117909376041</v>
      </c>
      <c r="K21" s="46" cm="1">
        <f t="array" aca="1" ref="K21" ca="1">CORREL(IF(ISNUMBER(INDIRECT("Returns!"&amp;$Z21&amp;"2:"&amp;$Z21&amp;"209")),INDIRECT("Returns!"&amp;$Z21&amp;"2:"&amp;$Z21&amp;"209")),IF(ISNUMBER(INDIRECT("Returns!"&amp;K$26&amp;"2:"&amp;K$26&amp;"209")),INDIRECT("Returns!"&amp;K$26&amp;"2:"&amp;K$26&amp;"209")))</f>
        <v>0.69528697236152215</v>
      </c>
      <c r="L21" s="46" cm="1">
        <f t="array" aca="1" ref="L21" ca="1">CORREL(IF(ISNUMBER(INDIRECT("Returns!"&amp;$Z21&amp;"2:"&amp;$Z21&amp;"209")),INDIRECT("Returns!"&amp;$Z21&amp;"2:"&amp;$Z21&amp;"209")),IF(ISNUMBER(INDIRECT("Returns!"&amp;L$26&amp;"2:"&amp;L$26&amp;"209")),INDIRECT("Returns!"&amp;L$26&amp;"2:"&amp;L$26&amp;"209")))</f>
        <v>0.66738008145678474</v>
      </c>
      <c r="M21" s="46" cm="1">
        <f t="array" aca="1" ref="M21" ca="1">CORREL(IF(ISNUMBER(INDIRECT("Returns!"&amp;$Z21&amp;"2:"&amp;$Z21&amp;"209")),INDIRECT("Returns!"&amp;$Z21&amp;"2:"&amp;$Z21&amp;"209")),IF(ISNUMBER(INDIRECT("Returns!"&amp;M$26&amp;"2:"&amp;M$26&amp;"209")),INDIRECT("Returns!"&amp;M$26&amp;"2:"&amp;M$26&amp;"209")))</f>
        <v>0.89890335190438508</v>
      </c>
      <c r="N21" s="46" cm="1">
        <f t="array" aca="1" ref="N21" ca="1">CORREL(IF(ISNUMBER(INDIRECT("Returns!"&amp;$Z21&amp;"2:"&amp;$Z21&amp;"209")),INDIRECT("Returns!"&amp;$Z21&amp;"2:"&amp;$Z21&amp;"209")),IF(ISNUMBER(INDIRECT("Returns!"&amp;N$26&amp;"2:"&amp;N$26&amp;"209")),INDIRECT("Returns!"&amp;N$26&amp;"2:"&amp;N$26&amp;"209")))</f>
        <v>0.29675871781879065</v>
      </c>
      <c r="O21" s="46" cm="1">
        <f t="array" aca="1" ref="O21" ca="1">CORREL(IF(ISNUMBER(INDIRECT("Returns!"&amp;$Z21&amp;"2:"&amp;$Z21&amp;"209")),INDIRECT("Returns!"&amp;$Z21&amp;"2:"&amp;$Z21&amp;"209")),IF(ISNUMBER(INDIRECT("Returns!"&amp;O$26&amp;"2:"&amp;O$26&amp;"209")),INDIRECT("Returns!"&amp;O$26&amp;"2:"&amp;O$26&amp;"209")))</f>
        <v>0.99741000166587379</v>
      </c>
      <c r="P21" s="46" cm="1">
        <f t="array" aca="1" ref="P21" ca="1">CORREL(IF(ISNUMBER(INDIRECT("Returns!"&amp;$Z21&amp;"2:"&amp;$Z21&amp;"209")),INDIRECT("Returns!"&amp;$Z21&amp;"2:"&amp;$Z21&amp;"209")),IF(ISNUMBER(INDIRECT("Returns!"&amp;P$26&amp;"2:"&amp;P$26&amp;"209")),INDIRECT("Returns!"&amp;P$26&amp;"2:"&amp;P$26&amp;"209")))</f>
        <v>0.45973332879437573</v>
      </c>
      <c r="Q21" s="46" cm="1">
        <f t="array" aca="1" ref="Q21" ca="1">CORREL(IF(ISNUMBER(INDIRECT("Returns!"&amp;$Z21&amp;"2:"&amp;$Z21&amp;"209")),INDIRECT("Returns!"&amp;$Z21&amp;"2:"&amp;$Z21&amp;"209")),IF(ISNUMBER(INDIRECT("Returns!"&amp;Q$26&amp;"2:"&amp;Q$26&amp;"209")),INDIRECT("Returns!"&amp;Q$26&amp;"2:"&amp;Q$26&amp;"209")))</f>
        <v>0.47267604858282636</v>
      </c>
      <c r="R21" s="46" cm="1">
        <f t="array" aca="1" ref="R21" ca="1">CORREL(IF(ISNUMBER(INDIRECT("Returns!"&amp;$Z21&amp;"2:"&amp;$Z21&amp;"209")),INDIRECT("Returns!"&amp;$Z21&amp;"2:"&amp;$Z21&amp;"209")),IF(ISNUMBER(INDIRECT("Returns!"&amp;R$26&amp;"2:"&amp;R$26&amp;"209")),INDIRECT("Returns!"&amp;R$26&amp;"2:"&amp;R$26&amp;"209")))</f>
        <v>0.42784575364471844</v>
      </c>
      <c r="S21" s="46" cm="1">
        <f t="array" aca="1" ref="S21" ca="1">CORREL(IF(ISNUMBER(INDIRECT("Returns!"&amp;$Z21&amp;"2:"&amp;$Z21&amp;"209")),INDIRECT("Returns!"&amp;$Z21&amp;"2:"&amp;$Z21&amp;"209")),IF(ISNUMBER(INDIRECT("Returns!"&amp;S$26&amp;"2:"&amp;S$26&amp;"209")),INDIRECT("Returns!"&amp;S$26&amp;"2:"&amp;S$26&amp;"209")))</f>
        <v>0.39167115922409085</v>
      </c>
      <c r="T21" s="46" cm="1">
        <f t="array" aca="1" ref="T21" ca="1">CORREL(IF(ISNUMBER(INDIRECT("Returns!"&amp;$Z21&amp;"2:"&amp;$Z21&amp;"209")),INDIRECT("Returns!"&amp;$Z21&amp;"2:"&amp;$Z21&amp;"209")),IF(ISNUMBER(INDIRECT("Returns!"&amp;T$26&amp;"2:"&amp;T$26&amp;"209")),INDIRECT("Returns!"&amp;T$26&amp;"2:"&amp;T$26&amp;"209")))</f>
        <v>0.79706252943759093</v>
      </c>
      <c r="U21" s="46" cm="1">
        <f t="array" aca="1" ref="U21" ca="1">CORREL(IF(ISNUMBER(INDIRECT("Returns!"&amp;$Z21&amp;"2:"&amp;$Z21&amp;"209")),INDIRECT("Returns!"&amp;$Z21&amp;"2:"&amp;$Z21&amp;"209")),IF(ISNUMBER(INDIRECT("Returns!"&amp;U$26&amp;"2:"&amp;U$26&amp;"209")),INDIRECT("Returns!"&amp;U$26&amp;"2:"&amp;U$26&amp;"209")))</f>
        <v>1.0000000000000002</v>
      </c>
      <c r="V21" s="46" cm="1">
        <f t="array" aca="1" ref="V21" ca="1">CORREL(IF(ISNUMBER(INDIRECT("Returns!"&amp;$Z21&amp;"2:"&amp;$Z21&amp;"209")),INDIRECT("Returns!"&amp;$Z21&amp;"2:"&amp;$Z21&amp;"209")),IF(ISNUMBER(INDIRECT("Returns!"&amp;V$26&amp;"2:"&amp;V$26&amp;"209")),INDIRECT("Returns!"&amp;V$26&amp;"2:"&amp;V$26&amp;"209")))</f>
        <v>3.339486796256199E-2</v>
      </c>
      <c r="W21" s="46" cm="1">
        <f t="array" aca="1" ref="W21" ca="1">CORREL(IF(ISNUMBER(INDIRECT("Returns!"&amp;$Z21&amp;"2:"&amp;$Z21&amp;"209")),INDIRECT("Returns!"&amp;$Z21&amp;"2:"&amp;$Z21&amp;"209")),IF(ISNUMBER(INDIRECT("Returns!"&amp;W$26&amp;"2:"&amp;W$26&amp;"209")),INDIRECT("Returns!"&amp;W$26&amp;"2:"&amp;W$26&amp;"209")))</f>
        <v>0.15169927740944159</v>
      </c>
      <c r="Y21" s="18"/>
      <c r="Z21" t="s">
        <v>164</v>
      </c>
    </row>
    <row r="22" spans="2:26" ht="24" customHeight="1" x14ac:dyDescent="0.35">
      <c r="B22" s="41" t="s">
        <v>81</v>
      </c>
      <c r="C22" s="46" cm="1">
        <f t="array" aca="1" ref="C22" ca="1">CORREL(IF(ISNUMBER(INDIRECT("Returns!"&amp;$Z22&amp;"2:"&amp;$Z22&amp;"209")),INDIRECT("Returns!"&amp;$Z22&amp;"2:"&amp;$Z22&amp;"209")),IF(ISNUMBER(INDIRECT("Returns!"&amp;C$26&amp;"2:"&amp;C$26&amp;"209")),INDIRECT("Returns!"&amp;C$26&amp;"2:"&amp;C$26&amp;"209")))</f>
        <v>-2.1257968033485564E-2</v>
      </c>
      <c r="D22" s="46" cm="1">
        <f t="array" aca="1" ref="D22" ca="1">CORREL(IF(ISNUMBER(INDIRECT("Returns!"&amp;$Z22&amp;"2:"&amp;$Z22&amp;"209")),INDIRECT("Returns!"&amp;$Z22&amp;"2:"&amp;$Z22&amp;"209")),IF(ISNUMBER(INDIRECT("Returns!"&amp;D$26&amp;"2:"&amp;D$26&amp;"209")),INDIRECT("Returns!"&amp;D$26&amp;"2:"&amp;D$26&amp;"209")))</f>
        <v>2.0533192866819712E-2</v>
      </c>
      <c r="E22" s="46" cm="1">
        <f t="array" aca="1" ref="E22" ca="1">CORREL(IF(ISNUMBER(INDIRECT("Returns!"&amp;$Z22&amp;"2:"&amp;$Z22&amp;"209")),INDIRECT("Returns!"&amp;$Z22&amp;"2:"&amp;$Z22&amp;"209")),IF(ISNUMBER(INDIRECT("Returns!"&amp;E$26&amp;"2:"&amp;E$26&amp;"209")),INDIRECT("Returns!"&amp;E$26&amp;"2:"&amp;E$26&amp;"209")))</f>
        <v>-2.5801309815000919E-2</v>
      </c>
      <c r="F22" s="46" cm="1">
        <f t="array" aca="1" ref="F22" ca="1">CORREL(IF(ISNUMBER(INDIRECT("Returns!"&amp;$Z22&amp;"2:"&amp;$Z22&amp;"209")),INDIRECT("Returns!"&amp;$Z22&amp;"2:"&amp;$Z22&amp;"209")),IF(ISNUMBER(INDIRECT("Returns!"&amp;F$26&amp;"2:"&amp;F$26&amp;"209")),INDIRECT("Returns!"&amp;F$26&amp;"2:"&amp;F$26&amp;"209")))</f>
        <v>-2.9892510927393358E-3</v>
      </c>
      <c r="G22" s="46" cm="1">
        <f t="array" aca="1" ref="G22" ca="1">CORREL(IF(ISNUMBER(INDIRECT("Returns!"&amp;$Z22&amp;"2:"&amp;$Z22&amp;"209")),INDIRECT("Returns!"&amp;$Z22&amp;"2:"&amp;$Z22&amp;"209")),IF(ISNUMBER(INDIRECT("Returns!"&amp;G$26&amp;"2:"&amp;G$26&amp;"209")),INDIRECT("Returns!"&amp;G$26&amp;"2:"&amp;G$26&amp;"209")))</f>
        <v>-8.4314918019160762E-3</v>
      </c>
      <c r="H22" s="46" cm="1">
        <f t="array" aca="1" ref="H22" ca="1">CORREL(IF(ISNUMBER(INDIRECT("Returns!"&amp;$Z22&amp;"2:"&amp;$Z22&amp;"209")),INDIRECT("Returns!"&amp;$Z22&amp;"2:"&amp;$Z22&amp;"209")),IF(ISNUMBER(INDIRECT("Returns!"&amp;H$26&amp;"2:"&amp;H$26&amp;"209")),INDIRECT("Returns!"&amp;H$26&amp;"2:"&amp;H$26&amp;"209")))</f>
        <v>1.3207777646730369E-2</v>
      </c>
      <c r="I22" s="46" cm="1">
        <f t="array" aca="1" ref="I22" ca="1">CORREL(IF(ISNUMBER(INDIRECT("Returns!"&amp;$Z22&amp;"2:"&amp;$Z22&amp;"209")),INDIRECT("Returns!"&amp;$Z22&amp;"2:"&amp;$Z22&amp;"209")),IF(ISNUMBER(INDIRECT("Returns!"&amp;I$26&amp;"2:"&amp;I$26&amp;"209")),INDIRECT("Returns!"&amp;I$26&amp;"2:"&amp;I$26&amp;"209")))</f>
        <v>5.2761371008476332E-2</v>
      </c>
      <c r="J22" s="46" cm="1">
        <f t="array" aca="1" ref="J22" ca="1">CORREL(IF(ISNUMBER(INDIRECT("Returns!"&amp;$Z22&amp;"2:"&amp;$Z22&amp;"209")),INDIRECT("Returns!"&amp;$Z22&amp;"2:"&amp;$Z22&amp;"209")),IF(ISNUMBER(INDIRECT("Returns!"&amp;J$26&amp;"2:"&amp;J$26&amp;"209")),INDIRECT("Returns!"&amp;J$26&amp;"2:"&amp;J$26&amp;"209")))</f>
        <v>2.381312934973448E-2</v>
      </c>
      <c r="K22" s="46" cm="1">
        <f t="array" aca="1" ref="K22" ca="1">CORREL(IF(ISNUMBER(INDIRECT("Returns!"&amp;$Z22&amp;"2:"&amp;$Z22&amp;"209")),INDIRECT("Returns!"&amp;$Z22&amp;"2:"&amp;$Z22&amp;"209")),IF(ISNUMBER(INDIRECT("Returns!"&amp;K$26&amp;"2:"&amp;K$26&amp;"209")),INDIRECT("Returns!"&amp;K$26&amp;"2:"&amp;K$26&amp;"209")))</f>
        <v>2.7078233029462582E-2</v>
      </c>
      <c r="L22" s="46" cm="1">
        <f t="array" aca="1" ref="L22" ca="1">CORREL(IF(ISNUMBER(INDIRECT("Returns!"&amp;$Z22&amp;"2:"&amp;$Z22&amp;"209")),INDIRECT("Returns!"&amp;$Z22&amp;"2:"&amp;$Z22&amp;"209")),IF(ISNUMBER(INDIRECT("Returns!"&amp;L$26&amp;"2:"&amp;L$26&amp;"209")),INDIRECT("Returns!"&amp;L$26&amp;"2:"&amp;L$26&amp;"209")))</f>
        <v>3.9790106933282013E-2</v>
      </c>
      <c r="M22" s="46" cm="1">
        <f t="array" aca="1" ref="M22" ca="1">CORREL(IF(ISNUMBER(INDIRECT("Returns!"&amp;$Z22&amp;"2:"&amp;$Z22&amp;"209")),INDIRECT("Returns!"&amp;$Z22&amp;"2:"&amp;$Z22&amp;"209")),IF(ISNUMBER(INDIRECT("Returns!"&amp;M$26&amp;"2:"&amp;M$26&amp;"209")),INDIRECT("Returns!"&amp;M$26&amp;"2:"&amp;M$26&amp;"209")))</f>
        <v>-7.6862678694430892E-2</v>
      </c>
      <c r="N22" s="46" cm="1">
        <f t="array" aca="1" ref="N22" ca="1">CORREL(IF(ISNUMBER(INDIRECT("Returns!"&amp;$Z22&amp;"2:"&amp;$Z22&amp;"209")),INDIRECT("Returns!"&amp;$Z22&amp;"2:"&amp;$Z22&amp;"209")),IF(ISNUMBER(INDIRECT("Returns!"&amp;N$26&amp;"2:"&amp;N$26&amp;"209")),INDIRECT("Returns!"&amp;N$26&amp;"2:"&amp;N$26&amp;"209")))</f>
        <v>-4.336504447688256E-2</v>
      </c>
      <c r="O22" s="46" cm="1">
        <f t="array" aca="1" ref="O22" ca="1">CORREL(IF(ISNUMBER(INDIRECT("Returns!"&amp;$Z22&amp;"2:"&amp;$Z22&amp;"209")),INDIRECT("Returns!"&amp;$Z22&amp;"2:"&amp;$Z22&amp;"209")),IF(ISNUMBER(INDIRECT("Returns!"&amp;O$26&amp;"2:"&amp;O$26&amp;"209")),INDIRECT("Returns!"&amp;O$26&amp;"2:"&amp;O$26&amp;"209")))</f>
        <v>3.4405303023956148E-2</v>
      </c>
      <c r="P22" s="46" cm="1">
        <f t="array" aca="1" ref="P22" ca="1">CORREL(IF(ISNUMBER(INDIRECT("Returns!"&amp;$Z22&amp;"2:"&amp;$Z22&amp;"209")),INDIRECT("Returns!"&amp;$Z22&amp;"2:"&amp;$Z22&amp;"209")),IF(ISNUMBER(INDIRECT("Returns!"&amp;P$26&amp;"2:"&amp;P$26&amp;"209")),INDIRECT("Returns!"&amp;P$26&amp;"2:"&amp;P$26&amp;"209")))</f>
        <v>4.3900427528795208E-2</v>
      </c>
      <c r="Q22" s="46" cm="1">
        <f t="array" aca="1" ref="Q22" ca="1">CORREL(IF(ISNUMBER(INDIRECT("Returns!"&amp;$Z22&amp;"2:"&amp;$Z22&amp;"209")),INDIRECT("Returns!"&amp;$Z22&amp;"2:"&amp;$Z22&amp;"209")),IF(ISNUMBER(INDIRECT("Returns!"&amp;Q$26&amp;"2:"&amp;Q$26&amp;"209")),INDIRECT("Returns!"&amp;Q$26&amp;"2:"&amp;Q$26&amp;"209")))</f>
        <v>0.15419626042255496</v>
      </c>
      <c r="R22" s="46" cm="1">
        <f t="array" aca="1" ref="R22" ca="1">CORREL(IF(ISNUMBER(INDIRECT("Returns!"&amp;$Z22&amp;"2:"&amp;$Z22&amp;"209")),INDIRECT("Returns!"&amp;$Z22&amp;"2:"&amp;$Z22&amp;"209")),IF(ISNUMBER(INDIRECT("Returns!"&amp;R$26&amp;"2:"&amp;R$26&amp;"209")),INDIRECT("Returns!"&amp;R$26&amp;"2:"&amp;R$26&amp;"209")))</f>
        <v>0.11734719417155644</v>
      </c>
      <c r="S22" s="46" cm="1">
        <f t="array" aca="1" ref="S22" ca="1">CORREL(IF(ISNUMBER(INDIRECT("Returns!"&amp;$Z22&amp;"2:"&amp;$Z22&amp;"209")),INDIRECT("Returns!"&amp;$Z22&amp;"2:"&amp;$Z22&amp;"209")),IF(ISNUMBER(INDIRECT("Returns!"&amp;S$26&amp;"2:"&amp;S$26&amp;"209")),INDIRECT("Returns!"&amp;S$26&amp;"2:"&amp;S$26&amp;"209")))</f>
        <v>-0.18569441318456281</v>
      </c>
      <c r="T22" s="46" cm="1">
        <f t="array" aca="1" ref="T22" ca="1">CORREL(IF(ISNUMBER(INDIRECT("Returns!"&amp;$Z22&amp;"2:"&amp;$Z22&amp;"209")),INDIRECT("Returns!"&amp;$Z22&amp;"2:"&amp;$Z22&amp;"209")),IF(ISNUMBER(INDIRECT("Returns!"&amp;T$26&amp;"2:"&amp;T$26&amp;"209")),INDIRECT("Returns!"&amp;T$26&amp;"2:"&amp;T$26&amp;"209")))</f>
        <v>-0.13836247608693902</v>
      </c>
      <c r="U22" s="46" cm="1">
        <f t="array" aca="1" ref="U22" ca="1">CORREL(IF(ISNUMBER(INDIRECT("Returns!"&amp;$Z22&amp;"2:"&amp;$Z22&amp;"209")),INDIRECT("Returns!"&amp;$Z22&amp;"2:"&amp;$Z22&amp;"209")),IF(ISNUMBER(INDIRECT("Returns!"&amp;U$26&amp;"2:"&amp;U$26&amp;"209")),INDIRECT("Returns!"&amp;U$26&amp;"2:"&amp;U$26&amp;"209")))</f>
        <v>3.339486796256199E-2</v>
      </c>
      <c r="V22" s="46" cm="1">
        <f t="array" aca="1" ref="V22" ca="1">CORREL(IF(ISNUMBER(INDIRECT("Returns!"&amp;$Z22&amp;"2:"&amp;$Z22&amp;"209")),INDIRECT("Returns!"&amp;$Z22&amp;"2:"&amp;$Z22&amp;"209")),IF(ISNUMBER(INDIRECT("Returns!"&amp;V$26&amp;"2:"&amp;V$26&amp;"209")),INDIRECT("Returns!"&amp;V$26&amp;"2:"&amp;V$26&amp;"209")))</f>
        <v>1</v>
      </c>
      <c r="W22" s="46" cm="1">
        <f t="array" aca="1" ref="W22" ca="1">CORREL(IF(ISNUMBER(INDIRECT("Returns!"&amp;$Z22&amp;"2:"&amp;$Z22&amp;"209")),INDIRECT("Returns!"&amp;$Z22&amp;"2:"&amp;$Z22&amp;"209")),IF(ISNUMBER(INDIRECT("Returns!"&amp;W$26&amp;"2:"&amp;W$26&amp;"209")),INDIRECT("Returns!"&amp;W$26&amp;"2:"&amp;W$26&amp;"209")))</f>
        <v>0.7083808120353271</v>
      </c>
      <c r="Y22" s="18"/>
      <c r="Z22" t="s">
        <v>165</v>
      </c>
    </row>
    <row r="23" spans="2:26" ht="24" customHeight="1" x14ac:dyDescent="0.35">
      <c r="B23" s="41" t="s">
        <v>97</v>
      </c>
      <c r="C23" s="46" cm="1">
        <f t="array" aca="1" ref="C23" ca="1">CORREL(IF(ISNUMBER(INDIRECT("Returns!"&amp;$Z23&amp;"2:"&amp;$Z23&amp;"209")),INDIRECT("Returns!"&amp;$Z23&amp;"2:"&amp;$Z23&amp;"209")),IF(ISNUMBER(INDIRECT("Returns!"&amp;C$26&amp;"2:"&amp;C$26&amp;"209")),INDIRECT("Returns!"&amp;C$26&amp;"2:"&amp;C$26&amp;"209")))</f>
        <v>1.055955377951665E-2</v>
      </c>
      <c r="D23" s="46" cm="1">
        <f t="array" aca="1" ref="D23" ca="1">CORREL(IF(ISNUMBER(INDIRECT("Returns!"&amp;$Z23&amp;"2:"&amp;$Z23&amp;"209")),INDIRECT("Returns!"&amp;$Z23&amp;"2:"&amp;$Z23&amp;"209")),IF(ISNUMBER(INDIRECT("Returns!"&amp;D$26&amp;"2:"&amp;D$26&amp;"209")),INDIRECT("Returns!"&amp;D$26&amp;"2:"&amp;D$26&amp;"209")))</f>
        <v>2.719903134659649E-2</v>
      </c>
      <c r="E23" s="46" cm="1">
        <f t="array" aca="1" ref="E23" ca="1">CORREL(IF(ISNUMBER(INDIRECT("Returns!"&amp;$Z23&amp;"2:"&amp;$Z23&amp;"209")),INDIRECT("Returns!"&amp;$Z23&amp;"2:"&amp;$Z23&amp;"209")),IF(ISNUMBER(INDIRECT("Returns!"&amp;E$26&amp;"2:"&amp;E$26&amp;"209")),INDIRECT("Returns!"&amp;E$26&amp;"2:"&amp;E$26&amp;"209")))</f>
        <v>2.449135902429863E-2</v>
      </c>
      <c r="F23" s="46" cm="1">
        <f t="array" aca="1" ref="F23" ca="1">CORREL(IF(ISNUMBER(INDIRECT("Returns!"&amp;$Z23&amp;"2:"&amp;$Z23&amp;"209")),INDIRECT("Returns!"&amp;$Z23&amp;"2:"&amp;$Z23&amp;"209")),IF(ISNUMBER(INDIRECT("Returns!"&amp;F$26&amp;"2:"&amp;F$26&amp;"209")),INDIRECT("Returns!"&amp;F$26&amp;"2:"&amp;F$26&amp;"209")))</f>
        <v>1.3627061667798928E-2</v>
      </c>
      <c r="G23" s="46" cm="1">
        <f t="array" aca="1" ref="G23" ca="1">CORREL(IF(ISNUMBER(INDIRECT("Returns!"&amp;$Z23&amp;"2:"&amp;$Z23&amp;"209")),INDIRECT("Returns!"&amp;$Z23&amp;"2:"&amp;$Z23&amp;"209")),IF(ISNUMBER(INDIRECT("Returns!"&amp;G$26&amp;"2:"&amp;G$26&amp;"209")),INDIRECT("Returns!"&amp;G$26&amp;"2:"&amp;G$26&amp;"209")))</f>
        <v>3.2387849149426329E-2</v>
      </c>
      <c r="H23" s="46" cm="1">
        <f t="array" aca="1" ref="H23" ca="1">CORREL(IF(ISNUMBER(INDIRECT("Returns!"&amp;$Z23&amp;"2:"&amp;$Z23&amp;"209")),INDIRECT("Returns!"&amp;$Z23&amp;"2:"&amp;$Z23&amp;"209")),IF(ISNUMBER(INDIRECT("Returns!"&amp;H$26&amp;"2:"&amp;H$26&amp;"209")),INDIRECT("Returns!"&amp;H$26&amp;"2:"&amp;H$26&amp;"209")))</f>
        <v>5.2376267119790508E-2</v>
      </c>
      <c r="I23" s="46" cm="1">
        <f t="array" aca="1" ref="I23" ca="1">CORREL(IF(ISNUMBER(INDIRECT("Returns!"&amp;$Z23&amp;"2:"&amp;$Z23&amp;"209")),INDIRECT("Returns!"&amp;$Z23&amp;"2:"&amp;$Z23&amp;"209")),IF(ISNUMBER(INDIRECT("Returns!"&amp;I$26&amp;"2:"&amp;I$26&amp;"209")),INDIRECT("Returns!"&amp;I$26&amp;"2:"&amp;I$26&amp;"209")))</f>
        <v>8.1744499676357371E-2</v>
      </c>
      <c r="J23" s="46" cm="1">
        <f t="array" aca="1" ref="J23" ca="1">CORREL(IF(ISNUMBER(INDIRECT("Returns!"&amp;$Z23&amp;"2:"&amp;$Z23&amp;"209")),INDIRECT("Returns!"&amp;$Z23&amp;"2:"&amp;$Z23&amp;"209")),IF(ISNUMBER(INDIRECT("Returns!"&amp;J$26&amp;"2:"&amp;J$26&amp;"209")),INDIRECT("Returns!"&amp;J$26&amp;"2:"&amp;J$26&amp;"209")))</f>
        <v>4.9138157501599812E-2</v>
      </c>
      <c r="K23" s="46" cm="1">
        <f t="array" aca="1" ref="K23" ca="1">CORREL(IF(ISNUMBER(INDIRECT("Returns!"&amp;$Z23&amp;"2:"&amp;$Z23&amp;"209")),INDIRECT("Returns!"&amp;$Z23&amp;"2:"&amp;$Z23&amp;"209")),IF(ISNUMBER(INDIRECT("Returns!"&amp;K$26&amp;"2:"&amp;K$26&amp;"209")),INDIRECT("Returns!"&amp;K$26&amp;"2:"&amp;K$26&amp;"209")))</f>
        <v>9.4711380410526555E-2</v>
      </c>
      <c r="L23" s="46" cm="1">
        <f t="array" aca="1" ref="L23" ca="1">CORREL(IF(ISNUMBER(INDIRECT("Returns!"&amp;$Z23&amp;"2:"&amp;$Z23&amp;"209")),INDIRECT("Returns!"&amp;$Z23&amp;"2:"&amp;$Z23&amp;"209")),IF(ISNUMBER(INDIRECT("Returns!"&amp;L$26&amp;"2:"&amp;L$26&amp;"209")),INDIRECT("Returns!"&amp;L$26&amp;"2:"&amp;L$26&amp;"209")))</f>
        <v>9.2215032649488618E-2</v>
      </c>
      <c r="M23" s="46" cm="1">
        <f t="array" aca="1" ref="M23" ca="1">CORREL(IF(ISNUMBER(INDIRECT("Returns!"&amp;$Z23&amp;"2:"&amp;$Z23&amp;"209")),INDIRECT("Returns!"&amp;$Z23&amp;"2:"&amp;$Z23&amp;"209")),IF(ISNUMBER(INDIRECT("Returns!"&amp;M$26&amp;"2:"&amp;M$26&amp;"209")),INDIRECT("Returns!"&amp;M$26&amp;"2:"&amp;M$26&amp;"209")))</f>
        <v>-0.12385075747097224</v>
      </c>
      <c r="N23" s="46" cm="1">
        <f t="array" aca="1" ref="N23" ca="1">CORREL(IF(ISNUMBER(INDIRECT("Returns!"&amp;$Z23&amp;"2:"&amp;$Z23&amp;"209")),INDIRECT("Returns!"&amp;$Z23&amp;"2:"&amp;$Z23&amp;"209")),IF(ISNUMBER(INDIRECT("Returns!"&amp;N$26&amp;"2:"&amp;N$26&amp;"209")),INDIRECT("Returns!"&amp;N$26&amp;"2:"&amp;N$26&amp;"209")))</f>
        <v>1.1248762267049031E-2</v>
      </c>
      <c r="O23" s="46" cm="1">
        <f t="array" aca="1" ref="O23" ca="1">CORREL(IF(ISNUMBER(INDIRECT("Returns!"&amp;$Z23&amp;"2:"&amp;$Z23&amp;"209")),INDIRECT("Returns!"&amp;$Z23&amp;"2:"&amp;$Z23&amp;"209")),IF(ISNUMBER(INDIRECT("Returns!"&amp;O$26&amp;"2:"&amp;O$26&amp;"209")),INDIRECT("Returns!"&amp;O$26&amp;"2:"&amp;O$26&amp;"209")))</f>
        <v>0.1605098284861699</v>
      </c>
      <c r="P23" s="46" cm="1">
        <f t="array" aca="1" ref="P23" ca="1">CORREL(IF(ISNUMBER(INDIRECT("Returns!"&amp;$Z23&amp;"2:"&amp;$Z23&amp;"209")),INDIRECT("Returns!"&amp;$Z23&amp;"2:"&amp;$Z23&amp;"209")),IF(ISNUMBER(INDIRECT("Returns!"&amp;P$26&amp;"2:"&amp;P$26&amp;"209")),INDIRECT("Returns!"&amp;P$26&amp;"2:"&amp;P$26&amp;"209")))</f>
        <v>7.0799091950377271E-2</v>
      </c>
      <c r="Q23" s="46" cm="1">
        <f t="array" aca="1" ref="Q23" ca="1">CORREL(IF(ISNUMBER(INDIRECT("Returns!"&amp;$Z23&amp;"2:"&amp;$Z23&amp;"209")),INDIRECT("Returns!"&amp;$Z23&amp;"2:"&amp;$Z23&amp;"209")),IF(ISNUMBER(INDIRECT("Returns!"&amp;Q$26&amp;"2:"&amp;Q$26&amp;"209")),INDIRECT("Returns!"&amp;Q$26&amp;"2:"&amp;Q$26&amp;"209")))</f>
        <v>0.21594813220552472</v>
      </c>
      <c r="R23" s="46" cm="1">
        <f t="array" aca="1" ref="R23" ca="1">CORREL(IF(ISNUMBER(INDIRECT("Returns!"&amp;$Z23&amp;"2:"&amp;$Z23&amp;"209")),INDIRECT("Returns!"&amp;$Z23&amp;"2:"&amp;$Z23&amp;"209")),IF(ISNUMBER(INDIRECT("Returns!"&amp;R$26&amp;"2:"&amp;R$26&amp;"209")),INDIRECT("Returns!"&amp;R$26&amp;"2:"&amp;R$26&amp;"209")))</f>
        <v>0.18051270407473116</v>
      </c>
      <c r="S23" s="46" cm="1">
        <f t="array" aca="1" ref="S23" ca="1">CORREL(IF(ISNUMBER(INDIRECT("Returns!"&amp;$Z23&amp;"2:"&amp;$Z23&amp;"209")),INDIRECT("Returns!"&amp;$Z23&amp;"2:"&amp;$Z23&amp;"209")),IF(ISNUMBER(INDIRECT("Returns!"&amp;S$26&amp;"2:"&amp;S$26&amp;"209")),INDIRECT("Returns!"&amp;S$26&amp;"2:"&amp;S$26&amp;"209")))</f>
        <v>-0.16286249930830496</v>
      </c>
      <c r="T23" s="46" cm="1">
        <f t="array" aca="1" ref="T23" ca="1">CORREL(IF(ISNUMBER(INDIRECT("Returns!"&amp;$Z23&amp;"2:"&amp;$Z23&amp;"209")),INDIRECT("Returns!"&amp;$Z23&amp;"2:"&amp;$Z23&amp;"209")),IF(ISNUMBER(INDIRECT("Returns!"&amp;T$26&amp;"2:"&amp;T$26&amp;"209")),INDIRECT("Returns!"&amp;T$26&amp;"2:"&amp;T$26&amp;"209")))</f>
        <v>-7.9224543832262753E-2</v>
      </c>
      <c r="U23" s="46" cm="1">
        <f t="array" aca="1" ref="U23" ca="1">CORREL(IF(ISNUMBER(INDIRECT("Returns!"&amp;$Z23&amp;"2:"&amp;$Z23&amp;"209")),INDIRECT("Returns!"&amp;$Z23&amp;"2:"&amp;$Z23&amp;"209")),IF(ISNUMBER(INDIRECT("Returns!"&amp;U$26&amp;"2:"&amp;U$26&amp;"209")),INDIRECT("Returns!"&amp;U$26&amp;"2:"&amp;U$26&amp;"209")))</f>
        <v>0.15169927740944159</v>
      </c>
      <c r="V23" s="46" cm="1">
        <f t="array" aca="1" ref="V23" ca="1">CORREL(IF(ISNUMBER(INDIRECT("Returns!"&amp;$Z23&amp;"2:"&amp;$Z23&amp;"209")),INDIRECT("Returns!"&amp;$Z23&amp;"2:"&amp;$Z23&amp;"209")),IF(ISNUMBER(INDIRECT("Returns!"&amp;V$26&amp;"2:"&amp;V$26&amp;"209")),INDIRECT("Returns!"&amp;V$26&amp;"2:"&amp;V$26&amp;"209")))</f>
        <v>0.7083808120353271</v>
      </c>
      <c r="W23" s="46" cm="1">
        <f t="array" aca="1" ref="W23" ca="1">CORREL(IF(ISNUMBER(INDIRECT("Returns!"&amp;$Z23&amp;"2:"&amp;$Z23&amp;"209")),INDIRECT("Returns!"&amp;$Z23&amp;"2:"&amp;$Z23&amp;"209")),IF(ISNUMBER(INDIRECT("Returns!"&amp;W$26&amp;"2:"&amp;W$26&amp;"209")),INDIRECT("Returns!"&amp;W$26&amp;"2:"&amp;W$26&amp;"209")))</f>
        <v>1.0000000000000002</v>
      </c>
      <c r="Y23" s="18"/>
      <c r="Z23" t="s">
        <v>166</v>
      </c>
    </row>
    <row r="25" spans="2:26" x14ac:dyDescent="0.35">
      <c r="C25" s="45"/>
      <c r="D25" s="18"/>
      <c r="E25" s="18"/>
      <c r="F25" s="18"/>
      <c r="G25" s="18"/>
      <c r="H25" s="18"/>
      <c r="I25" s="18"/>
      <c r="J25" s="18"/>
      <c r="K25" s="18"/>
      <c r="L25" s="18"/>
      <c r="M25" s="18"/>
      <c r="N25" s="18"/>
      <c r="O25" s="18"/>
      <c r="P25" s="18"/>
      <c r="Q25" s="18"/>
      <c r="R25" s="18"/>
      <c r="S25" s="18"/>
      <c r="T25" s="18"/>
      <c r="U25" s="18"/>
      <c r="V25" s="18"/>
      <c r="W25" s="18"/>
    </row>
    <row r="26" spans="2:26" x14ac:dyDescent="0.35">
      <c r="C26" t="s">
        <v>136</v>
      </c>
      <c r="D26" t="s">
        <v>147</v>
      </c>
      <c r="E26" t="s">
        <v>148</v>
      </c>
      <c r="F26" t="s">
        <v>149</v>
      </c>
      <c r="G26" t="s">
        <v>150</v>
      </c>
      <c r="H26" t="s">
        <v>151</v>
      </c>
      <c r="I26" t="s">
        <v>152</v>
      </c>
      <c r="J26" t="s">
        <v>153</v>
      </c>
      <c r="K26" t="s">
        <v>154</v>
      </c>
      <c r="L26" t="s">
        <v>155</v>
      </c>
      <c r="M26" t="s">
        <v>156</v>
      </c>
      <c r="N26" t="s">
        <v>157</v>
      </c>
      <c r="O26" t="s">
        <v>158</v>
      </c>
      <c r="P26" t="s">
        <v>159</v>
      </c>
      <c r="Q26" t="s">
        <v>160</v>
      </c>
      <c r="R26" t="s">
        <v>161</v>
      </c>
      <c r="S26" t="s">
        <v>162</v>
      </c>
      <c r="T26" t="s">
        <v>163</v>
      </c>
      <c r="U26" t="s">
        <v>164</v>
      </c>
      <c r="V26" t="s">
        <v>165</v>
      </c>
      <c r="W26" t="s">
        <v>166</v>
      </c>
    </row>
  </sheetData>
  <conditionalFormatting sqref="C3:W23">
    <cfRule type="colorScale" priority="1">
      <colorScale>
        <cfvo type="min"/>
        <cfvo type="percentile" val="50"/>
        <cfvo type="max"/>
        <color rgb="FF097B9F"/>
        <color rgb="FFFCFCFF"/>
        <color rgb="FFC75959"/>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E8392-1075-4F49-A3C6-8D8980F3EE25}">
  <dimension ref="B2:W23"/>
  <sheetViews>
    <sheetView topLeftCell="A2" zoomScale="70" zoomScaleNormal="70" workbookViewId="0">
      <selection activeCell="C3" sqref="C3"/>
    </sheetView>
  </sheetViews>
  <sheetFormatPr defaultRowHeight="14.5" x14ac:dyDescent="0.35"/>
  <cols>
    <col min="1" max="1" width="4.26953125" customWidth="1"/>
    <col min="2" max="2" width="16.81640625" customWidth="1"/>
    <col min="3" max="3" width="4.6328125" bestFit="1" customWidth="1"/>
    <col min="4" max="12" width="4.08984375" bestFit="1" customWidth="1"/>
    <col min="13" max="14" width="4.36328125" bestFit="1" customWidth="1"/>
    <col min="15" max="18" width="4.08984375" bestFit="1" customWidth="1"/>
    <col min="19" max="19" width="4.6328125" bestFit="1" customWidth="1"/>
    <col min="20" max="21" width="4.08984375" bestFit="1" customWidth="1"/>
    <col min="22" max="23" width="4.36328125" bestFit="1" customWidth="1"/>
  </cols>
  <sheetData>
    <row r="2" spans="2:23" ht="93" customHeight="1" x14ac:dyDescent="0.35">
      <c r="B2" s="40"/>
      <c r="C2" s="42" t="s">
        <v>89</v>
      </c>
      <c r="D2" s="42" t="s">
        <v>90</v>
      </c>
      <c r="E2" s="42" t="s">
        <v>96</v>
      </c>
      <c r="F2" s="42" t="s">
        <v>95</v>
      </c>
      <c r="G2" s="42" t="s">
        <v>92</v>
      </c>
      <c r="H2" s="42" t="s">
        <v>100</v>
      </c>
      <c r="I2" s="42" t="s">
        <v>101</v>
      </c>
      <c r="J2" s="42" t="s">
        <v>102</v>
      </c>
      <c r="K2" s="42" t="s">
        <v>93</v>
      </c>
      <c r="L2" s="42" t="s">
        <v>103</v>
      </c>
      <c r="M2" s="42" t="s">
        <v>104</v>
      </c>
      <c r="N2" s="42" t="s">
        <v>91</v>
      </c>
      <c r="O2" s="42" t="s">
        <v>105</v>
      </c>
      <c r="P2" s="42" t="s">
        <v>106</v>
      </c>
      <c r="Q2" s="42" t="s">
        <v>99</v>
      </c>
      <c r="R2" s="42" t="s">
        <v>107</v>
      </c>
      <c r="S2" s="42" t="s">
        <v>94</v>
      </c>
      <c r="T2" s="42" t="s">
        <v>98</v>
      </c>
      <c r="U2" s="42" t="s">
        <v>108</v>
      </c>
      <c r="V2" s="42" t="s">
        <v>81</v>
      </c>
      <c r="W2" s="42" t="s">
        <v>97</v>
      </c>
    </row>
    <row r="3" spans="2:23" ht="23.5" customHeight="1" x14ac:dyDescent="0.35">
      <c r="B3" s="41" t="s">
        <v>89</v>
      </c>
      <c r="C3" s="44">
        <f ca="1">'Hist Corr matrix'!C3*VLOOKUP('Hist Cov matrix'!$B3,'Asset Universe'!$C$3:$O$23,13,0)*VLOOKUP('Hist Cov matrix'!C$2,'Asset Universe'!$C$3:$O$23,13,0)</f>
        <v>1.4872008171627092E-3</v>
      </c>
      <c r="D3" s="44">
        <f ca="1">'Hist Corr matrix'!D3*VLOOKUP('Hist Cov matrix'!$B3,'Asset Universe'!$C$3:$O$23,13,0)*VLOOKUP('Hist Cov matrix'!D$2,'Asset Universe'!$C$3:$O$23,13,0)</f>
        <v>2.8041961958634987E-3</v>
      </c>
      <c r="E3" s="44">
        <f ca="1">'Hist Corr matrix'!E3*VLOOKUP('Hist Cov matrix'!$B3,'Asset Universe'!$C$3:$O$23,13,0)*VLOOKUP('Hist Cov matrix'!E$2,'Asset Universe'!$C$3:$O$23,13,0)</f>
        <v>8.7276529794160602E-4</v>
      </c>
      <c r="F3" s="44">
        <f ca="1">'Hist Corr matrix'!F3*VLOOKUP('Hist Cov matrix'!$B3,'Asset Universe'!$C$3:$O$23,13,0)*VLOOKUP('Hist Cov matrix'!F$2,'Asset Universe'!$C$3:$O$23,13,0)</f>
        <v>1.276113597554907E-3</v>
      </c>
      <c r="G3" s="44">
        <f ca="1">'Hist Corr matrix'!G3*VLOOKUP('Hist Cov matrix'!$B3,'Asset Universe'!$C$3:$O$23,13,0)*VLOOKUP('Hist Cov matrix'!G$2,'Asset Universe'!$C$3:$O$23,13,0)</f>
        <v>1.0682772722312834E-3</v>
      </c>
      <c r="H3" s="44">
        <f ca="1">'Hist Corr matrix'!H3*VLOOKUP('Hist Cov matrix'!$B3,'Asset Universe'!$C$3:$O$23,13,0)*VLOOKUP('Hist Cov matrix'!H$2,'Asset Universe'!$C$3:$O$23,13,0)</f>
        <v>9.604833028959924E-4</v>
      </c>
      <c r="I3" s="44">
        <f ca="1">'Hist Corr matrix'!I3*VLOOKUP('Hist Cov matrix'!$B3,'Asset Universe'!$C$3:$O$23,13,0)*VLOOKUP('Hist Cov matrix'!I$2,'Asset Universe'!$C$3:$O$23,13,0)</f>
        <v>8.9306545094756799E-4</v>
      </c>
      <c r="J3" s="44">
        <f ca="1">'Hist Corr matrix'!J3*VLOOKUP('Hist Cov matrix'!$B3,'Asset Universe'!$C$3:$O$23,13,0)*VLOOKUP('Hist Cov matrix'!J$2,'Asset Universe'!$C$3:$O$23,13,0)</f>
        <v>7.8201257489429038E-4</v>
      </c>
      <c r="K3" s="44">
        <f ca="1">'Hist Corr matrix'!K3*VLOOKUP('Hist Cov matrix'!$B3,'Asset Universe'!$C$3:$O$23,13,0)*VLOOKUP('Hist Cov matrix'!K$2,'Asset Universe'!$C$3:$O$23,13,0)</f>
        <v>-1.6677725517533361E-4</v>
      </c>
      <c r="L3" s="44">
        <f ca="1">'Hist Corr matrix'!L3*VLOOKUP('Hist Cov matrix'!$B3,'Asset Universe'!$C$3:$O$23,13,0)*VLOOKUP('Hist Cov matrix'!L$2,'Asset Universe'!$C$3:$O$23,13,0)</f>
        <v>3.81591179418641E-4</v>
      </c>
      <c r="M3" s="44">
        <f ca="1">'Hist Corr matrix'!M3*VLOOKUP('Hist Cov matrix'!$B3,'Asset Universe'!$C$3:$O$23,13,0)*VLOOKUP('Hist Cov matrix'!M$2,'Asset Universe'!$C$3:$O$23,13,0)</f>
        <v>6.7442707639416661E-4</v>
      </c>
      <c r="N3" s="44">
        <f ca="1">'Hist Corr matrix'!N3*VLOOKUP('Hist Cov matrix'!$B3,'Asset Universe'!$C$3:$O$23,13,0)*VLOOKUP('Hist Cov matrix'!N$2,'Asset Universe'!$C$3:$O$23,13,0)</f>
        <v>1.4800794891664212E-3</v>
      </c>
      <c r="O3" s="44">
        <f ca="1">'Hist Corr matrix'!O3*VLOOKUP('Hist Cov matrix'!$B3,'Asset Universe'!$C$3:$O$23,13,0)*VLOOKUP('Hist Cov matrix'!O$2,'Asset Universe'!$C$3:$O$23,13,0)</f>
        <v>4.1609535270921357E-4</v>
      </c>
      <c r="P3" s="44">
        <f ca="1">'Hist Corr matrix'!P3*VLOOKUP('Hist Cov matrix'!$B3,'Asset Universe'!$C$3:$O$23,13,0)*VLOOKUP('Hist Cov matrix'!P$2,'Asset Universe'!$C$3:$O$23,13,0)</f>
        <v>6.395308225377917E-4</v>
      </c>
      <c r="Q3" s="44">
        <f ca="1">'Hist Corr matrix'!Q3*VLOOKUP('Hist Cov matrix'!$B3,'Asset Universe'!$C$3:$O$23,13,0)*VLOOKUP('Hist Cov matrix'!Q$2,'Asset Universe'!$C$3:$O$23,13,0)</f>
        <v>2.4422385748488411E-4</v>
      </c>
      <c r="R3" s="44">
        <f ca="1">'Hist Corr matrix'!R3*VLOOKUP('Hist Cov matrix'!$B3,'Asset Universe'!$C$3:$O$23,13,0)*VLOOKUP('Hist Cov matrix'!R$2,'Asset Universe'!$C$3:$O$23,13,0)</f>
        <v>1.9014884726954268E-4</v>
      </c>
      <c r="S3" s="44">
        <f ca="1">'Hist Corr matrix'!S3*VLOOKUP('Hist Cov matrix'!$B3,'Asset Universe'!$C$3:$O$23,13,0)*VLOOKUP('Hist Cov matrix'!S$2,'Asset Universe'!$C$3:$O$23,13,0)</f>
        <v>-6.3847909192576307E-4</v>
      </c>
      <c r="T3" s="44">
        <f ca="1">'Hist Corr matrix'!T3*VLOOKUP('Hist Cov matrix'!$B3,'Asset Universe'!$C$3:$O$23,13,0)*VLOOKUP('Hist Cov matrix'!T$2,'Asset Universe'!$C$3:$O$23,13,0)</f>
        <v>9.8430922834006631E-4</v>
      </c>
      <c r="U3" s="44">
        <f ca="1">'Hist Corr matrix'!U3*VLOOKUP('Hist Cov matrix'!$B3,'Asset Universe'!$C$3:$O$23,13,0)*VLOOKUP('Hist Cov matrix'!U$2,'Asset Universe'!$C$3:$O$23,13,0)</f>
        <v>6.7496541452290453E-4</v>
      </c>
      <c r="V3" s="44">
        <f ca="1">'Hist Corr matrix'!V3*VLOOKUP('Hist Cov matrix'!$B3,'Asset Universe'!$C$3:$O$23,13,0)*VLOOKUP('Hist Cov matrix'!V$2,'Asset Universe'!$C$3:$O$23,13,0)</f>
        <v>-2.071923924771579E-4</v>
      </c>
      <c r="W3" s="44">
        <f ca="1">'Hist Corr matrix'!W3*VLOOKUP('Hist Cov matrix'!$B3,'Asset Universe'!$C$3:$O$23,13,0)*VLOOKUP('Hist Cov matrix'!W$2,'Asset Universe'!$C$3:$O$23,13,0)</f>
        <v>7.1100788113719515E-5</v>
      </c>
    </row>
    <row r="4" spans="2:23" ht="23.5" customHeight="1" x14ac:dyDescent="0.35">
      <c r="B4" s="41" t="s">
        <v>90</v>
      </c>
      <c r="C4" s="44">
        <f ca="1">'Hist Corr matrix'!C4*VLOOKUP('Hist Cov matrix'!$B4,'Asset Universe'!$C$3:$O$23,13,0)*VLOOKUP('Hist Cov matrix'!C$2,'Asset Universe'!$C$3:$O$23,13,0)</f>
        <v>2.8041961958634987E-3</v>
      </c>
      <c r="D4" s="44">
        <f ca="1">'Hist Corr matrix'!D4*VLOOKUP('Hist Cov matrix'!$B4,'Asset Universe'!$C$3:$O$23,13,0)*VLOOKUP('Hist Cov matrix'!D$2,'Asset Universe'!$C$3:$O$23,13,0)</f>
        <v>7.2571052528311135E-3</v>
      </c>
      <c r="E4" s="44">
        <f ca="1">'Hist Corr matrix'!E4*VLOOKUP('Hist Cov matrix'!$B4,'Asset Universe'!$C$3:$O$23,13,0)*VLOOKUP('Hist Cov matrix'!E$2,'Asset Universe'!$C$3:$O$23,13,0)</f>
        <v>1.9991428965578147E-3</v>
      </c>
      <c r="F4" s="44">
        <f ca="1">'Hist Corr matrix'!F4*VLOOKUP('Hist Cov matrix'!$B4,'Asset Universe'!$C$3:$O$23,13,0)*VLOOKUP('Hist Cov matrix'!F$2,'Asset Universe'!$C$3:$O$23,13,0)</f>
        <v>2.8629594042169477E-3</v>
      </c>
      <c r="G4" s="44">
        <f ca="1">'Hist Corr matrix'!G4*VLOOKUP('Hist Cov matrix'!$B4,'Asset Universe'!$C$3:$O$23,13,0)*VLOOKUP('Hist Cov matrix'!G$2,'Asset Universe'!$C$3:$O$23,13,0)</f>
        <v>2.2452759822456955E-3</v>
      </c>
      <c r="H4" s="44">
        <f ca="1">'Hist Corr matrix'!H4*VLOOKUP('Hist Cov matrix'!$B4,'Asset Universe'!$C$3:$O$23,13,0)*VLOOKUP('Hist Cov matrix'!H$2,'Asset Universe'!$C$3:$O$23,13,0)</f>
        <v>2.1933515317264294E-3</v>
      </c>
      <c r="I4" s="44">
        <f ca="1">'Hist Corr matrix'!I4*VLOOKUP('Hist Cov matrix'!$B4,'Asset Universe'!$C$3:$O$23,13,0)*VLOOKUP('Hist Cov matrix'!I$2,'Asset Universe'!$C$3:$O$23,13,0)</f>
        <v>2.1205180519019771E-3</v>
      </c>
      <c r="J4" s="44">
        <f ca="1">'Hist Corr matrix'!J4*VLOOKUP('Hist Cov matrix'!$B4,'Asset Universe'!$C$3:$O$23,13,0)*VLOOKUP('Hist Cov matrix'!J$2,'Asset Universe'!$C$3:$O$23,13,0)</f>
        <v>1.9084423563641253E-3</v>
      </c>
      <c r="K4" s="44">
        <f ca="1">'Hist Corr matrix'!K4*VLOOKUP('Hist Cov matrix'!$B4,'Asset Universe'!$C$3:$O$23,13,0)*VLOOKUP('Hist Cov matrix'!K$2,'Asset Universe'!$C$3:$O$23,13,0)</f>
        <v>-3.1321848975039571E-4</v>
      </c>
      <c r="L4" s="44">
        <f ca="1">'Hist Corr matrix'!L4*VLOOKUP('Hist Cov matrix'!$B4,'Asset Universe'!$C$3:$O$23,13,0)*VLOOKUP('Hist Cov matrix'!L$2,'Asset Universe'!$C$3:$O$23,13,0)</f>
        <v>1.1638564943883148E-3</v>
      </c>
      <c r="M4" s="44">
        <f ca="1">'Hist Corr matrix'!M4*VLOOKUP('Hist Cov matrix'!$B4,'Asset Universe'!$C$3:$O$23,13,0)*VLOOKUP('Hist Cov matrix'!M$2,'Asset Universe'!$C$3:$O$23,13,0)</f>
        <v>1.4828099724031143E-3</v>
      </c>
      <c r="N4" s="44">
        <f ca="1">'Hist Corr matrix'!N4*VLOOKUP('Hist Cov matrix'!$B4,'Asset Universe'!$C$3:$O$23,13,0)*VLOOKUP('Hist Cov matrix'!N$2,'Asset Universe'!$C$3:$O$23,13,0)</f>
        <v>2.9649122261111746E-3</v>
      </c>
      <c r="O4" s="44">
        <f ca="1">'Hist Corr matrix'!O4*VLOOKUP('Hist Cov matrix'!$B4,'Asset Universe'!$C$3:$O$23,13,0)*VLOOKUP('Hist Cov matrix'!O$2,'Asset Universe'!$C$3:$O$23,13,0)</f>
        <v>1.035787721019351E-3</v>
      </c>
      <c r="P4" s="44">
        <f ca="1">'Hist Corr matrix'!P4*VLOOKUP('Hist Cov matrix'!$B4,'Asset Universe'!$C$3:$O$23,13,0)*VLOOKUP('Hist Cov matrix'!P$2,'Asset Universe'!$C$3:$O$23,13,0)</f>
        <v>1.236633087249037E-3</v>
      </c>
      <c r="Q4" s="44">
        <f ca="1">'Hist Corr matrix'!Q4*VLOOKUP('Hist Cov matrix'!$B4,'Asset Universe'!$C$3:$O$23,13,0)*VLOOKUP('Hist Cov matrix'!Q$2,'Asset Universe'!$C$3:$O$23,13,0)</f>
        <v>6.6409766553052771E-4</v>
      </c>
      <c r="R4" s="44">
        <f ca="1">'Hist Corr matrix'!R4*VLOOKUP('Hist Cov matrix'!$B4,'Asset Universe'!$C$3:$O$23,13,0)*VLOOKUP('Hist Cov matrix'!R$2,'Asset Universe'!$C$3:$O$23,13,0)</f>
        <v>5.4031667035741291E-4</v>
      </c>
      <c r="S4" s="44">
        <f ca="1">'Hist Corr matrix'!S4*VLOOKUP('Hist Cov matrix'!$B4,'Asset Universe'!$C$3:$O$23,13,0)*VLOOKUP('Hist Cov matrix'!S$2,'Asset Universe'!$C$3:$O$23,13,0)</f>
        <v>-8.5822890804648896E-4</v>
      </c>
      <c r="T4" s="44">
        <f ca="1">'Hist Corr matrix'!T4*VLOOKUP('Hist Cov matrix'!$B4,'Asset Universe'!$C$3:$O$23,13,0)*VLOOKUP('Hist Cov matrix'!T$2,'Asset Universe'!$C$3:$O$23,13,0)</f>
        <v>2.0171461601244914E-3</v>
      </c>
      <c r="U4" s="44">
        <f ca="1">'Hist Corr matrix'!U4*VLOOKUP('Hist Cov matrix'!$B4,'Asset Universe'!$C$3:$O$23,13,0)*VLOOKUP('Hist Cov matrix'!U$2,'Asset Universe'!$C$3:$O$23,13,0)</f>
        <v>1.7390235929016192E-3</v>
      </c>
      <c r="V4" s="44">
        <f ca="1">'Hist Corr matrix'!V4*VLOOKUP('Hist Cov matrix'!$B4,'Asset Universe'!$C$3:$O$23,13,0)*VLOOKUP('Hist Cov matrix'!V$2,'Asset Universe'!$C$3:$O$23,13,0)</f>
        <v>4.4208465987226309E-4</v>
      </c>
      <c r="W4" s="44">
        <f ca="1">'Hist Corr matrix'!W4*VLOOKUP('Hist Cov matrix'!$B4,'Asset Universe'!$C$3:$O$23,13,0)*VLOOKUP('Hist Cov matrix'!W$2,'Asset Universe'!$C$3:$O$23,13,0)</f>
        <v>4.0455650533477504E-4</v>
      </c>
    </row>
    <row r="5" spans="2:23" ht="23.5" customHeight="1" x14ac:dyDescent="0.35">
      <c r="B5" s="41" t="s">
        <v>96</v>
      </c>
      <c r="C5" s="44">
        <f ca="1">'Hist Corr matrix'!C5*VLOOKUP('Hist Cov matrix'!$B5,'Asset Universe'!$C$3:$O$23,13,0)*VLOOKUP('Hist Cov matrix'!C$2,'Asset Universe'!$C$3:$O$23,13,0)</f>
        <v>8.7276529794160602E-4</v>
      </c>
      <c r="D5" s="44">
        <f ca="1">'Hist Corr matrix'!D5*VLOOKUP('Hist Cov matrix'!$B5,'Asset Universe'!$C$3:$O$23,13,0)*VLOOKUP('Hist Cov matrix'!D$2,'Asset Universe'!$C$3:$O$23,13,0)</f>
        <v>1.9991428965578147E-3</v>
      </c>
      <c r="E5" s="44">
        <f ca="1">'Hist Corr matrix'!E5*VLOOKUP('Hist Cov matrix'!$B5,'Asset Universe'!$C$3:$O$23,13,0)*VLOOKUP('Hist Cov matrix'!E$2,'Asset Universe'!$C$3:$O$23,13,0)</f>
        <v>1.7201925309735149E-3</v>
      </c>
      <c r="F5" s="44">
        <f ca="1">'Hist Corr matrix'!F5*VLOOKUP('Hist Cov matrix'!$B5,'Asset Universe'!$C$3:$O$23,13,0)*VLOOKUP('Hist Cov matrix'!F$2,'Asset Universe'!$C$3:$O$23,13,0)</f>
        <v>1.1252183519181679E-3</v>
      </c>
      <c r="G5" s="44">
        <f ca="1">'Hist Corr matrix'!G5*VLOOKUP('Hist Cov matrix'!$B5,'Asset Universe'!$C$3:$O$23,13,0)*VLOOKUP('Hist Cov matrix'!G$2,'Asset Universe'!$C$3:$O$23,13,0)</f>
        <v>8.0675611397029267E-4</v>
      </c>
      <c r="H5" s="44">
        <f ca="1">'Hist Corr matrix'!H5*VLOOKUP('Hist Cov matrix'!$B5,'Asset Universe'!$C$3:$O$23,13,0)*VLOOKUP('Hist Cov matrix'!H$2,'Asset Universe'!$C$3:$O$23,13,0)</f>
        <v>1.0419394493051623E-3</v>
      </c>
      <c r="I5" s="44">
        <f ca="1">'Hist Corr matrix'!I5*VLOOKUP('Hist Cov matrix'!$B5,'Asset Universe'!$C$3:$O$23,13,0)*VLOOKUP('Hist Cov matrix'!I$2,'Asset Universe'!$C$3:$O$23,13,0)</f>
        <v>1.1725456898227296E-3</v>
      </c>
      <c r="J5" s="44">
        <f ca="1">'Hist Corr matrix'!J5*VLOOKUP('Hist Cov matrix'!$B5,'Asset Universe'!$C$3:$O$23,13,0)*VLOOKUP('Hist Cov matrix'!J$2,'Asset Universe'!$C$3:$O$23,13,0)</f>
        <v>1.2907088746461862E-3</v>
      </c>
      <c r="K5" s="44">
        <f ca="1">'Hist Corr matrix'!K5*VLOOKUP('Hist Cov matrix'!$B5,'Asset Universe'!$C$3:$O$23,13,0)*VLOOKUP('Hist Cov matrix'!K$2,'Asset Universe'!$C$3:$O$23,13,0)</f>
        <v>2.3961457843503621E-3</v>
      </c>
      <c r="L5" s="44">
        <f ca="1">'Hist Corr matrix'!L5*VLOOKUP('Hist Cov matrix'!$B5,'Asset Universe'!$C$3:$O$23,13,0)*VLOOKUP('Hist Cov matrix'!L$2,'Asset Universe'!$C$3:$O$23,13,0)</f>
        <v>2.5590026543817284E-3</v>
      </c>
      <c r="M5" s="44">
        <f ca="1">'Hist Corr matrix'!M5*VLOOKUP('Hist Cov matrix'!$B5,'Asset Universe'!$C$3:$O$23,13,0)*VLOOKUP('Hist Cov matrix'!M$2,'Asset Universe'!$C$3:$O$23,13,0)</f>
        <v>8.660370010907533E-4</v>
      </c>
      <c r="N5" s="44">
        <f ca="1">'Hist Corr matrix'!N5*VLOOKUP('Hist Cov matrix'!$B5,'Asset Universe'!$C$3:$O$23,13,0)*VLOOKUP('Hist Cov matrix'!N$2,'Asset Universe'!$C$3:$O$23,13,0)</f>
        <v>1.2975820865897744E-3</v>
      </c>
      <c r="O5" s="44">
        <f ca="1">'Hist Corr matrix'!O5*VLOOKUP('Hist Cov matrix'!$B5,'Asset Universe'!$C$3:$O$23,13,0)*VLOOKUP('Hist Cov matrix'!O$2,'Asset Universe'!$C$3:$O$23,13,0)</f>
        <v>8.2849086279400289E-4</v>
      </c>
      <c r="P5" s="44">
        <f ca="1">'Hist Corr matrix'!P5*VLOOKUP('Hist Cov matrix'!$B5,'Asset Universe'!$C$3:$O$23,13,0)*VLOOKUP('Hist Cov matrix'!P$2,'Asset Universe'!$C$3:$O$23,13,0)</f>
        <v>1.2884686058098377E-3</v>
      </c>
      <c r="Q5" s="44">
        <f ca="1">'Hist Corr matrix'!Q5*VLOOKUP('Hist Cov matrix'!$B5,'Asset Universe'!$C$3:$O$23,13,0)*VLOOKUP('Hist Cov matrix'!Q$2,'Asset Universe'!$C$3:$O$23,13,0)</f>
        <v>4.6888795704047912E-4</v>
      </c>
      <c r="R5" s="44">
        <f ca="1">'Hist Corr matrix'!R5*VLOOKUP('Hist Cov matrix'!$B5,'Asset Universe'!$C$3:$O$23,13,0)*VLOOKUP('Hist Cov matrix'!R$2,'Asset Universe'!$C$3:$O$23,13,0)</f>
        <v>4.6123667472562532E-4</v>
      </c>
      <c r="S5" s="44">
        <f ca="1">'Hist Corr matrix'!S5*VLOOKUP('Hist Cov matrix'!$B5,'Asset Universe'!$C$3:$O$23,13,0)*VLOOKUP('Hist Cov matrix'!S$2,'Asset Universe'!$C$3:$O$23,13,0)</f>
        <v>1.4715105445003663E-3</v>
      </c>
      <c r="T5" s="44">
        <f ca="1">'Hist Corr matrix'!T5*VLOOKUP('Hist Cov matrix'!$B5,'Asset Universe'!$C$3:$O$23,13,0)*VLOOKUP('Hist Cov matrix'!T$2,'Asset Universe'!$C$3:$O$23,13,0)</f>
        <v>9.766286544629077E-4</v>
      </c>
      <c r="U5" s="44">
        <f ca="1">'Hist Corr matrix'!U5*VLOOKUP('Hist Cov matrix'!$B5,'Asset Universe'!$C$3:$O$23,13,0)*VLOOKUP('Hist Cov matrix'!U$2,'Asset Universe'!$C$3:$O$23,13,0)</f>
        <v>1.4652385312293593E-3</v>
      </c>
      <c r="V5" s="44">
        <f ca="1">'Hist Corr matrix'!V5*VLOOKUP('Hist Cov matrix'!$B5,'Asset Universe'!$C$3:$O$23,13,0)*VLOOKUP('Hist Cov matrix'!V$2,'Asset Universe'!$C$3:$O$23,13,0)</f>
        <v>-2.7045656660158317E-4</v>
      </c>
      <c r="W5" s="44">
        <f ca="1">'Hist Corr matrix'!W5*VLOOKUP('Hist Cov matrix'!$B5,'Asset Universe'!$C$3:$O$23,13,0)*VLOOKUP('Hist Cov matrix'!W$2,'Asset Universe'!$C$3:$O$23,13,0)</f>
        <v>1.7735582392343414E-4</v>
      </c>
    </row>
    <row r="6" spans="2:23" ht="23.5" customHeight="1" x14ac:dyDescent="0.35">
      <c r="B6" s="41" t="s">
        <v>95</v>
      </c>
      <c r="C6" s="44">
        <f ca="1">'Hist Corr matrix'!C6*VLOOKUP('Hist Cov matrix'!$B6,'Asset Universe'!$C$3:$O$23,13,0)*VLOOKUP('Hist Cov matrix'!C$2,'Asset Universe'!$C$3:$O$23,13,0)</f>
        <v>1.2761135975549068E-3</v>
      </c>
      <c r="D6" s="44">
        <f ca="1">'Hist Corr matrix'!D6*VLOOKUP('Hist Cov matrix'!$B6,'Asset Universe'!$C$3:$O$23,13,0)*VLOOKUP('Hist Cov matrix'!D$2,'Asset Universe'!$C$3:$O$23,13,0)</f>
        <v>2.8629594042169477E-3</v>
      </c>
      <c r="E6" s="44">
        <f ca="1">'Hist Corr matrix'!E6*VLOOKUP('Hist Cov matrix'!$B6,'Asset Universe'!$C$3:$O$23,13,0)*VLOOKUP('Hist Cov matrix'!E$2,'Asset Universe'!$C$3:$O$23,13,0)</f>
        <v>1.1252183519181679E-3</v>
      </c>
      <c r="F6" s="44">
        <f ca="1">'Hist Corr matrix'!F6*VLOOKUP('Hist Cov matrix'!$B6,'Asset Universe'!$C$3:$O$23,13,0)*VLOOKUP('Hist Cov matrix'!F$2,'Asset Universe'!$C$3:$O$23,13,0)</f>
        <v>1.7358148694947486E-3</v>
      </c>
      <c r="G6" s="44">
        <f ca="1">'Hist Corr matrix'!G6*VLOOKUP('Hist Cov matrix'!$B6,'Asset Universe'!$C$3:$O$23,13,0)*VLOOKUP('Hist Cov matrix'!G$2,'Asset Universe'!$C$3:$O$23,13,0)</f>
        <v>1.0273621350700352E-3</v>
      </c>
      <c r="H6" s="44">
        <f ca="1">'Hist Corr matrix'!H6*VLOOKUP('Hist Cov matrix'!$B6,'Asset Universe'!$C$3:$O$23,13,0)*VLOOKUP('Hist Cov matrix'!H$2,'Asset Universe'!$C$3:$O$23,13,0)</f>
        <v>1.0994912306731585E-3</v>
      </c>
      <c r="I6" s="44">
        <f ca="1">'Hist Corr matrix'!I6*VLOOKUP('Hist Cov matrix'!$B6,'Asset Universe'!$C$3:$O$23,13,0)*VLOOKUP('Hist Cov matrix'!I$2,'Asset Universe'!$C$3:$O$23,13,0)</f>
        <v>1.1027140662885804E-3</v>
      </c>
      <c r="J6" s="44">
        <f ca="1">'Hist Corr matrix'!J6*VLOOKUP('Hist Cov matrix'!$B6,'Asset Universe'!$C$3:$O$23,13,0)*VLOOKUP('Hist Cov matrix'!J$2,'Asset Universe'!$C$3:$O$23,13,0)</f>
        <v>1.1121797065785589E-3</v>
      </c>
      <c r="K6" s="44">
        <f ca="1">'Hist Corr matrix'!K6*VLOOKUP('Hist Cov matrix'!$B6,'Asset Universe'!$C$3:$O$23,13,0)*VLOOKUP('Hist Cov matrix'!K$2,'Asset Universe'!$C$3:$O$23,13,0)</f>
        <v>9.1664223600573856E-4</v>
      </c>
      <c r="L6" s="44">
        <f ca="1">'Hist Corr matrix'!L6*VLOOKUP('Hist Cov matrix'!$B6,'Asset Universe'!$C$3:$O$23,13,0)*VLOOKUP('Hist Cov matrix'!L$2,'Asset Universe'!$C$3:$O$23,13,0)</f>
        <v>1.3342506732716745E-3</v>
      </c>
      <c r="M6" s="44">
        <f ca="1">'Hist Corr matrix'!M6*VLOOKUP('Hist Cov matrix'!$B6,'Asset Universe'!$C$3:$O$23,13,0)*VLOOKUP('Hist Cov matrix'!M$2,'Asset Universe'!$C$3:$O$23,13,0)</f>
        <v>9.1889016265396853E-4</v>
      </c>
      <c r="N6" s="44">
        <f ca="1">'Hist Corr matrix'!N6*VLOOKUP('Hist Cov matrix'!$B6,'Asset Universe'!$C$3:$O$23,13,0)*VLOOKUP('Hist Cov matrix'!N$2,'Asset Universe'!$C$3:$O$23,13,0)</f>
        <v>1.4518621579886573E-3</v>
      </c>
      <c r="O6" s="44">
        <f ca="1">'Hist Corr matrix'!O6*VLOOKUP('Hist Cov matrix'!$B6,'Asset Universe'!$C$3:$O$23,13,0)*VLOOKUP('Hist Cov matrix'!O$2,'Asset Universe'!$C$3:$O$23,13,0)</f>
        <v>6.2803530121263262E-4</v>
      </c>
      <c r="P6" s="44">
        <f ca="1">'Hist Corr matrix'!P6*VLOOKUP('Hist Cov matrix'!$B6,'Asset Universe'!$C$3:$O$23,13,0)*VLOOKUP('Hist Cov matrix'!P$2,'Asset Universe'!$C$3:$O$23,13,0)</f>
        <v>6.7207936960823151E-4</v>
      </c>
      <c r="Q6" s="44">
        <f ca="1">'Hist Corr matrix'!Q6*VLOOKUP('Hist Cov matrix'!$B6,'Asset Universe'!$C$3:$O$23,13,0)*VLOOKUP('Hist Cov matrix'!Q$2,'Asset Universe'!$C$3:$O$23,13,0)</f>
        <v>3.9047464044599005E-4</v>
      </c>
      <c r="R6" s="44">
        <f ca="1">'Hist Corr matrix'!R6*VLOOKUP('Hist Cov matrix'!$B6,'Asset Universe'!$C$3:$O$23,13,0)*VLOOKUP('Hist Cov matrix'!R$2,'Asset Universe'!$C$3:$O$23,13,0)</f>
        <v>3.8030625705086292E-4</v>
      </c>
      <c r="S6" s="44">
        <f ca="1">'Hist Corr matrix'!S6*VLOOKUP('Hist Cov matrix'!$B6,'Asset Universe'!$C$3:$O$23,13,0)*VLOOKUP('Hist Cov matrix'!S$2,'Asset Universe'!$C$3:$O$23,13,0)</f>
        <v>8.6099914938783672E-4</v>
      </c>
      <c r="T6" s="44">
        <f ca="1">'Hist Corr matrix'!T6*VLOOKUP('Hist Cov matrix'!$B6,'Asset Universe'!$C$3:$O$23,13,0)*VLOOKUP('Hist Cov matrix'!T$2,'Asset Universe'!$C$3:$O$23,13,0)</f>
        <v>9.2992218299959998E-4</v>
      </c>
      <c r="U6" s="44">
        <f ca="1">'Hist Corr matrix'!U6*VLOOKUP('Hist Cov matrix'!$B6,'Asset Universe'!$C$3:$O$23,13,0)*VLOOKUP('Hist Cov matrix'!U$2,'Asset Universe'!$C$3:$O$23,13,0)</f>
        <v>1.0728086382646362E-3</v>
      </c>
      <c r="V6" s="44">
        <f ca="1">'Hist Corr matrix'!V6*VLOOKUP('Hist Cov matrix'!$B6,'Asset Universe'!$C$3:$O$23,13,0)*VLOOKUP('Hist Cov matrix'!V$2,'Asset Universe'!$C$3:$O$23,13,0)</f>
        <v>-3.147613119324909E-5</v>
      </c>
      <c r="W6" s="44">
        <f ca="1">'Hist Corr matrix'!W6*VLOOKUP('Hist Cov matrix'!$B6,'Asset Universe'!$C$3:$O$23,13,0)*VLOOKUP('Hist Cov matrix'!W$2,'Asset Universe'!$C$3:$O$23,13,0)</f>
        <v>9.9128369783856222E-5</v>
      </c>
    </row>
    <row r="7" spans="2:23" ht="23.5" customHeight="1" x14ac:dyDescent="0.35">
      <c r="B7" s="41" t="s">
        <v>92</v>
      </c>
      <c r="C7" s="44">
        <f ca="1">'Hist Corr matrix'!C7*VLOOKUP('Hist Cov matrix'!$B7,'Asset Universe'!$C$3:$O$23,13,0)*VLOOKUP('Hist Cov matrix'!C$2,'Asset Universe'!$C$3:$O$23,13,0)</f>
        <v>1.0682772722312834E-3</v>
      </c>
      <c r="D7" s="44">
        <f ca="1">'Hist Corr matrix'!D7*VLOOKUP('Hist Cov matrix'!$B7,'Asset Universe'!$C$3:$O$23,13,0)*VLOOKUP('Hist Cov matrix'!D$2,'Asset Universe'!$C$3:$O$23,13,0)</f>
        <v>2.2452759822456955E-3</v>
      </c>
      <c r="E7" s="44">
        <f ca="1">'Hist Corr matrix'!E7*VLOOKUP('Hist Cov matrix'!$B7,'Asset Universe'!$C$3:$O$23,13,0)*VLOOKUP('Hist Cov matrix'!E$2,'Asset Universe'!$C$3:$O$23,13,0)</f>
        <v>8.0675611397029267E-4</v>
      </c>
      <c r="F7" s="44">
        <f ca="1">'Hist Corr matrix'!F7*VLOOKUP('Hist Cov matrix'!$B7,'Asset Universe'!$C$3:$O$23,13,0)*VLOOKUP('Hist Cov matrix'!F$2,'Asset Universe'!$C$3:$O$23,13,0)</f>
        <v>1.0273621350700352E-3</v>
      </c>
      <c r="G7" s="44">
        <f ca="1">'Hist Corr matrix'!G7*VLOOKUP('Hist Cov matrix'!$B7,'Asset Universe'!$C$3:$O$23,13,0)*VLOOKUP('Hist Cov matrix'!G$2,'Asset Universe'!$C$3:$O$23,13,0)</f>
        <v>8.651822990361675E-4</v>
      </c>
      <c r="H7" s="44">
        <f ca="1">'Hist Corr matrix'!H7*VLOOKUP('Hist Cov matrix'!$B7,'Asset Universe'!$C$3:$O$23,13,0)*VLOOKUP('Hist Cov matrix'!H$2,'Asset Universe'!$C$3:$O$23,13,0)</f>
        <v>8.4401668018931693E-4</v>
      </c>
      <c r="I7" s="44">
        <f ca="1">'Hist Corr matrix'!I7*VLOOKUP('Hist Cov matrix'!$B7,'Asset Universe'!$C$3:$O$23,13,0)*VLOOKUP('Hist Cov matrix'!I$2,'Asset Universe'!$C$3:$O$23,13,0)</f>
        <v>8.408358809413772E-4</v>
      </c>
      <c r="J7" s="44">
        <f ca="1">'Hist Corr matrix'!J7*VLOOKUP('Hist Cov matrix'!$B7,'Asset Universe'!$C$3:$O$23,13,0)*VLOOKUP('Hist Cov matrix'!J$2,'Asset Universe'!$C$3:$O$23,13,0)</f>
        <v>8.1613307498114751E-4</v>
      </c>
      <c r="K7" s="44">
        <f ca="1">'Hist Corr matrix'!K7*VLOOKUP('Hist Cov matrix'!$B7,'Asset Universe'!$C$3:$O$23,13,0)*VLOOKUP('Hist Cov matrix'!K$2,'Asset Universe'!$C$3:$O$23,13,0)</f>
        <v>6.1632595215671776E-4</v>
      </c>
      <c r="L7" s="44">
        <f ca="1">'Hist Corr matrix'!L7*VLOOKUP('Hist Cov matrix'!$B7,'Asset Universe'!$C$3:$O$23,13,0)*VLOOKUP('Hist Cov matrix'!L$2,'Asset Universe'!$C$3:$O$23,13,0)</f>
        <v>9.6317591980682644E-4</v>
      </c>
      <c r="M7" s="44">
        <f ca="1">'Hist Corr matrix'!M7*VLOOKUP('Hist Cov matrix'!$B7,'Asset Universe'!$C$3:$O$23,13,0)*VLOOKUP('Hist Cov matrix'!M$2,'Asset Universe'!$C$3:$O$23,13,0)</f>
        <v>5.7539331087949153E-4</v>
      </c>
      <c r="N7" s="44">
        <f ca="1">'Hist Corr matrix'!N7*VLOOKUP('Hist Cov matrix'!$B7,'Asset Universe'!$C$3:$O$23,13,0)*VLOOKUP('Hist Cov matrix'!N$2,'Asset Universe'!$C$3:$O$23,13,0)</f>
        <v>1.2325887442834868E-3</v>
      </c>
      <c r="O7" s="44">
        <f ca="1">'Hist Corr matrix'!O7*VLOOKUP('Hist Cov matrix'!$B7,'Asset Universe'!$C$3:$O$23,13,0)*VLOOKUP('Hist Cov matrix'!O$2,'Asset Universe'!$C$3:$O$23,13,0)</f>
        <v>5.5269263645445395E-4</v>
      </c>
      <c r="P7" s="44">
        <f ca="1">'Hist Corr matrix'!P7*VLOOKUP('Hist Cov matrix'!$B7,'Asset Universe'!$C$3:$O$23,13,0)*VLOOKUP('Hist Cov matrix'!P$2,'Asset Universe'!$C$3:$O$23,13,0)</f>
        <v>6.7892371836175485E-4</v>
      </c>
      <c r="Q7" s="44">
        <f ca="1">'Hist Corr matrix'!Q7*VLOOKUP('Hist Cov matrix'!$B7,'Asset Universe'!$C$3:$O$23,13,0)*VLOOKUP('Hist Cov matrix'!Q$2,'Asset Universe'!$C$3:$O$23,13,0)</f>
        <v>3.114385057322055E-4</v>
      </c>
      <c r="R7" s="44">
        <f ca="1">'Hist Corr matrix'!R7*VLOOKUP('Hist Cov matrix'!$B7,'Asset Universe'!$C$3:$O$23,13,0)*VLOOKUP('Hist Cov matrix'!R$2,'Asset Universe'!$C$3:$O$23,13,0)</f>
        <v>2.7954811067201497E-4</v>
      </c>
      <c r="S7" s="44">
        <f ca="1">'Hist Corr matrix'!S7*VLOOKUP('Hist Cov matrix'!$B7,'Asset Universe'!$C$3:$O$23,13,0)*VLOOKUP('Hist Cov matrix'!S$2,'Asset Universe'!$C$3:$O$23,13,0)</f>
        <v>-1.9202775772528765E-4</v>
      </c>
      <c r="T7" s="44">
        <f ca="1">'Hist Corr matrix'!T7*VLOOKUP('Hist Cov matrix'!$B7,'Asset Universe'!$C$3:$O$23,13,0)*VLOOKUP('Hist Cov matrix'!T$2,'Asset Universe'!$C$3:$O$23,13,0)</f>
        <v>7.6609941409260093E-4</v>
      </c>
      <c r="U7" s="44">
        <f ca="1">'Hist Corr matrix'!U7*VLOOKUP('Hist Cov matrix'!$B7,'Asset Universe'!$C$3:$O$23,13,0)*VLOOKUP('Hist Cov matrix'!U$2,'Asset Universe'!$C$3:$O$23,13,0)</f>
        <v>9.400676574940148E-4</v>
      </c>
      <c r="V7" s="44">
        <f ca="1">'Hist Corr matrix'!V7*VLOOKUP('Hist Cov matrix'!$B7,'Asset Universe'!$C$3:$O$23,13,0)*VLOOKUP('Hist Cov matrix'!V$2,'Asset Universe'!$C$3:$O$23,13,0)</f>
        <v>-6.2679494137758584E-5</v>
      </c>
      <c r="W7" s="44">
        <f ca="1">'Hist Corr matrix'!W7*VLOOKUP('Hist Cov matrix'!$B7,'Asset Universe'!$C$3:$O$23,13,0)*VLOOKUP('Hist Cov matrix'!W$2,'Asset Universe'!$C$3:$O$23,13,0)</f>
        <v>1.6633359005029371E-4</v>
      </c>
    </row>
    <row r="8" spans="2:23" ht="23.5" customHeight="1" x14ac:dyDescent="0.35">
      <c r="B8" s="41" t="s">
        <v>100</v>
      </c>
      <c r="C8" s="44">
        <f ca="1">'Hist Corr matrix'!C8*VLOOKUP('Hist Cov matrix'!$B8,'Asset Universe'!$C$3:$O$23,13,0)*VLOOKUP('Hist Cov matrix'!C$2,'Asset Universe'!$C$3:$O$23,13,0)</f>
        <v>9.604833028959924E-4</v>
      </c>
      <c r="D8" s="44">
        <f ca="1">'Hist Corr matrix'!D8*VLOOKUP('Hist Cov matrix'!$B8,'Asset Universe'!$C$3:$O$23,13,0)*VLOOKUP('Hist Cov matrix'!D$2,'Asset Universe'!$C$3:$O$23,13,0)</f>
        <v>2.1933515317264294E-3</v>
      </c>
      <c r="E8" s="44">
        <f ca="1">'Hist Corr matrix'!E8*VLOOKUP('Hist Cov matrix'!$B8,'Asset Universe'!$C$3:$O$23,13,0)*VLOOKUP('Hist Cov matrix'!E$2,'Asset Universe'!$C$3:$O$23,13,0)</f>
        <v>1.0419394493051623E-3</v>
      </c>
      <c r="F8" s="44">
        <f ca="1">'Hist Corr matrix'!F8*VLOOKUP('Hist Cov matrix'!$B8,'Asset Universe'!$C$3:$O$23,13,0)*VLOOKUP('Hist Cov matrix'!F$2,'Asset Universe'!$C$3:$O$23,13,0)</f>
        <v>1.0994912306731585E-3</v>
      </c>
      <c r="G8" s="44">
        <f ca="1">'Hist Corr matrix'!G8*VLOOKUP('Hist Cov matrix'!$B8,'Asset Universe'!$C$3:$O$23,13,0)*VLOOKUP('Hist Cov matrix'!G$2,'Asset Universe'!$C$3:$O$23,13,0)</f>
        <v>8.4401668018931693E-4</v>
      </c>
      <c r="H8" s="44">
        <f ca="1">'Hist Corr matrix'!H8*VLOOKUP('Hist Cov matrix'!$B8,'Asset Universe'!$C$3:$O$23,13,0)*VLOOKUP('Hist Cov matrix'!H$2,'Asset Universe'!$C$3:$O$23,13,0)</f>
        <v>1.1284520709002655E-3</v>
      </c>
      <c r="I8" s="44">
        <f ca="1">'Hist Corr matrix'!I8*VLOOKUP('Hist Cov matrix'!$B8,'Asset Universe'!$C$3:$O$23,13,0)*VLOOKUP('Hist Cov matrix'!I$2,'Asset Universe'!$C$3:$O$23,13,0)</f>
        <v>1.2454094783852716E-3</v>
      </c>
      <c r="J8" s="44">
        <f ca="1">'Hist Corr matrix'!J8*VLOOKUP('Hist Cov matrix'!$B8,'Asset Universe'!$C$3:$O$23,13,0)*VLOOKUP('Hist Cov matrix'!J$2,'Asset Universe'!$C$3:$O$23,13,0)</f>
        <v>1.2899301223547417E-3</v>
      </c>
      <c r="K8" s="44">
        <f ca="1">'Hist Corr matrix'!K8*VLOOKUP('Hist Cov matrix'!$B8,'Asset Universe'!$C$3:$O$23,13,0)*VLOOKUP('Hist Cov matrix'!K$2,'Asset Universe'!$C$3:$O$23,13,0)</f>
        <v>2.0414348390376206E-3</v>
      </c>
      <c r="L8" s="44">
        <f ca="1">'Hist Corr matrix'!L8*VLOOKUP('Hist Cov matrix'!$B8,'Asset Universe'!$C$3:$O$23,13,0)*VLOOKUP('Hist Cov matrix'!L$2,'Asset Universe'!$C$3:$O$23,13,0)</f>
        <v>2.3335320045590234E-3</v>
      </c>
      <c r="M8" s="44">
        <f ca="1">'Hist Corr matrix'!M8*VLOOKUP('Hist Cov matrix'!$B8,'Asset Universe'!$C$3:$O$23,13,0)*VLOOKUP('Hist Cov matrix'!M$2,'Asset Universe'!$C$3:$O$23,13,0)</f>
        <v>7.9154281660000453E-4</v>
      </c>
      <c r="N8" s="44">
        <f ca="1">'Hist Corr matrix'!N8*VLOOKUP('Hist Cov matrix'!$B8,'Asset Universe'!$C$3:$O$23,13,0)*VLOOKUP('Hist Cov matrix'!N$2,'Asset Universe'!$C$3:$O$23,13,0)</f>
        <v>1.242337591103277E-3</v>
      </c>
      <c r="O8" s="44">
        <f ca="1">'Hist Corr matrix'!O8*VLOOKUP('Hist Cov matrix'!$B8,'Asset Universe'!$C$3:$O$23,13,0)*VLOOKUP('Hist Cov matrix'!O$2,'Asset Universe'!$C$3:$O$23,13,0)</f>
        <v>8.9140479399373496E-4</v>
      </c>
      <c r="P8" s="44">
        <f ca="1">'Hist Corr matrix'!P8*VLOOKUP('Hist Cov matrix'!$B8,'Asset Universe'!$C$3:$O$23,13,0)*VLOOKUP('Hist Cov matrix'!P$2,'Asset Universe'!$C$3:$O$23,13,0)</f>
        <v>9.9317355802145996E-4</v>
      </c>
      <c r="Q8" s="44">
        <f ca="1">'Hist Corr matrix'!Q8*VLOOKUP('Hist Cov matrix'!$B8,'Asset Universe'!$C$3:$O$23,13,0)*VLOOKUP('Hist Cov matrix'!Q$2,'Asset Universe'!$C$3:$O$23,13,0)</f>
        <v>4.9157530537042942E-4</v>
      </c>
      <c r="R8" s="44">
        <f ca="1">'Hist Corr matrix'!R8*VLOOKUP('Hist Cov matrix'!$B8,'Asset Universe'!$C$3:$O$23,13,0)*VLOOKUP('Hist Cov matrix'!R$2,'Asset Universe'!$C$3:$O$23,13,0)</f>
        <v>4.8711365545590316E-4</v>
      </c>
      <c r="S8" s="44">
        <f ca="1">'Hist Corr matrix'!S8*VLOOKUP('Hist Cov matrix'!$B8,'Asset Universe'!$C$3:$O$23,13,0)*VLOOKUP('Hist Cov matrix'!S$2,'Asset Universe'!$C$3:$O$23,13,0)</f>
        <v>9.9529513628551607E-4</v>
      </c>
      <c r="T8" s="44">
        <f ca="1">'Hist Corr matrix'!T8*VLOOKUP('Hist Cov matrix'!$B8,'Asset Universe'!$C$3:$O$23,13,0)*VLOOKUP('Hist Cov matrix'!T$2,'Asset Universe'!$C$3:$O$23,13,0)</f>
        <v>8.5926213832546628E-4</v>
      </c>
      <c r="U8" s="44">
        <f ca="1">'Hist Corr matrix'!U8*VLOOKUP('Hist Cov matrix'!$B8,'Asset Universe'!$C$3:$O$23,13,0)*VLOOKUP('Hist Cov matrix'!U$2,'Asset Universe'!$C$3:$O$23,13,0)</f>
        <v>1.5460093412204344E-3</v>
      </c>
      <c r="V8" s="44">
        <f ca="1">'Hist Corr matrix'!V8*VLOOKUP('Hist Cov matrix'!$B8,'Asset Universe'!$C$3:$O$23,13,0)*VLOOKUP('Hist Cov matrix'!V$2,'Asset Universe'!$C$3:$O$23,13,0)</f>
        <v>1.1213432053580778E-4</v>
      </c>
      <c r="W8" s="44">
        <f ca="1">'Hist Corr matrix'!W8*VLOOKUP('Hist Cov matrix'!$B8,'Asset Universe'!$C$3:$O$23,13,0)*VLOOKUP('Hist Cov matrix'!W$2,'Asset Universe'!$C$3:$O$23,13,0)</f>
        <v>3.0719924384419605E-4</v>
      </c>
    </row>
    <row r="9" spans="2:23" ht="23.5" customHeight="1" x14ac:dyDescent="0.35">
      <c r="B9" s="41" t="s">
        <v>101</v>
      </c>
      <c r="C9" s="44">
        <f ca="1">'Hist Corr matrix'!C9*VLOOKUP('Hist Cov matrix'!$B9,'Asset Universe'!$C$3:$O$23,13,0)*VLOOKUP('Hist Cov matrix'!C$2,'Asset Universe'!$C$3:$O$23,13,0)</f>
        <v>8.9306545094756788E-4</v>
      </c>
      <c r="D9" s="44">
        <f ca="1">'Hist Corr matrix'!D9*VLOOKUP('Hist Cov matrix'!$B9,'Asset Universe'!$C$3:$O$23,13,0)*VLOOKUP('Hist Cov matrix'!D$2,'Asset Universe'!$C$3:$O$23,13,0)</f>
        <v>2.1205180519019776E-3</v>
      </c>
      <c r="E9" s="44">
        <f ca="1">'Hist Corr matrix'!E9*VLOOKUP('Hist Cov matrix'!$B9,'Asset Universe'!$C$3:$O$23,13,0)*VLOOKUP('Hist Cov matrix'!E$2,'Asset Universe'!$C$3:$O$23,13,0)</f>
        <v>1.1725456898227296E-3</v>
      </c>
      <c r="F9" s="44">
        <f ca="1">'Hist Corr matrix'!F9*VLOOKUP('Hist Cov matrix'!$B9,'Asset Universe'!$C$3:$O$23,13,0)*VLOOKUP('Hist Cov matrix'!F$2,'Asset Universe'!$C$3:$O$23,13,0)</f>
        <v>1.1027140662885804E-3</v>
      </c>
      <c r="G9" s="44">
        <f ca="1">'Hist Corr matrix'!G9*VLOOKUP('Hist Cov matrix'!$B9,'Asset Universe'!$C$3:$O$23,13,0)*VLOOKUP('Hist Cov matrix'!G$2,'Asset Universe'!$C$3:$O$23,13,0)</f>
        <v>8.408358809413772E-4</v>
      </c>
      <c r="H9" s="44">
        <f ca="1">'Hist Corr matrix'!H9*VLOOKUP('Hist Cov matrix'!$B9,'Asset Universe'!$C$3:$O$23,13,0)*VLOOKUP('Hist Cov matrix'!H$2,'Asset Universe'!$C$3:$O$23,13,0)</f>
        <v>1.2454094783852716E-3</v>
      </c>
      <c r="I9" s="44">
        <f ca="1">'Hist Corr matrix'!I9*VLOOKUP('Hist Cov matrix'!$B9,'Asset Universe'!$C$3:$O$23,13,0)*VLOOKUP('Hist Cov matrix'!I$2,'Asset Universe'!$C$3:$O$23,13,0)</f>
        <v>1.485441210945501E-3</v>
      </c>
      <c r="J9" s="44">
        <f ca="1">'Hist Corr matrix'!J9*VLOOKUP('Hist Cov matrix'!$B9,'Asset Universe'!$C$3:$O$23,13,0)*VLOOKUP('Hist Cov matrix'!J$2,'Asset Universe'!$C$3:$O$23,13,0)</f>
        <v>1.5745193607206913E-3</v>
      </c>
      <c r="K9" s="44">
        <f ca="1">'Hist Corr matrix'!K9*VLOOKUP('Hist Cov matrix'!$B9,'Asset Universe'!$C$3:$O$23,13,0)*VLOOKUP('Hist Cov matrix'!K$2,'Asset Universe'!$C$3:$O$23,13,0)</f>
        <v>2.9917640999607394E-3</v>
      </c>
      <c r="L9" s="44">
        <f ca="1">'Hist Corr matrix'!L9*VLOOKUP('Hist Cov matrix'!$B9,'Asset Universe'!$C$3:$O$23,13,0)*VLOOKUP('Hist Cov matrix'!L$2,'Asset Universe'!$C$3:$O$23,13,0)</f>
        <v>3.1829167642098894E-3</v>
      </c>
      <c r="M9" s="44">
        <f ca="1">'Hist Corr matrix'!M9*VLOOKUP('Hist Cov matrix'!$B9,'Asset Universe'!$C$3:$O$23,13,0)*VLOOKUP('Hist Cov matrix'!M$2,'Asset Universe'!$C$3:$O$23,13,0)</f>
        <v>9.3519185525281403E-4</v>
      </c>
      <c r="N9" s="44">
        <f ca="1">'Hist Corr matrix'!N9*VLOOKUP('Hist Cov matrix'!$B9,'Asset Universe'!$C$3:$O$23,13,0)*VLOOKUP('Hist Cov matrix'!N$2,'Asset Universe'!$C$3:$O$23,13,0)</f>
        <v>1.2646648403311167E-3</v>
      </c>
      <c r="O9" s="44">
        <f ca="1">'Hist Corr matrix'!O9*VLOOKUP('Hist Cov matrix'!$B9,'Asset Universe'!$C$3:$O$23,13,0)*VLOOKUP('Hist Cov matrix'!O$2,'Asset Universe'!$C$3:$O$23,13,0)</f>
        <v>1.0552123632146188E-3</v>
      </c>
      <c r="P9" s="44">
        <f ca="1">'Hist Corr matrix'!P9*VLOOKUP('Hist Cov matrix'!$B9,'Asset Universe'!$C$3:$O$23,13,0)*VLOOKUP('Hist Cov matrix'!P$2,'Asset Universe'!$C$3:$O$23,13,0)</f>
        <v>1.2996673626338483E-3</v>
      </c>
      <c r="Q9" s="44">
        <f ca="1">'Hist Corr matrix'!Q9*VLOOKUP('Hist Cov matrix'!$B9,'Asset Universe'!$C$3:$O$23,13,0)*VLOOKUP('Hist Cov matrix'!Q$2,'Asset Universe'!$C$3:$O$23,13,0)</f>
        <v>6.0475359918013734E-4</v>
      </c>
      <c r="R9" s="44">
        <f ca="1">'Hist Corr matrix'!R9*VLOOKUP('Hist Cov matrix'!$B9,'Asset Universe'!$C$3:$O$23,13,0)*VLOOKUP('Hist Cov matrix'!R$2,'Asset Universe'!$C$3:$O$23,13,0)</f>
        <v>5.8545279673448566E-4</v>
      </c>
      <c r="S9" s="44">
        <f ca="1">'Hist Corr matrix'!S9*VLOOKUP('Hist Cov matrix'!$B9,'Asset Universe'!$C$3:$O$23,13,0)*VLOOKUP('Hist Cov matrix'!S$2,'Asset Universe'!$C$3:$O$23,13,0)</f>
        <v>1.5426527918383753E-3</v>
      </c>
      <c r="T9" s="44">
        <f ca="1">'Hist Corr matrix'!T9*VLOOKUP('Hist Cov matrix'!$B9,'Asset Universe'!$C$3:$O$23,13,0)*VLOOKUP('Hist Cov matrix'!T$2,'Asset Universe'!$C$3:$O$23,13,0)</f>
        <v>9.4805251611440502E-4</v>
      </c>
      <c r="U9" s="44">
        <f ca="1">'Hist Corr matrix'!U9*VLOOKUP('Hist Cov matrix'!$B9,'Asset Universe'!$C$3:$O$23,13,0)*VLOOKUP('Hist Cov matrix'!U$2,'Asset Universe'!$C$3:$O$23,13,0)</f>
        <v>1.8334461154819849E-3</v>
      </c>
      <c r="V9" s="44">
        <f ca="1">'Hist Corr matrix'!V9*VLOOKUP('Hist Cov matrix'!$B9,'Asset Universe'!$C$3:$O$23,13,0)*VLOOKUP('Hist Cov matrix'!V$2,'Asset Universe'!$C$3:$O$23,13,0)</f>
        <v>5.1393838372973573E-4</v>
      </c>
      <c r="W9" s="44">
        <f ca="1">'Hist Corr matrix'!W9*VLOOKUP('Hist Cov matrix'!$B9,'Asset Universe'!$C$3:$O$23,13,0)*VLOOKUP('Hist Cov matrix'!W$2,'Asset Universe'!$C$3:$O$23,13,0)</f>
        <v>5.5008564893059282E-4</v>
      </c>
    </row>
    <row r="10" spans="2:23" ht="23.5" customHeight="1" x14ac:dyDescent="0.35">
      <c r="B10" s="41" t="s">
        <v>102</v>
      </c>
      <c r="C10" s="44">
        <f ca="1">'Hist Corr matrix'!C10*VLOOKUP('Hist Cov matrix'!$B10,'Asset Universe'!$C$3:$O$23,13,0)*VLOOKUP('Hist Cov matrix'!C$2,'Asset Universe'!$C$3:$O$23,13,0)</f>
        <v>7.8201257489429049E-4</v>
      </c>
      <c r="D10" s="44">
        <f ca="1">'Hist Corr matrix'!D10*VLOOKUP('Hist Cov matrix'!$B10,'Asset Universe'!$C$3:$O$23,13,0)*VLOOKUP('Hist Cov matrix'!D$2,'Asset Universe'!$C$3:$O$23,13,0)</f>
        <v>1.9084423563641253E-3</v>
      </c>
      <c r="E10" s="44">
        <f ca="1">'Hist Corr matrix'!E10*VLOOKUP('Hist Cov matrix'!$B10,'Asset Universe'!$C$3:$O$23,13,0)*VLOOKUP('Hist Cov matrix'!E$2,'Asset Universe'!$C$3:$O$23,13,0)</f>
        <v>1.2907088746461864E-3</v>
      </c>
      <c r="F10" s="44">
        <f ca="1">'Hist Corr matrix'!F10*VLOOKUP('Hist Cov matrix'!$B10,'Asset Universe'!$C$3:$O$23,13,0)*VLOOKUP('Hist Cov matrix'!F$2,'Asset Universe'!$C$3:$O$23,13,0)</f>
        <v>1.1121797065785589E-3</v>
      </c>
      <c r="G10" s="44">
        <f ca="1">'Hist Corr matrix'!G10*VLOOKUP('Hist Cov matrix'!$B10,'Asset Universe'!$C$3:$O$23,13,0)*VLOOKUP('Hist Cov matrix'!G$2,'Asset Universe'!$C$3:$O$23,13,0)</f>
        <v>8.1613307498114751E-4</v>
      </c>
      <c r="H10" s="44">
        <f ca="1">'Hist Corr matrix'!H10*VLOOKUP('Hist Cov matrix'!$B10,'Asset Universe'!$C$3:$O$23,13,0)*VLOOKUP('Hist Cov matrix'!H$2,'Asset Universe'!$C$3:$O$23,13,0)</f>
        <v>1.2899301223547417E-3</v>
      </c>
      <c r="I10" s="44">
        <f ca="1">'Hist Corr matrix'!I10*VLOOKUP('Hist Cov matrix'!$B10,'Asset Universe'!$C$3:$O$23,13,0)*VLOOKUP('Hist Cov matrix'!I$2,'Asset Universe'!$C$3:$O$23,13,0)</f>
        <v>1.5745193607206913E-3</v>
      </c>
      <c r="J10" s="44">
        <f ca="1">'Hist Corr matrix'!J10*VLOOKUP('Hist Cov matrix'!$B10,'Asset Universe'!$C$3:$O$23,13,0)*VLOOKUP('Hist Cov matrix'!J$2,'Asset Universe'!$C$3:$O$23,13,0)</f>
        <v>1.9438367039589237E-3</v>
      </c>
      <c r="K10" s="44">
        <f ca="1">'Hist Corr matrix'!K10*VLOOKUP('Hist Cov matrix'!$B10,'Asset Universe'!$C$3:$O$23,13,0)*VLOOKUP('Hist Cov matrix'!K$2,'Asset Universe'!$C$3:$O$23,13,0)</f>
        <v>4.2434922184301279E-3</v>
      </c>
      <c r="L10" s="44">
        <f ca="1">'Hist Corr matrix'!L10*VLOOKUP('Hist Cov matrix'!$B10,'Asset Universe'!$C$3:$O$23,13,0)*VLOOKUP('Hist Cov matrix'!L$2,'Asset Universe'!$C$3:$O$23,13,0)</f>
        <v>4.2892013226935094E-3</v>
      </c>
      <c r="M10" s="44">
        <f ca="1">'Hist Corr matrix'!M10*VLOOKUP('Hist Cov matrix'!$B10,'Asset Universe'!$C$3:$O$23,13,0)*VLOOKUP('Hist Cov matrix'!M$2,'Asset Universe'!$C$3:$O$23,13,0)</f>
        <v>1.085742585309216E-3</v>
      </c>
      <c r="N10" s="44">
        <f ca="1">'Hist Corr matrix'!N10*VLOOKUP('Hist Cov matrix'!$B10,'Asset Universe'!$C$3:$O$23,13,0)*VLOOKUP('Hist Cov matrix'!N$2,'Asset Universe'!$C$3:$O$23,13,0)</f>
        <v>1.3187458155948294E-3</v>
      </c>
      <c r="O10" s="44">
        <f ca="1">'Hist Corr matrix'!O10*VLOOKUP('Hist Cov matrix'!$B10,'Asset Universe'!$C$3:$O$23,13,0)*VLOOKUP('Hist Cov matrix'!O$2,'Asset Universe'!$C$3:$O$23,13,0)</f>
        <v>1.2292202739799354E-3</v>
      </c>
      <c r="P10" s="44">
        <f ca="1">'Hist Corr matrix'!P10*VLOOKUP('Hist Cov matrix'!$B10,'Asset Universe'!$C$3:$O$23,13,0)*VLOOKUP('Hist Cov matrix'!P$2,'Asset Universe'!$C$3:$O$23,13,0)</f>
        <v>1.6747359326105327E-3</v>
      </c>
      <c r="Q10" s="44">
        <f ca="1">'Hist Corr matrix'!Q10*VLOOKUP('Hist Cov matrix'!$B10,'Asset Universe'!$C$3:$O$23,13,0)*VLOOKUP('Hist Cov matrix'!Q$2,'Asset Universe'!$C$3:$O$23,13,0)</f>
        <v>7.4953063257140659E-4</v>
      </c>
      <c r="R10" s="44">
        <f ca="1">'Hist Corr matrix'!R10*VLOOKUP('Hist Cov matrix'!$B10,'Asset Universe'!$C$3:$O$23,13,0)*VLOOKUP('Hist Cov matrix'!R$2,'Asset Universe'!$C$3:$O$23,13,0)</f>
        <v>7.9428004987677455E-4</v>
      </c>
      <c r="S10" s="44">
        <f ca="1">'Hist Corr matrix'!S10*VLOOKUP('Hist Cov matrix'!$B10,'Asset Universe'!$C$3:$O$23,13,0)*VLOOKUP('Hist Cov matrix'!S$2,'Asset Universe'!$C$3:$O$23,13,0)</f>
        <v>2.809730758860911E-3</v>
      </c>
      <c r="T10" s="44">
        <f ca="1">'Hist Corr matrix'!T10*VLOOKUP('Hist Cov matrix'!$B10,'Asset Universe'!$C$3:$O$23,13,0)*VLOOKUP('Hist Cov matrix'!T$2,'Asset Universe'!$C$3:$O$23,13,0)</f>
        <v>9.379966944634534E-4</v>
      </c>
      <c r="U10" s="44">
        <f ca="1">'Hist Corr matrix'!U10*VLOOKUP('Hist Cov matrix'!$B10,'Asset Universe'!$C$3:$O$23,13,0)*VLOOKUP('Hist Cov matrix'!U$2,'Asset Universe'!$C$3:$O$23,13,0)</f>
        <v>2.1828282059488764E-3</v>
      </c>
      <c r="V10" s="44">
        <f ca="1">'Hist Corr matrix'!V10*VLOOKUP('Hist Cov matrix'!$B10,'Asset Universe'!$C$3:$O$23,13,0)*VLOOKUP('Hist Cov matrix'!V$2,'Asset Universe'!$C$3:$O$23,13,0)</f>
        <v>2.6534664943253907E-4</v>
      </c>
      <c r="W10" s="44">
        <f ca="1">'Hist Corr matrix'!W10*VLOOKUP('Hist Cov matrix'!$B10,'Asset Universe'!$C$3:$O$23,13,0)*VLOOKUP('Hist Cov matrix'!W$2,'Asset Universe'!$C$3:$O$23,13,0)</f>
        <v>3.7826207253800743E-4</v>
      </c>
    </row>
    <row r="11" spans="2:23" ht="23.5" customHeight="1" x14ac:dyDescent="0.35">
      <c r="B11" s="41" t="s">
        <v>93</v>
      </c>
      <c r="C11" s="44">
        <f ca="1">'Hist Corr matrix'!C11*VLOOKUP('Hist Cov matrix'!$B11,'Asset Universe'!$C$3:$O$23,13,0)*VLOOKUP('Hist Cov matrix'!C$2,'Asset Universe'!$C$3:$O$23,13,0)</f>
        <v>-1.6677725517533361E-4</v>
      </c>
      <c r="D11" s="44">
        <f ca="1">'Hist Corr matrix'!D11*VLOOKUP('Hist Cov matrix'!$B11,'Asset Universe'!$C$3:$O$23,13,0)*VLOOKUP('Hist Cov matrix'!D$2,'Asset Universe'!$C$3:$O$23,13,0)</f>
        <v>-3.1321848975039566E-4</v>
      </c>
      <c r="E11" s="44">
        <f ca="1">'Hist Corr matrix'!E11*VLOOKUP('Hist Cov matrix'!$B11,'Asset Universe'!$C$3:$O$23,13,0)*VLOOKUP('Hist Cov matrix'!E$2,'Asset Universe'!$C$3:$O$23,13,0)</f>
        <v>2.3961457843503621E-3</v>
      </c>
      <c r="F11" s="44">
        <f ca="1">'Hist Corr matrix'!F11*VLOOKUP('Hist Cov matrix'!$B11,'Asset Universe'!$C$3:$O$23,13,0)*VLOOKUP('Hist Cov matrix'!F$2,'Asset Universe'!$C$3:$O$23,13,0)</f>
        <v>9.1664223600573856E-4</v>
      </c>
      <c r="G11" s="44">
        <f ca="1">'Hist Corr matrix'!G11*VLOOKUP('Hist Cov matrix'!$B11,'Asset Universe'!$C$3:$O$23,13,0)*VLOOKUP('Hist Cov matrix'!G$2,'Asset Universe'!$C$3:$O$23,13,0)</f>
        <v>6.1632595215671776E-4</v>
      </c>
      <c r="H11" s="44">
        <f ca="1">'Hist Corr matrix'!H11*VLOOKUP('Hist Cov matrix'!$B11,'Asset Universe'!$C$3:$O$23,13,0)*VLOOKUP('Hist Cov matrix'!H$2,'Asset Universe'!$C$3:$O$23,13,0)</f>
        <v>2.0414348390376206E-3</v>
      </c>
      <c r="I11" s="44">
        <f ca="1">'Hist Corr matrix'!I11*VLOOKUP('Hist Cov matrix'!$B11,'Asset Universe'!$C$3:$O$23,13,0)*VLOOKUP('Hist Cov matrix'!I$2,'Asset Universe'!$C$3:$O$23,13,0)</f>
        <v>2.9917640999607394E-3</v>
      </c>
      <c r="J11" s="44">
        <f ca="1">'Hist Corr matrix'!J11*VLOOKUP('Hist Cov matrix'!$B11,'Asset Universe'!$C$3:$O$23,13,0)*VLOOKUP('Hist Cov matrix'!J$2,'Asset Universe'!$C$3:$O$23,13,0)</f>
        <v>4.2434922184301279E-3</v>
      </c>
      <c r="K11" s="44">
        <f ca="1">'Hist Corr matrix'!K11*VLOOKUP('Hist Cov matrix'!$B11,'Asset Universe'!$C$3:$O$23,13,0)*VLOOKUP('Hist Cov matrix'!K$2,'Asset Universe'!$C$3:$O$23,13,0)</f>
        <v>1.6133452300916451E-2</v>
      </c>
      <c r="L11" s="44">
        <f ca="1">'Hist Corr matrix'!L11*VLOOKUP('Hist Cov matrix'!$B11,'Asset Universe'!$C$3:$O$23,13,0)*VLOOKUP('Hist Cov matrix'!L$2,'Asset Universe'!$C$3:$O$23,13,0)</f>
        <v>1.4036427278112452E-2</v>
      </c>
      <c r="M11" s="44">
        <f ca="1">'Hist Corr matrix'!M11*VLOOKUP('Hist Cov matrix'!$B11,'Asset Universe'!$C$3:$O$23,13,0)*VLOOKUP('Hist Cov matrix'!M$2,'Asset Universe'!$C$3:$O$23,13,0)</f>
        <v>2.4474316942247813E-3</v>
      </c>
      <c r="N11" s="44">
        <f ca="1">'Hist Corr matrix'!N11*VLOOKUP('Hist Cov matrix'!$B11,'Asset Universe'!$C$3:$O$23,13,0)*VLOOKUP('Hist Cov matrix'!N$2,'Asset Universe'!$C$3:$O$23,13,0)</f>
        <v>1.465877578832745E-3</v>
      </c>
      <c r="O11" s="44">
        <f ca="1">'Hist Corr matrix'!O11*VLOOKUP('Hist Cov matrix'!$B11,'Asset Universe'!$C$3:$O$23,13,0)*VLOOKUP('Hist Cov matrix'!O$2,'Asset Universe'!$C$3:$O$23,13,0)</f>
        <v>4.2494335962177544E-3</v>
      </c>
      <c r="P11" s="44">
        <f ca="1">'Hist Corr matrix'!P11*VLOOKUP('Hist Cov matrix'!$B11,'Asset Universe'!$C$3:$O$23,13,0)*VLOOKUP('Hist Cov matrix'!P$2,'Asset Universe'!$C$3:$O$23,13,0)</f>
        <v>4.2003800752094056E-3</v>
      </c>
      <c r="Q11" s="44">
        <f ca="1">'Hist Corr matrix'!Q11*VLOOKUP('Hist Cov matrix'!$B11,'Asset Universe'!$C$3:$O$23,13,0)*VLOOKUP('Hist Cov matrix'!Q$2,'Asset Universe'!$C$3:$O$23,13,0)</f>
        <v>2.169925218185262E-3</v>
      </c>
      <c r="R11" s="44">
        <f ca="1">'Hist Corr matrix'!R11*VLOOKUP('Hist Cov matrix'!$B11,'Asset Universe'!$C$3:$O$23,13,0)*VLOOKUP('Hist Cov matrix'!R$2,'Asset Universe'!$C$3:$O$23,13,0)</f>
        <v>2.344219147487813E-3</v>
      </c>
      <c r="S11" s="44">
        <f ca="1">'Hist Corr matrix'!S11*VLOOKUP('Hist Cov matrix'!$B11,'Asset Universe'!$C$3:$O$23,13,0)*VLOOKUP('Hist Cov matrix'!S$2,'Asset Universe'!$C$3:$O$23,13,0)</f>
        <v>1.0236839928131085E-2</v>
      </c>
      <c r="T11" s="44">
        <f ca="1">'Hist Corr matrix'!T11*VLOOKUP('Hist Cov matrix'!$B11,'Asset Universe'!$C$3:$O$23,13,0)*VLOOKUP('Hist Cov matrix'!T$2,'Asset Universe'!$C$3:$O$23,13,0)</f>
        <v>1.7121562246221939E-3</v>
      </c>
      <c r="U11" s="44">
        <f ca="1">'Hist Corr matrix'!U11*VLOOKUP('Hist Cov matrix'!$B11,'Asset Universe'!$C$3:$O$23,13,0)*VLOOKUP('Hist Cov matrix'!U$2,'Asset Universe'!$C$3:$O$23,13,0)</f>
        <v>7.5736806189828807E-3</v>
      </c>
      <c r="V11" s="44">
        <f ca="1">'Hist Corr matrix'!V11*VLOOKUP('Hist Cov matrix'!$B11,'Asset Universe'!$C$3:$O$23,13,0)*VLOOKUP('Hist Cov matrix'!V$2,'Asset Universe'!$C$3:$O$23,13,0)</f>
        <v>8.6926305935033259E-4</v>
      </c>
      <c r="W11" s="44">
        <f ca="1">'Hist Corr matrix'!W11*VLOOKUP('Hist Cov matrix'!$B11,'Asset Universe'!$C$3:$O$23,13,0)*VLOOKUP('Hist Cov matrix'!W$2,'Asset Universe'!$C$3:$O$23,13,0)</f>
        <v>2.1004379761003838E-3</v>
      </c>
    </row>
    <row r="12" spans="2:23" ht="23.5" customHeight="1" x14ac:dyDescent="0.35">
      <c r="B12" s="41" t="s">
        <v>103</v>
      </c>
      <c r="C12" s="44">
        <f ca="1">'Hist Corr matrix'!C12*VLOOKUP('Hist Cov matrix'!$B12,'Asset Universe'!$C$3:$O$23,13,0)*VLOOKUP('Hist Cov matrix'!C$2,'Asset Universe'!$C$3:$O$23,13,0)</f>
        <v>3.81591179418641E-4</v>
      </c>
      <c r="D12" s="44">
        <f ca="1">'Hist Corr matrix'!D12*VLOOKUP('Hist Cov matrix'!$B12,'Asset Universe'!$C$3:$O$23,13,0)*VLOOKUP('Hist Cov matrix'!D$2,'Asset Universe'!$C$3:$O$23,13,0)</f>
        <v>1.1638564943883148E-3</v>
      </c>
      <c r="E12" s="44">
        <f ca="1">'Hist Corr matrix'!E12*VLOOKUP('Hist Cov matrix'!$B12,'Asset Universe'!$C$3:$O$23,13,0)*VLOOKUP('Hist Cov matrix'!E$2,'Asset Universe'!$C$3:$O$23,13,0)</f>
        <v>2.5590026543817288E-3</v>
      </c>
      <c r="F12" s="44">
        <f ca="1">'Hist Corr matrix'!F12*VLOOKUP('Hist Cov matrix'!$B12,'Asset Universe'!$C$3:$O$23,13,0)*VLOOKUP('Hist Cov matrix'!F$2,'Asset Universe'!$C$3:$O$23,13,0)</f>
        <v>1.3342506732716747E-3</v>
      </c>
      <c r="G12" s="44">
        <f ca="1">'Hist Corr matrix'!G12*VLOOKUP('Hist Cov matrix'!$B12,'Asset Universe'!$C$3:$O$23,13,0)*VLOOKUP('Hist Cov matrix'!G$2,'Asset Universe'!$C$3:$O$23,13,0)</f>
        <v>9.6317591980682655E-4</v>
      </c>
      <c r="H12" s="44">
        <f ca="1">'Hist Corr matrix'!H12*VLOOKUP('Hist Cov matrix'!$B12,'Asset Universe'!$C$3:$O$23,13,0)*VLOOKUP('Hist Cov matrix'!H$2,'Asset Universe'!$C$3:$O$23,13,0)</f>
        <v>2.3335320045590234E-3</v>
      </c>
      <c r="I12" s="44">
        <f ca="1">'Hist Corr matrix'!I12*VLOOKUP('Hist Cov matrix'!$B12,'Asset Universe'!$C$3:$O$23,13,0)*VLOOKUP('Hist Cov matrix'!I$2,'Asset Universe'!$C$3:$O$23,13,0)</f>
        <v>3.1829167642098894E-3</v>
      </c>
      <c r="J12" s="44">
        <f ca="1">'Hist Corr matrix'!J12*VLOOKUP('Hist Cov matrix'!$B12,'Asset Universe'!$C$3:$O$23,13,0)*VLOOKUP('Hist Cov matrix'!J$2,'Asset Universe'!$C$3:$O$23,13,0)</f>
        <v>4.2892013226935094E-3</v>
      </c>
      <c r="K12" s="44">
        <f ca="1">'Hist Corr matrix'!K12*VLOOKUP('Hist Cov matrix'!$B12,'Asset Universe'!$C$3:$O$23,13,0)*VLOOKUP('Hist Cov matrix'!K$2,'Asset Universe'!$C$3:$O$23,13,0)</f>
        <v>1.4036427278112452E-2</v>
      </c>
      <c r="L12" s="44">
        <f ca="1">'Hist Corr matrix'!L12*VLOOKUP('Hist Cov matrix'!$B12,'Asset Universe'!$C$3:$O$23,13,0)*VLOOKUP('Hist Cov matrix'!L$2,'Asset Universe'!$C$3:$O$23,13,0)</f>
        <v>1.3612709339117341E-2</v>
      </c>
      <c r="M12" s="44">
        <f ca="1">'Hist Corr matrix'!M12*VLOOKUP('Hist Cov matrix'!$B12,'Asset Universe'!$C$3:$O$23,13,0)*VLOOKUP('Hist Cov matrix'!M$2,'Asset Universe'!$C$3:$O$23,13,0)</f>
        <v>2.4198879681397744E-3</v>
      </c>
      <c r="N12" s="44">
        <f ca="1">'Hist Corr matrix'!N12*VLOOKUP('Hist Cov matrix'!$B12,'Asset Universe'!$C$3:$O$23,13,0)*VLOOKUP('Hist Cov matrix'!N$2,'Asset Universe'!$C$3:$O$23,13,0)</f>
        <v>1.9032060570140254E-3</v>
      </c>
      <c r="O12" s="44">
        <f ca="1">'Hist Corr matrix'!O12*VLOOKUP('Hist Cov matrix'!$B12,'Asset Universe'!$C$3:$O$23,13,0)*VLOOKUP('Hist Cov matrix'!O$2,'Asset Universe'!$C$3:$O$23,13,0)</f>
        <v>3.7534062048538153E-3</v>
      </c>
      <c r="P12" s="44">
        <f ca="1">'Hist Corr matrix'!P12*VLOOKUP('Hist Cov matrix'!$B12,'Asset Universe'!$C$3:$O$23,13,0)*VLOOKUP('Hist Cov matrix'!P$2,'Asset Universe'!$C$3:$O$23,13,0)</f>
        <v>3.9424181619536073E-3</v>
      </c>
      <c r="Q12" s="44">
        <f ca="1">'Hist Corr matrix'!Q12*VLOOKUP('Hist Cov matrix'!$B12,'Asset Universe'!$C$3:$O$23,13,0)*VLOOKUP('Hist Cov matrix'!Q$2,'Asset Universe'!$C$3:$O$23,13,0)</f>
        <v>2.2188627678209633E-3</v>
      </c>
      <c r="R12" s="44">
        <f ca="1">'Hist Corr matrix'!R12*VLOOKUP('Hist Cov matrix'!$B12,'Asset Universe'!$C$3:$O$23,13,0)*VLOOKUP('Hist Cov matrix'!R$2,'Asset Universe'!$C$3:$O$23,13,0)</f>
        <v>2.3604712221119732E-3</v>
      </c>
      <c r="S12" s="44">
        <f ca="1">'Hist Corr matrix'!S12*VLOOKUP('Hist Cov matrix'!$B12,'Asset Universe'!$C$3:$O$23,13,0)*VLOOKUP('Hist Cov matrix'!S$2,'Asset Universe'!$C$3:$O$23,13,0)</f>
        <v>8.6991317501986486E-3</v>
      </c>
      <c r="T12" s="44">
        <f ca="1">'Hist Corr matrix'!T12*VLOOKUP('Hist Cov matrix'!$B12,'Asset Universe'!$C$3:$O$23,13,0)*VLOOKUP('Hist Cov matrix'!T$2,'Asset Universe'!$C$3:$O$23,13,0)</f>
        <v>1.7700428437889548E-3</v>
      </c>
      <c r="U12" s="44">
        <f ca="1">'Hist Corr matrix'!U12*VLOOKUP('Hist Cov matrix'!$B12,'Asset Universe'!$C$3:$O$23,13,0)*VLOOKUP('Hist Cov matrix'!U$2,'Asset Universe'!$C$3:$O$23,13,0)</f>
        <v>6.6776671329242176E-3</v>
      </c>
      <c r="V12" s="44">
        <f ca="1">'Hist Corr matrix'!V12*VLOOKUP('Hist Cov matrix'!$B12,'Asset Universe'!$C$3:$O$23,13,0)*VLOOKUP('Hist Cov matrix'!V$2,'Asset Universe'!$C$3:$O$23,13,0)</f>
        <v>1.1733150462541811E-3</v>
      </c>
      <c r="W12" s="44">
        <f ca="1">'Hist Corr matrix'!W12*VLOOKUP('Hist Cov matrix'!$B12,'Asset Universe'!$C$3:$O$23,13,0)*VLOOKUP('Hist Cov matrix'!W$2,'Asset Universe'!$C$3:$O$23,13,0)</f>
        <v>1.8785296348861336E-3</v>
      </c>
    </row>
    <row r="13" spans="2:23" ht="23.5" customHeight="1" x14ac:dyDescent="0.35">
      <c r="B13" s="41" t="s">
        <v>104</v>
      </c>
      <c r="C13" s="44">
        <f ca="1">'Hist Corr matrix'!C13*VLOOKUP('Hist Cov matrix'!$B13,'Asset Universe'!$C$3:$O$23,13,0)*VLOOKUP('Hist Cov matrix'!C$2,'Asset Universe'!$C$3:$O$23,13,0)</f>
        <v>6.744270763941665E-4</v>
      </c>
      <c r="D13" s="44">
        <f ca="1">'Hist Corr matrix'!D13*VLOOKUP('Hist Cov matrix'!$B13,'Asset Universe'!$C$3:$O$23,13,0)*VLOOKUP('Hist Cov matrix'!D$2,'Asset Universe'!$C$3:$O$23,13,0)</f>
        <v>1.4828099724031143E-3</v>
      </c>
      <c r="E13" s="44">
        <f ca="1">'Hist Corr matrix'!E13*VLOOKUP('Hist Cov matrix'!$B13,'Asset Universe'!$C$3:$O$23,13,0)*VLOOKUP('Hist Cov matrix'!E$2,'Asset Universe'!$C$3:$O$23,13,0)</f>
        <v>8.660370010907533E-4</v>
      </c>
      <c r="F13" s="44">
        <f ca="1">'Hist Corr matrix'!F13*VLOOKUP('Hist Cov matrix'!$B13,'Asset Universe'!$C$3:$O$23,13,0)*VLOOKUP('Hist Cov matrix'!F$2,'Asset Universe'!$C$3:$O$23,13,0)</f>
        <v>9.1889016265396853E-4</v>
      </c>
      <c r="G13" s="44">
        <f ca="1">'Hist Corr matrix'!G13*VLOOKUP('Hist Cov matrix'!$B13,'Asset Universe'!$C$3:$O$23,13,0)*VLOOKUP('Hist Cov matrix'!G$2,'Asset Universe'!$C$3:$O$23,13,0)</f>
        <v>5.7539331087949153E-4</v>
      </c>
      <c r="H13" s="44">
        <f ca="1">'Hist Corr matrix'!H13*VLOOKUP('Hist Cov matrix'!$B13,'Asset Universe'!$C$3:$O$23,13,0)*VLOOKUP('Hist Cov matrix'!H$2,'Asset Universe'!$C$3:$O$23,13,0)</f>
        <v>7.9154281660000464E-4</v>
      </c>
      <c r="I13" s="44">
        <f ca="1">'Hist Corr matrix'!I13*VLOOKUP('Hist Cov matrix'!$B13,'Asset Universe'!$C$3:$O$23,13,0)*VLOOKUP('Hist Cov matrix'!I$2,'Asset Universe'!$C$3:$O$23,13,0)</f>
        <v>9.3519185525281403E-4</v>
      </c>
      <c r="J13" s="44">
        <f ca="1">'Hist Corr matrix'!J13*VLOOKUP('Hist Cov matrix'!$B13,'Asset Universe'!$C$3:$O$23,13,0)*VLOOKUP('Hist Cov matrix'!J$2,'Asset Universe'!$C$3:$O$23,13,0)</f>
        <v>1.0857425853092158E-3</v>
      </c>
      <c r="K13" s="44">
        <f ca="1">'Hist Corr matrix'!K13*VLOOKUP('Hist Cov matrix'!$B13,'Asset Universe'!$C$3:$O$23,13,0)*VLOOKUP('Hist Cov matrix'!K$2,'Asset Universe'!$C$3:$O$23,13,0)</f>
        <v>2.4474316942247813E-3</v>
      </c>
      <c r="L13" s="44">
        <f ca="1">'Hist Corr matrix'!L13*VLOOKUP('Hist Cov matrix'!$B13,'Asset Universe'!$C$3:$O$23,13,0)*VLOOKUP('Hist Cov matrix'!L$2,'Asset Universe'!$C$3:$O$23,13,0)</f>
        <v>2.419887968139774E-3</v>
      </c>
      <c r="M13" s="44">
        <f ca="1">'Hist Corr matrix'!M13*VLOOKUP('Hist Cov matrix'!$B13,'Asset Universe'!$C$3:$O$23,13,0)*VLOOKUP('Hist Cov matrix'!M$2,'Asset Universe'!$C$3:$O$23,13,0)</f>
        <v>6.6595024475316652E-4</v>
      </c>
      <c r="N13" s="44">
        <f ca="1">'Hist Corr matrix'!N13*VLOOKUP('Hist Cov matrix'!$B13,'Asset Universe'!$C$3:$O$23,13,0)*VLOOKUP('Hist Cov matrix'!N$2,'Asset Universe'!$C$3:$O$23,13,0)</f>
        <v>9.2012762562618993E-4</v>
      </c>
      <c r="O13" s="44">
        <f ca="1">'Hist Corr matrix'!O13*VLOOKUP('Hist Cov matrix'!$B13,'Asset Universe'!$C$3:$O$23,13,0)*VLOOKUP('Hist Cov matrix'!O$2,'Asset Universe'!$C$3:$O$23,13,0)</f>
        <v>1.1302831054400574E-3</v>
      </c>
      <c r="P13" s="44">
        <f ca="1">'Hist Corr matrix'!P13*VLOOKUP('Hist Cov matrix'!$B13,'Asset Universe'!$C$3:$O$23,13,0)*VLOOKUP('Hist Cov matrix'!P$2,'Asset Universe'!$C$3:$O$23,13,0)</f>
        <v>1.2128507910072433E-3</v>
      </c>
      <c r="Q13" s="44">
        <f ca="1">'Hist Corr matrix'!Q13*VLOOKUP('Hist Cov matrix'!$B13,'Asset Universe'!$C$3:$O$23,13,0)*VLOOKUP('Hist Cov matrix'!Q$2,'Asset Universe'!$C$3:$O$23,13,0)</f>
        <v>4.1225436830900263E-4</v>
      </c>
      <c r="R13" s="44">
        <f ca="1">'Hist Corr matrix'!R13*VLOOKUP('Hist Cov matrix'!$B13,'Asset Universe'!$C$3:$O$23,13,0)*VLOOKUP('Hist Cov matrix'!R$2,'Asset Universe'!$C$3:$O$23,13,0)</f>
        <v>4.5204333690209282E-4</v>
      </c>
      <c r="S13" s="44">
        <f ca="1">'Hist Corr matrix'!S13*VLOOKUP('Hist Cov matrix'!$B13,'Asset Universe'!$C$3:$O$23,13,0)*VLOOKUP('Hist Cov matrix'!S$2,'Asset Universe'!$C$3:$O$23,13,0)</f>
        <v>1.4742841650702049E-3</v>
      </c>
      <c r="T13" s="44">
        <f ca="1">'Hist Corr matrix'!T13*VLOOKUP('Hist Cov matrix'!$B13,'Asset Universe'!$C$3:$O$23,13,0)*VLOOKUP('Hist Cov matrix'!T$2,'Asset Universe'!$C$3:$O$23,13,0)</f>
        <v>5.7132718088414561E-4</v>
      </c>
      <c r="U13" s="44">
        <f ca="1">'Hist Corr matrix'!U13*VLOOKUP('Hist Cov matrix'!$B13,'Asset Universe'!$C$3:$O$23,13,0)*VLOOKUP('Hist Cov matrix'!U$2,'Asset Universe'!$C$3:$O$23,13,0)</f>
        <v>1.989358855855355E-3</v>
      </c>
      <c r="V13" s="44">
        <f ca="1">'Hist Corr matrix'!V13*VLOOKUP('Hist Cov matrix'!$B13,'Asset Universe'!$C$3:$O$23,13,0)*VLOOKUP('Hist Cov matrix'!V$2,'Asset Universe'!$C$3:$O$23,13,0)</f>
        <v>-5.0130686861597871E-4</v>
      </c>
      <c r="W13" s="44">
        <f ca="1">'Hist Corr matrix'!W13*VLOOKUP('Hist Cov matrix'!$B13,'Asset Universe'!$C$3:$O$23,13,0)*VLOOKUP('Hist Cov matrix'!W$2,'Asset Universe'!$C$3:$O$23,13,0)</f>
        <v>-5.5803777586550785E-4</v>
      </c>
    </row>
    <row r="14" spans="2:23" ht="23.5" customHeight="1" x14ac:dyDescent="0.35">
      <c r="B14" s="41" t="s">
        <v>91</v>
      </c>
      <c r="C14" s="44">
        <f ca="1">'Hist Corr matrix'!C14*VLOOKUP('Hist Cov matrix'!$B14,'Asset Universe'!$C$3:$O$23,13,0)*VLOOKUP('Hist Cov matrix'!C$2,'Asset Universe'!$C$3:$O$23,13,0)</f>
        <v>1.4800794891664214E-3</v>
      </c>
      <c r="D14" s="44">
        <f ca="1">'Hist Corr matrix'!D14*VLOOKUP('Hist Cov matrix'!$B14,'Asset Universe'!$C$3:$O$23,13,0)*VLOOKUP('Hist Cov matrix'!D$2,'Asset Universe'!$C$3:$O$23,13,0)</f>
        <v>2.9649122261111742E-3</v>
      </c>
      <c r="E14" s="44">
        <f ca="1">'Hist Corr matrix'!E14*VLOOKUP('Hist Cov matrix'!$B14,'Asset Universe'!$C$3:$O$23,13,0)*VLOOKUP('Hist Cov matrix'!E$2,'Asset Universe'!$C$3:$O$23,13,0)</f>
        <v>1.2975820865897744E-3</v>
      </c>
      <c r="F14" s="44">
        <f ca="1">'Hist Corr matrix'!F14*VLOOKUP('Hist Cov matrix'!$B14,'Asset Universe'!$C$3:$O$23,13,0)*VLOOKUP('Hist Cov matrix'!F$2,'Asset Universe'!$C$3:$O$23,13,0)</f>
        <v>1.4518621579886573E-3</v>
      </c>
      <c r="G14" s="44">
        <f ca="1">'Hist Corr matrix'!G14*VLOOKUP('Hist Cov matrix'!$B14,'Asset Universe'!$C$3:$O$23,13,0)*VLOOKUP('Hist Cov matrix'!G$2,'Asset Universe'!$C$3:$O$23,13,0)</f>
        <v>1.232588744283487E-3</v>
      </c>
      <c r="H14" s="44">
        <f ca="1">'Hist Corr matrix'!H14*VLOOKUP('Hist Cov matrix'!$B14,'Asset Universe'!$C$3:$O$23,13,0)*VLOOKUP('Hist Cov matrix'!H$2,'Asset Universe'!$C$3:$O$23,13,0)</f>
        <v>1.2423375911032773E-3</v>
      </c>
      <c r="I14" s="44">
        <f ca="1">'Hist Corr matrix'!I14*VLOOKUP('Hist Cov matrix'!$B14,'Asset Universe'!$C$3:$O$23,13,0)*VLOOKUP('Hist Cov matrix'!I$2,'Asset Universe'!$C$3:$O$23,13,0)</f>
        <v>1.264664840331117E-3</v>
      </c>
      <c r="J14" s="44">
        <f ca="1">'Hist Corr matrix'!J14*VLOOKUP('Hist Cov matrix'!$B14,'Asset Universe'!$C$3:$O$23,13,0)*VLOOKUP('Hist Cov matrix'!J$2,'Asset Universe'!$C$3:$O$23,13,0)</f>
        <v>1.3187458155948292E-3</v>
      </c>
      <c r="K14" s="44">
        <f ca="1">'Hist Corr matrix'!K14*VLOOKUP('Hist Cov matrix'!$B14,'Asset Universe'!$C$3:$O$23,13,0)*VLOOKUP('Hist Cov matrix'!K$2,'Asset Universe'!$C$3:$O$23,13,0)</f>
        <v>1.465877578832745E-3</v>
      </c>
      <c r="L14" s="44">
        <f ca="1">'Hist Corr matrix'!L14*VLOOKUP('Hist Cov matrix'!$B14,'Asset Universe'!$C$3:$O$23,13,0)*VLOOKUP('Hist Cov matrix'!L$2,'Asset Universe'!$C$3:$O$23,13,0)</f>
        <v>1.9032060570140252E-3</v>
      </c>
      <c r="M14" s="44">
        <f ca="1">'Hist Corr matrix'!M14*VLOOKUP('Hist Cov matrix'!$B14,'Asset Universe'!$C$3:$O$23,13,0)*VLOOKUP('Hist Cov matrix'!M$2,'Asset Universe'!$C$3:$O$23,13,0)</f>
        <v>9.2012762562618982E-4</v>
      </c>
      <c r="N14" s="44">
        <f ca="1">'Hist Corr matrix'!N14*VLOOKUP('Hist Cov matrix'!$B14,'Asset Universe'!$C$3:$O$23,13,0)*VLOOKUP('Hist Cov matrix'!N$2,'Asset Universe'!$C$3:$O$23,13,0)</f>
        <v>2.124682039654535E-3</v>
      </c>
      <c r="O14" s="44">
        <f ca="1">'Hist Corr matrix'!O14*VLOOKUP('Hist Cov matrix'!$B14,'Asset Universe'!$C$3:$O$23,13,0)*VLOOKUP('Hist Cov matrix'!O$2,'Asset Universe'!$C$3:$O$23,13,0)</f>
        <v>6.8044205185100923E-4</v>
      </c>
      <c r="P14" s="44">
        <f ca="1">'Hist Corr matrix'!P14*VLOOKUP('Hist Cov matrix'!$B14,'Asset Universe'!$C$3:$O$23,13,0)*VLOOKUP('Hist Cov matrix'!P$2,'Asset Universe'!$C$3:$O$23,13,0)</f>
        <v>1.1133336458690737E-3</v>
      </c>
      <c r="Q14" s="44">
        <f ca="1">'Hist Corr matrix'!Q14*VLOOKUP('Hist Cov matrix'!$B14,'Asset Universe'!$C$3:$O$23,13,0)*VLOOKUP('Hist Cov matrix'!Q$2,'Asset Universe'!$C$3:$O$23,13,0)</f>
        <v>4.0540991478624786E-4</v>
      </c>
      <c r="R14" s="44">
        <f ca="1">'Hist Corr matrix'!R14*VLOOKUP('Hist Cov matrix'!$B14,'Asset Universe'!$C$3:$O$23,13,0)*VLOOKUP('Hist Cov matrix'!R$2,'Asset Universe'!$C$3:$O$23,13,0)</f>
        <v>3.9300140131180575E-4</v>
      </c>
      <c r="S14" s="44">
        <f ca="1">'Hist Corr matrix'!S14*VLOOKUP('Hist Cov matrix'!$B14,'Asset Universe'!$C$3:$O$23,13,0)*VLOOKUP('Hist Cov matrix'!S$2,'Asset Universe'!$C$3:$O$23,13,0)</f>
        <v>2.1296057247390928E-4</v>
      </c>
      <c r="T14" s="44">
        <f ca="1">'Hist Corr matrix'!T14*VLOOKUP('Hist Cov matrix'!$B14,'Asset Universe'!$C$3:$O$23,13,0)*VLOOKUP('Hist Cov matrix'!T$2,'Asset Universe'!$C$3:$O$23,13,0)</f>
        <v>1.3557868475243906E-3</v>
      </c>
      <c r="U14" s="44">
        <f ca="1">'Hist Corr matrix'!U14*VLOOKUP('Hist Cov matrix'!$B14,'Asset Universe'!$C$3:$O$23,13,0)*VLOOKUP('Hist Cov matrix'!U$2,'Asset Universe'!$C$3:$O$23,13,0)</f>
        <v>1.1730855889635087E-3</v>
      </c>
      <c r="V14" s="44">
        <f ca="1">'Hist Corr matrix'!V14*VLOOKUP('Hist Cov matrix'!$B14,'Asset Universe'!$C$3:$O$23,13,0)*VLOOKUP('Hist Cov matrix'!V$2,'Asset Universe'!$C$3:$O$23,13,0)</f>
        <v>-5.0518915334331208E-4</v>
      </c>
      <c r="W14" s="44">
        <f ca="1">'Hist Corr matrix'!W14*VLOOKUP('Hist Cov matrix'!$B14,'Asset Universe'!$C$3:$O$23,13,0)*VLOOKUP('Hist Cov matrix'!W$2,'Asset Universe'!$C$3:$O$23,13,0)</f>
        <v>9.0530673728749428E-5</v>
      </c>
    </row>
    <row r="15" spans="2:23" ht="23.5" customHeight="1" x14ac:dyDescent="0.35">
      <c r="B15" s="41" t="s">
        <v>105</v>
      </c>
      <c r="C15" s="44">
        <f ca="1">'Hist Corr matrix'!C15*VLOOKUP('Hist Cov matrix'!$B15,'Asset Universe'!$C$3:$O$23,13,0)*VLOOKUP('Hist Cov matrix'!C$2,'Asset Universe'!$C$3:$O$23,13,0)</f>
        <v>4.1609535270921357E-4</v>
      </c>
      <c r="D15" s="44">
        <f ca="1">'Hist Corr matrix'!D15*VLOOKUP('Hist Cov matrix'!$B15,'Asset Universe'!$C$3:$O$23,13,0)*VLOOKUP('Hist Cov matrix'!D$2,'Asset Universe'!$C$3:$O$23,13,0)</f>
        <v>1.0357877210193508E-3</v>
      </c>
      <c r="E15" s="44">
        <f ca="1">'Hist Corr matrix'!E15*VLOOKUP('Hist Cov matrix'!$B15,'Asset Universe'!$C$3:$O$23,13,0)*VLOOKUP('Hist Cov matrix'!E$2,'Asset Universe'!$C$3:$O$23,13,0)</f>
        <v>8.28490862794003E-4</v>
      </c>
      <c r="F15" s="44">
        <f ca="1">'Hist Corr matrix'!F15*VLOOKUP('Hist Cov matrix'!$B15,'Asset Universe'!$C$3:$O$23,13,0)*VLOOKUP('Hist Cov matrix'!F$2,'Asset Universe'!$C$3:$O$23,13,0)</f>
        <v>6.2803530121263262E-4</v>
      </c>
      <c r="G15" s="44">
        <f ca="1">'Hist Corr matrix'!G15*VLOOKUP('Hist Cov matrix'!$B15,'Asset Universe'!$C$3:$O$23,13,0)*VLOOKUP('Hist Cov matrix'!G$2,'Asset Universe'!$C$3:$O$23,13,0)</f>
        <v>5.5269263645445395E-4</v>
      </c>
      <c r="H15" s="44">
        <f ca="1">'Hist Corr matrix'!H15*VLOOKUP('Hist Cov matrix'!$B15,'Asset Universe'!$C$3:$O$23,13,0)*VLOOKUP('Hist Cov matrix'!H$2,'Asset Universe'!$C$3:$O$23,13,0)</f>
        <v>8.9140479399373496E-4</v>
      </c>
      <c r="I15" s="44">
        <f ca="1">'Hist Corr matrix'!I15*VLOOKUP('Hist Cov matrix'!$B15,'Asset Universe'!$C$3:$O$23,13,0)*VLOOKUP('Hist Cov matrix'!I$2,'Asset Universe'!$C$3:$O$23,13,0)</f>
        <v>1.055212363214619E-3</v>
      </c>
      <c r="J15" s="44">
        <f ca="1">'Hist Corr matrix'!J15*VLOOKUP('Hist Cov matrix'!$B15,'Asset Universe'!$C$3:$O$23,13,0)*VLOOKUP('Hist Cov matrix'!J$2,'Asset Universe'!$C$3:$O$23,13,0)</f>
        <v>1.2292202739799354E-3</v>
      </c>
      <c r="K15" s="44">
        <f ca="1">'Hist Corr matrix'!K15*VLOOKUP('Hist Cov matrix'!$B15,'Asset Universe'!$C$3:$O$23,13,0)*VLOOKUP('Hist Cov matrix'!K$2,'Asset Universe'!$C$3:$O$23,13,0)</f>
        <v>4.2494335962177535E-3</v>
      </c>
      <c r="L15" s="44">
        <f ca="1">'Hist Corr matrix'!L15*VLOOKUP('Hist Cov matrix'!$B15,'Asset Universe'!$C$3:$O$23,13,0)*VLOOKUP('Hist Cov matrix'!L$2,'Asset Universe'!$C$3:$O$23,13,0)</f>
        <v>3.7534062048538153E-3</v>
      </c>
      <c r="M15" s="44">
        <f ca="1">'Hist Corr matrix'!M15*VLOOKUP('Hist Cov matrix'!$B15,'Asset Universe'!$C$3:$O$23,13,0)*VLOOKUP('Hist Cov matrix'!M$2,'Asset Universe'!$C$3:$O$23,13,0)</f>
        <v>1.1302831054400574E-3</v>
      </c>
      <c r="N15" s="44">
        <f ca="1">'Hist Corr matrix'!N15*VLOOKUP('Hist Cov matrix'!$B15,'Asset Universe'!$C$3:$O$23,13,0)*VLOOKUP('Hist Cov matrix'!N$2,'Asset Universe'!$C$3:$O$23,13,0)</f>
        <v>6.8044205185100912E-4</v>
      </c>
      <c r="O15" s="44">
        <f ca="1">'Hist Corr matrix'!O15*VLOOKUP('Hist Cov matrix'!$B15,'Asset Universe'!$C$3:$O$23,13,0)*VLOOKUP('Hist Cov matrix'!O$2,'Asset Universe'!$C$3:$O$23,13,0)</f>
        <v>2.4015299662288668E-3</v>
      </c>
      <c r="P15" s="44">
        <f ca="1">'Hist Corr matrix'!P15*VLOOKUP('Hist Cov matrix'!$B15,'Asset Universe'!$C$3:$O$23,13,0)*VLOOKUP('Hist Cov matrix'!P$2,'Asset Universe'!$C$3:$O$23,13,0)</f>
        <v>1.220456475209784E-3</v>
      </c>
      <c r="Q15" s="44">
        <f ca="1">'Hist Corr matrix'!Q15*VLOOKUP('Hist Cov matrix'!$B15,'Asset Universe'!$C$3:$O$23,13,0)*VLOOKUP('Hist Cov matrix'!Q$2,'Asset Universe'!$C$3:$O$23,13,0)</f>
        <v>8.0232486309087024E-4</v>
      </c>
      <c r="R15" s="44">
        <f ca="1">'Hist Corr matrix'!R15*VLOOKUP('Hist Cov matrix'!$B15,'Asset Universe'!$C$3:$O$23,13,0)*VLOOKUP('Hist Cov matrix'!R$2,'Asset Universe'!$C$3:$O$23,13,0)</f>
        <v>8.0117799979043081E-4</v>
      </c>
      <c r="S15" s="44">
        <f ca="1">'Hist Corr matrix'!S15*VLOOKUP('Hist Cov matrix'!$B15,'Asset Universe'!$C$3:$O$23,13,0)*VLOOKUP('Hist Cov matrix'!S$2,'Asset Universe'!$C$3:$O$23,13,0)</f>
        <v>1.8298327062057514E-3</v>
      </c>
      <c r="T15" s="44">
        <f ca="1">'Hist Corr matrix'!T15*VLOOKUP('Hist Cov matrix'!$B15,'Asset Universe'!$C$3:$O$23,13,0)*VLOOKUP('Hist Cov matrix'!T$2,'Asset Universe'!$C$3:$O$23,13,0)</f>
        <v>1.2011313157541525E-3</v>
      </c>
      <c r="U15" s="44">
        <f ca="1">'Hist Corr matrix'!U15*VLOOKUP('Hist Cov matrix'!$B15,'Asset Universe'!$C$3:$O$23,13,0)*VLOOKUP('Hist Cov matrix'!U$2,'Asset Universe'!$C$3:$O$23,13,0)</f>
        <v>4.1917653578682724E-3</v>
      </c>
      <c r="V15" s="44">
        <f ca="1">'Hist Corr matrix'!V15*VLOOKUP('Hist Cov matrix'!$B15,'Asset Universe'!$C$3:$O$23,13,0)*VLOOKUP('Hist Cov matrix'!V$2,'Asset Universe'!$C$3:$O$23,13,0)</f>
        <v>4.2612463304429824E-4</v>
      </c>
      <c r="W15" s="44">
        <f ca="1">'Hist Corr matrix'!W15*VLOOKUP('Hist Cov matrix'!$B15,'Asset Universe'!$C$3:$O$23,13,0)*VLOOKUP('Hist Cov matrix'!W$2,'Asset Universe'!$C$3:$O$23,13,0)</f>
        <v>1.3733767038955453E-3</v>
      </c>
    </row>
    <row r="16" spans="2:23" ht="23.5" customHeight="1" x14ac:dyDescent="0.35">
      <c r="B16" s="41" t="s">
        <v>106</v>
      </c>
      <c r="C16" s="44">
        <f ca="1">'Hist Corr matrix'!C16*VLOOKUP('Hist Cov matrix'!$B16,'Asset Universe'!$C$3:$O$23,13,0)*VLOOKUP('Hist Cov matrix'!C$2,'Asset Universe'!$C$3:$O$23,13,0)</f>
        <v>6.395308225377917E-4</v>
      </c>
      <c r="D16" s="44">
        <f ca="1">'Hist Corr matrix'!D16*VLOOKUP('Hist Cov matrix'!$B16,'Asset Universe'!$C$3:$O$23,13,0)*VLOOKUP('Hist Cov matrix'!D$2,'Asset Universe'!$C$3:$O$23,13,0)</f>
        <v>1.236633087249037E-3</v>
      </c>
      <c r="E16" s="44">
        <f ca="1">'Hist Corr matrix'!E16*VLOOKUP('Hist Cov matrix'!$B16,'Asset Universe'!$C$3:$O$23,13,0)*VLOOKUP('Hist Cov matrix'!E$2,'Asset Universe'!$C$3:$O$23,13,0)</f>
        <v>1.2884686058098377E-3</v>
      </c>
      <c r="F16" s="44">
        <f ca="1">'Hist Corr matrix'!F16*VLOOKUP('Hist Cov matrix'!$B16,'Asset Universe'!$C$3:$O$23,13,0)*VLOOKUP('Hist Cov matrix'!F$2,'Asset Universe'!$C$3:$O$23,13,0)</f>
        <v>6.7207936960823162E-4</v>
      </c>
      <c r="G16" s="44">
        <f ca="1">'Hist Corr matrix'!G16*VLOOKUP('Hist Cov matrix'!$B16,'Asset Universe'!$C$3:$O$23,13,0)*VLOOKUP('Hist Cov matrix'!G$2,'Asset Universe'!$C$3:$O$23,13,0)</f>
        <v>6.7892371836175485E-4</v>
      </c>
      <c r="H16" s="44">
        <f ca="1">'Hist Corr matrix'!H16*VLOOKUP('Hist Cov matrix'!$B16,'Asset Universe'!$C$3:$O$23,13,0)*VLOOKUP('Hist Cov matrix'!H$2,'Asset Universe'!$C$3:$O$23,13,0)</f>
        <v>9.9317355802145996E-4</v>
      </c>
      <c r="I16" s="44">
        <f ca="1">'Hist Corr matrix'!I16*VLOOKUP('Hist Cov matrix'!$B16,'Asset Universe'!$C$3:$O$23,13,0)*VLOOKUP('Hist Cov matrix'!I$2,'Asset Universe'!$C$3:$O$23,13,0)</f>
        <v>1.2996673626338481E-3</v>
      </c>
      <c r="J16" s="44">
        <f ca="1">'Hist Corr matrix'!J16*VLOOKUP('Hist Cov matrix'!$B16,'Asset Universe'!$C$3:$O$23,13,0)*VLOOKUP('Hist Cov matrix'!J$2,'Asset Universe'!$C$3:$O$23,13,0)</f>
        <v>1.674735932610533E-3</v>
      </c>
      <c r="K16" s="44">
        <f ca="1">'Hist Corr matrix'!K16*VLOOKUP('Hist Cov matrix'!$B16,'Asset Universe'!$C$3:$O$23,13,0)*VLOOKUP('Hist Cov matrix'!K$2,'Asset Universe'!$C$3:$O$23,13,0)</f>
        <v>4.2003800752094048E-3</v>
      </c>
      <c r="L16" s="44">
        <f ca="1">'Hist Corr matrix'!L16*VLOOKUP('Hist Cov matrix'!$B16,'Asset Universe'!$C$3:$O$23,13,0)*VLOOKUP('Hist Cov matrix'!L$2,'Asset Universe'!$C$3:$O$23,13,0)</f>
        <v>3.9424181619536073E-3</v>
      </c>
      <c r="M16" s="44">
        <f ca="1">'Hist Corr matrix'!M16*VLOOKUP('Hist Cov matrix'!$B16,'Asset Universe'!$C$3:$O$23,13,0)*VLOOKUP('Hist Cov matrix'!M$2,'Asset Universe'!$C$3:$O$23,13,0)</f>
        <v>1.2128507910072433E-3</v>
      </c>
      <c r="N16" s="44">
        <f ca="1">'Hist Corr matrix'!N16*VLOOKUP('Hist Cov matrix'!$B16,'Asset Universe'!$C$3:$O$23,13,0)*VLOOKUP('Hist Cov matrix'!N$2,'Asset Universe'!$C$3:$O$23,13,0)</f>
        <v>1.1133336458690737E-3</v>
      </c>
      <c r="O16" s="44">
        <f ca="1">'Hist Corr matrix'!O16*VLOOKUP('Hist Cov matrix'!$B16,'Asset Universe'!$C$3:$O$23,13,0)*VLOOKUP('Hist Cov matrix'!O$2,'Asset Universe'!$C$3:$O$23,13,0)</f>
        <v>1.220456475209784E-3</v>
      </c>
      <c r="P16" s="44">
        <f ca="1">'Hist Corr matrix'!P16*VLOOKUP('Hist Cov matrix'!$B16,'Asset Universe'!$C$3:$O$23,13,0)*VLOOKUP('Hist Cov matrix'!P$2,'Asset Universe'!$C$3:$O$23,13,0)</f>
        <v>3.1242082988843121E-3</v>
      </c>
      <c r="Q16" s="44">
        <f ca="1">'Hist Corr matrix'!Q16*VLOOKUP('Hist Cov matrix'!$B16,'Asset Universe'!$C$3:$O$23,13,0)*VLOOKUP('Hist Cov matrix'!Q$2,'Asset Universe'!$C$3:$O$23,13,0)</f>
        <v>9.5453488322191774E-4</v>
      </c>
      <c r="R16" s="44">
        <f ca="1">'Hist Corr matrix'!R16*VLOOKUP('Hist Cov matrix'!$B16,'Asset Universe'!$C$3:$O$23,13,0)*VLOOKUP('Hist Cov matrix'!R$2,'Asset Universe'!$C$3:$O$23,13,0)</f>
        <v>9.7860723487235598E-4</v>
      </c>
      <c r="S16" s="44">
        <f ca="1">'Hist Corr matrix'!S16*VLOOKUP('Hist Cov matrix'!$B16,'Asset Universe'!$C$3:$O$23,13,0)*VLOOKUP('Hist Cov matrix'!S$2,'Asset Universe'!$C$3:$O$23,13,0)</f>
        <v>2.7871765043403838E-3</v>
      </c>
      <c r="T16" s="44">
        <f ca="1">'Hist Corr matrix'!T16*VLOOKUP('Hist Cov matrix'!$B16,'Asset Universe'!$C$3:$O$23,13,0)*VLOOKUP('Hist Cov matrix'!T$2,'Asset Universe'!$C$3:$O$23,13,0)</f>
        <v>1.2978136917974361E-3</v>
      </c>
      <c r="U16" s="44">
        <f ca="1">'Hist Corr matrix'!U16*VLOOKUP('Hist Cov matrix'!$B16,'Asset Universe'!$C$3:$O$23,13,0)*VLOOKUP('Hist Cov matrix'!U$2,'Asset Universe'!$C$3:$O$23,13,0)</f>
        <v>2.2037139486628075E-3</v>
      </c>
      <c r="V16" s="44">
        <f ca="1">'Hist Corr matrix'!V16*VLOOKUP('Hist Cov matrix'!$B16,'Asset Universe'!$C$3:$O$23,13,0)*VLOOKUP('Hist Cov matrix'!V$2,'Asset Universe'!$C$3:$O$23,13,0)</f>
        <v>6.201631950034811E-4</v>
      </c>
      <c r="W16" s="44">
        <f ca="1">'Hist Corr matrix'!W16*VLOOKUP('Hist Cov matrix'!$B16,'Asset Universe'!$C$3:$O$23,13,0)*VLOOKUP('Hist Cov matrix'!W$2,'Asset Universe'!$C$3:$O$23,13,0)</f>
        <v>6.9094220087829539E-4</v>
      </c>
    </row>
    <row r="17" spans="2:23" ht="23.5" customHeight="1" x14ac:dyDescent="0.35">
      <c r="B17" s="41" t="s">
        <v>99</v>
      </c>
      <c r="C17" s="44">
        <f ca="1">'Hist Corr matrix'!C17*VLOOKUP('Hist Cov matrix'!$B17,'Asset Universe'!$C$3:$O$23,13,0)*VLOOKUP('Hist Cov matrix'!C$2,'Asset Universe'!$C$3:$O$23,13,0)</f>
        <v>2.4422385748488411E-4</v>
      </c>
      <c r="D17" s="44">
        <f ca="1">'Hist Corr matrix'!D17*VLOOKUP('Hist Cov matrix'!$B17,'Asset Universe'!$C$3:$O$23,13,0)*VLOOKUP('Hist Cov matrix'!D$2,'Asset Universe'!$C$3:$O$23,13,0)</f>
        <v>6.6409766553052782E-4</v>
      </c>
      <c r="E17" s="44">
        <f ca="1">'Hist Corr matrix'!E17*VLOOKUP('Hist Cov matrix'!$B17,'Asset Universe'!$C$3:$O$23,13,0)*VLOOKUP('Hist Cov matrix'!E$2,'Asset Universe'!$C$3:$O$23,13,0)</f>
        <v>4.6888795704047917E-4</v>
      </c>
      <c r="F17" s="44">
        <f ca="1">'Hist Corr matrix'!F17*VLOOKUP('Hist Cov matrix'!$B17,'Asset Universe'!$C$3:$O$23,13,0)*VLOOKUP('Hist Cov matrix'!F$2,'Asset Universe'!$C$3:$O$23,13,0)</f>
        <v>3.9047464044599005E-4</v>
      </c>
      <c r="G17" s="44">
        <f ca="1">'Hist Corr matrix'!G17*VLOOKUP('Hist Cov matrix'!$B17,'Asset Universe'!$C$3:$O$23,13,0)*VLOOKUP('Hist Cov matrix'!G$2,'Asset Universe'!$C$3:$O$23,13,0)</f>
        <v>3.1143850573220555E-4</v>
      </c>
      <c r="H17" s="44">
        <f ca="1">'Hist Corr matrix'!H17*VLOOKUP('Hist Cov matrix'!$B17,'Asset Universe'!$C$3:$O$23,13,0)*VLOOKUP('Hist Cov matrix'!H$2,'Asset Universe'!$C$3:$O$23,13,0)</f>
        <v>4.9157530537042942E-4</v>
      </c>
      <c r="I17" s="44">
        <f ca="1">'Hist Corr matrix'!I17*VLOOKUP('Hist Cov matrix'!$B17,'Asset Universe'!$C$3:$O$23,13,0)*VLOOKUP('Hist Cov matrix'!I$2,'Asset Universe'!$C$3:$O$23,13,0)</f>
        <v>6.0475359918013723E-4</v>
      </c>
      <c r="J17" s="44">
        <f ca="1">'Hist Corr matrix'!J17*VLOOKUP('Hist Cov matrix'!$B17,'Asset Universe'!$C$3:$O$23,13,0)*VLOOKUP('Hist Cov matrix'!J$2,'Asset Universe'!$C$3:$O$23,13,0)</f>
        <v>7.4953063257140649E-4</v>
      </c>
      <c r="K17" s="44">
        <f ca="1">'Hist Corr matrix'!K17*VLOOKUP('Hist Cov matrix'!$B17,'Asset Universe'!$C$3:$O$23,13,0)*VLOOKUP('Hist Cov matrix'!K$2,'Asset Universe'!$C$3:$O$23,13,0)</f>
        <v>2.169925218185262E-3</v>
      </c>
      <c r="L17" s="44">
        <f ca="1">'Hist Corr matrix'!L17*VLOOKUP('Hist Cov matrix'!$B17,'Asset Universe'!$C$3:$O$23,13,0)*VLOOKUP('Hist Cov matrix'!L$2,'Asset Universe'!$C$3:$O$23,13,0)</f>
        <v>2.2188627678209629E-3</v>
      </c>
      <c r="M17" s="44">
        <f ca="1">'Hist Corr matrix'!M17*VLOOKUP('Hist Cov matrix'!$B17,'Asset Universe'!$C$3:$O$23,13,0)*VLOOKUP('Hist Cov matrix'!M$2,'Asset Universe'!$C$3:$O$23,13,0)</f>
        <v>4.1225436830900257E-4</v>
      </c>
      <c r="N17" s="44">
        <f ca="1">'Hist Corr matrix'!N17*VLOOKUP('Hist Cov matrix'!$B17,'Asset Universe'!$C$3:$O$23,13,0)*VLOOKUP('Hist Cov matrix'!N$2,'Asset Universe'!$C$3:$O$23,13,0)</f>
        <v>4.0540991478624786E-4</v>
      </c>
      <c r="O17" s="44">
        <f ca="1">'Hist Corr matrix'!O17*VLOOKUP('Hist Cov matrix'!$B17,'Asset Universe'!$C$3:$O$23,13,0)*VLOOKUP('Hist Cov matrix'!O$2,'Asset Universe'!$C$3:$O$23,13,0)</f>
        <v>8.0232486309087035E-4</v>
      </c>
      <c r="P17" s="44">
        <f ca="1">'Hist Corr matrix'!P17*VLOOKUP('Hist Cov matrix'!$B17,'Asset Universe'!$C$3:$O$23,13,0)*VLOOKUP('Hist Cov matrix'!P$2,'Asset Universe'!$C$3:$O$23,13,0)</f>
        <v>9.5453488322191785E-4</v>
      </c>
      <c r="Q17" s="44">
        <f ca="1">'Hist Corr matrix'!Q17*VLOOKUP('Hist Cov matrix'!$B17,'Asset Universe'!$C$3:$O$23,13,0)*VLOOKUP('Hist Cov matrix'!Q$2,'Asset Universe'!$C$3:$O$23,13,0)</f>
        <v>1.2607311958042792E-3</v>
      </c>
      <c r="R17" s="44">
        <f ca="1">'Hist Corr matrix'!R17*VLOOKUP('Hist Cov matrix'!$B17,'Asset Universe'!$C$3:$O$23,13,0)*VLOOKUP('Hist Cov matrix'!R$2,'Asset Universe'!$C$3:$O$23,13,0)</f>
        <v>1.3476687921464433E-3</v>
      </c>
      <c r="S17" s="44">
        <f ca="1">'Hist Corr matrix'!S17*VLOOKUP('Hist Cov matrix'!$B17,'Asset Universe'!$C$3:$O$23,13,0)*VLOOKUP('Hist Cov matrix'!S$2,'Asset Universe'!$C$3:$O$23,13,0)</f>
        <v>7.212874804680495E-4</v>
      </c>
      <c r="T17" s="44">
        <f ca="1">'Hist Corr matrix'!T17*VLOOKUP('Hist Cov matrix'!$B17,'Asset Universe'!$C$3:$O$23,13,0)*VLOOKUP('Hist Cov matrix'!T$2,'Asset Universe'!$C$3:$O$23,13,0)</f>
        <v>2.8603329044625222E-4</v>
      </c>
      <c r="U17" s="44">
        <f ca="1">'Hist Corr matrix'!U17*VLOOKUP('Hist Cov matrix'!$B17,'Asset Universe'!$C$3:$O$23,13,0)*VLOOKUP('Hist Cov matrix'!U$2,'Asset Universe'!$C$3:$O$23,13,0)</f>
        <v>1.4393091496717257E-3</v>
      </c>
      <c r="V17" s="44">
        <f ca="1">'Hist Corr matrix'!V17*VLOOKUP('Hist Cov matrix'!$B17,'Asset Universe'!$C$3:$O$23,13,0)*VLOOKUP('Hist Cov matrix'!V$2,'Asset Universe'!$C$3:$O$23,13,0)</f>
        <v>1.3837331291168267E-3</v>
      </c>
      <c r="W17" s="44">
        <f ca="1">'Hist Corr matrix'!W17*VLOOKUP('Hist Cov matrix'!$B17,'Asset Universe'!$C$3:$O$23,13,0)*VLOOKUP('Hist Cov matrix'!W$2,'Asset Universe'!$C$3:$O$23,13,0)</f>
        <v>1.3387662097147951E-3</v>
      </c>
    </row>
    <row r="18" spans="2:23" ht="23.5" customHeight="1" x14ac:dyDescent="0.35">
      <c r="B18" s="41" t="s">
        <v>107</v>
      </c>
      <c r="C18" s="44">
        <f ca="1">'Hist Corr matrix'!C18*VLOOKUP('Hist Cov matrix'!$B18,'Asset Universe'!$C$3:$O$23,13,0)*VLOOKUP('Hist Cov matrix'!C$2,'Asset Universe'!$C$3:$O$23,13,0)</f>
        <v>1.901488472695427E-4</v>
      </c>
      <c r="D18" s="44">
        <f ca="1">'Hist Corr matrix'!D18*VLOOKUP('Hist Cov matrix'!$B18,'Asset Universe'!$C$3:$O$23,13,0)*VLOOKUP('Hist Cov matrix'!D$2,'Asset Universe'!$C$3:$O$23,13,0)</f>
        <v>5.4031667035741302E-4</v>
      </c>
      <c r="E18" s="44">
        <f ca="1">'Hist Corr matrix'!E18*VLOOKUP('Hist Cov matrix'!$B18,'Asset Universe'!$C$3:$O$23,13,0)*VLOOKUP('Hist Cov matrix'!E$2,'Asset Universe'!$C$3:$O$23,13,0)</f>
        <v>4.6123667472562537E-4</v>
      </c>
      <c r="F18" s="44">
        <f ca="1">'Hist Corr matrix'!F18*VLOOKUP('Hist Cov matrix'!$B18,'Asset Universe'!$C$3:$O$23,13,0)*VLOOKUP('Hist Cov matrix'!F$2,'Asset Universe'!$C$3:$O$23,13,0)</f>
        <v>3.8030625705086298E-4</v>
      </c>
      <c r="G18" s="44">
        <f ca="1">'Hist Corr matrix'!G18*VLOOKUP('Hist Cov matrix'!$B18,'Asset Universe'!$C$3:$O$23,13,0)*VLOOKUP('Hist Cov matrix'!G$2,'Asset Universe'!$C$3:$O$23,13,0)</f>
        <v>2.7954811067201502E-4</v>
      </c>
      <c r="H18" s="44">
        <f ca="1">'Hist Corr matrix'!H18*VLOOKUP('Hist Cov matrix'!$B18,'Asset Universe'!$C$3:$O$23,13,0)*VLOOKUP('Hist Cov matrix'!H$2,'Asset Universe'!$C$3:$O$23,13,0)</f>
        <v>4.8711365545590321E-4</v>
      </c>
      <c r="I18" s="44">
        <f ca="1">'Hist Corr matrix'!I18*VLOOKUP('Hist Cov matrix'!$B18,'Asset Universe'!$C$3:$O$23,13,0)*VLOOKUP('Hist Cov matrix'!I$2,'Asset Universe'!$C$3:$O$23,13,0)</f>
        <v>5.8545279673448566E-4</v>
      </c>
      <c r="J18" s="44">
        <f ca="1">'Hist Corr matrix'!J18*VLOOKUP('Hist Cov matrix'!$B18,'Asset Universe'!$C$3:$O$23,13,0)*VLOOKUP('Hist Cov matrix'!J$2,'Asset Universe'!$C$3:$O$23,13,0)</f>
        <v>7.9428004987677455E-4</v>
      </c>
      <c r="K18" s="44">
        <f ca="1">'Hist Corr matrix'!K18*VLOOKUP('Hist Cov matrix'!$B18,'Asset Universe'!$C$3:$O$23,13,0)*VLOOKUP('Hist Cov matrix'!K$2,'Asset Universe'!$C$3:$O$23,13,0)</f>
        <v>2.3442191474878134E-3</v>
      </c>
      <c r="L18" s="44">
        <f ca="1">'Hist Corr matrix'!L18*VLOOKUP('Hist Cov matrix'!$B18,'Asset Universe'!$C$3:$O$23,13,0)*VLOOKUP('Hist Cov matrix'!L$2,'Asset Universe'!$C$3:$O$23,13,0)</f>
        <v>2.3604712221119732E-3</v>
      </c>
      <c r="M18" s="44">
        <f ca="1">'Hist Corr matrix'!M18*VLOOKUP('Hist Cov matrix'!$B18,'Asset Universe'!$C$3:$O$23,13,0)*VLOOKUP('Hist Cov matrix'!M$2,'Asset Universe'!$C$3:$O$23,13,0)</f>
        <v>4.5204333690209282E-4</v>
      </c>
      <c r="N18" s="44">
        <f ca="1">'Hist Corr matrix'!N18*VLOOKUP('Hist Cov matrix'!$B18,'Asset Universe'!$C$3:$O$23,13,0)*VLOOKUP('Hist Cov matrix'!N$2,'Asset Universe'!$C$3:$O$23,13,0)</f>
        <v>3.9300140131180575E-4</v>
      </c>
      <c r="O18" s="44">
        <f ca="1">'Hist Corr matrix'!O18*VLOOKUP('Hist Cov matrix'!$B18,'Asset Universe'!$C$3:$O$23,13,0)*VLOOKUP('Hist Cov matrix'!O$2,'Asset Universe'!$C$3:$O$23,13,0)</f>
        <v>8.0117799979043081E-4</v>
      </c>
      <c r="P18" s="44">
        <f ca="1">'Hist Corr matrix'!P18*VLOOKUP('Hist Cov matrix'!$B18,'Asset Universe'!$C$3:$O$23,13,0)*VLOOKUP('Hist Cov matrix'!P$2,'Asset Universe'!$C$3:$O$23,13,0)</f>
        <v>9.786072348723562E-4</v>
      </c>
      <c r="Q18" s="44">
        <f ca="1">'Hist Corr matrix'!Q18*VLOOKUP('Hist Cov matrix'!$B18,'Asset Universe'!$C$3:$O$23,13,0)*VLOOKUP('Hist Cov matrix'!Q$2,'Asset Universe'!$C$3:$O$23,13,0)</f>
        <v>1.3476687921464433E-3</v>
      </c>
      <c r="R18" s="44">
        <f ca="1">'Hist Corr matrix'!R18*VLOOKUP('Hist Cov matrix'!$B18,'Asset Universe'!$C$3:$O$23,13,0)*VLOOKUP('Hist Cov matrix'!R$2,'Asset Universe'!$C$3:$O$23,13,0)</f>
        <v>1.5635616040209409E-3</v>
      </c>
      <c r="S18" s="44">
        <f ca="1">'Hist Corr matrix'!S18*VLOOKUP('Hist Cov matrix'!$B18,'Asset Universe'!$C$3:$O$23,13,0)*VLOOKUP('Hist Cov matrix'!S$2,'Asset Universe'!$C$3:$O$23,13,0)</f>
        <v>1.0404810943538685E-3</v>
      </c>
      <c r="T18" s="44">
        <f ca="1">'Hist Corr matrix'!T18*VLOOKUP('Hist Cov matrix'!$B18,'Asset Universe'!$C$3:$O$23,13,0)*VLOOKUP('Hist Cov matrix'!T$2,'Asset Universe'!$C$3:$O$23,13,0)</f>
        <v>3.1252212768621005E-4</v>
      </c>
      <c r="U18" s="44">
        <f ca="1">'Hist Corr matrix'!U18*VLOOKUP('Hist Cov matrix'!$B18,'Asset Universe'!$C$3:$O$23,13,0)*VLOOKUP('Hist Cov matrix'!U$2,'Asset Universe'!$C$3:$O$23,13,0)</f>
        <v>1.4508548464141518E-3</v>
      </c>
      <c r="V18" s="44">
        <f ca="1">'Hist Corr matrix'!V18*VLOOKUP('Hist Cov matrix'!$B18,'Asset Universe'!$C$3:$O$23,13,0)*VLOOKUP('Hist Cov matrix'!V$2,'Asset Universe'!$C$3:$O$23,13,0)</f>
        <v>1.172728437066309E-3</v>
      </c>
      <c r="W18" s="44">
        <f ca="1">'Hist Corr matrix'!W18*VLOOKUP('Hist Cov matrix'!$B18,'Asset Universe'!$C$3:$O$23,13,0)*VLOOKUP('Hist Cov matrix'!W$2,'Asset Universe'!$C$3:$O$23,13,0)</f>
        <v>1.2462618795364827E-3</v>
      </c>
    </row>
    <row r="19" spans="2:23" ht="23.5" customHeight="1" x14ac:dyDescent="0.35">
      <c r="B19" s="41" t="s">
        <v>94</v>
      </c>
      <c r="C19" s="44">
        <f ca="1">'Hist Corr matrix'!C19*VLOOKUP('Hist Cov matrix'!$B19,'Asset Universe'!$C$3:$O$23,13,0)*VLOOKUP('Hist Cov matrix'!C$2,'Asset Universe'!$C$3:$O$23,13,0)</f>
        <v>-6.3847909192576296E-4</v>
      </c>
      <c r="D19" s="44">
        <f ca="1">'Hist Corr matrix'!D19*VLOOKUP('Hist Cov matrix'!$B19,'Asset Universe'!$C$3:$O$23,13,0)*VLOOKUP('Hist Cov matrix'!D$2,'Asset Universe'!$C$3:$O$23,13,0)</f>
        <v>-8.5822890804648896E-4</v>
      </c>
      <c r="E19" s="44">
        <f ca="1">'Hist Corr matrix'!E19*VLOOKUP('Hist Cov matrix'!$B19,'Asset Universe'!$C$3:$O$23,13,0)*VLOOKUP('Hist Cov matrix'!E$2,'Asset Universe'!$C$3:$O$23,13,0)</f>
        <v>1.4715105445003661E-3</v>
      </c>
      <c r="F19" s="44">
        <f ca="1">'Hist Corr matrix'!F19*VLOOKUP('Hist Cov matrix'!$B19,'Asset Universe'!$C$3:$O$23,13,0)*VLOOKUP('Hist Cov matrix'!F$2,'Asset Universe'!$C$3:$O$23,13,0)</f>
        <v>8.6099914938783672E-4</v>
      </c>
      <c r="G19" s="44">
        <f ca="1">'Hist Corr matrix'!G19*VLOOKUP('Hist Cov matrix'!$B19,'Asset Universe'!$C$3:$O$23,13,0)*VLOOKUP('Hist Cov matrix'!G$2,'Asset Universe'!$C$3:$O$23,13,0)</f>
        <v>-1.9202775772528765E-4</v>
      </c>
      <c r="H19" s="44">
        <f ca="1">'Hist Corr matrix'!H19*VLOOKUP('Hist Cov matrix'!$B19,'Asset Universe'!$C$3:$O$23,13,0)*VLOOKUP('Hist Cov matrix'!H$2,'Asset Universe'!$C$3:$O$23,13,0)</f>
        <v>9.9529513628551585E-4</v>
      </c>
      <c r="I19" s="44">
        <f ca="1">'Hist Corr matrix'!I19*VLOOKUP('Hist Cov matrix'!$B19,'Asset Universe'!$C$3:$O$23,13,0)*VLOOKUP('Hist Cov matrix'!I$2,'Asset Universe'!$C$3:$O$23,13,0)</f>
        <v>1.5426527918383753E-3</v>
      </c>
      <c r="J19" s="44">
        <f ca="1">'Hist Corr matrix'!J19*VLOOKUP('Hist Cov matrix'!$B19,'Asset Universe'!$C$3:$O$23,13,0)*VLOOKUP('Hist Cov matrix'!J$2,'Asset Universe'!$C$3:$O$23,13,0)</f>
        <v>2.809730758860911E-3</v>
      </c>
      <c r="K19" s="44">
        <f ca="1">'Hist Corr matrix'!K19*VLOOKUP('Hist Cov matrix'!$B19,'Asset Universe'!$C$3:$O$23,13,0)*VLOOKUP('Hist Cov matrix'!K$2,'Asset Universe'!$C$3:$O$23,13,0)</f>
        <v>1.0236839928131085E-2</v>
      </c>
      <c r="L19" s="44">
        <f ca="1">'Hist Corr matrix'!L19*VLOOKUP('Hist Cov matrix'!$B19,'Asset Universe'!$C$3:$O$23,13,0)*VLOOKUP('Hist Cov matrix'!L$2,'Asset Universe'!$C$3:$O$23,13,0)</f>
        <v>8.6991317501986468E-3</v>
      </c>
      <c r="M19" s="44">
        <f ca="1">'Hist Corr matrix'!M19*VLOOKUP('Hist Cov matrix'!$B19,'Asset Universe'!$C$3:$O$23,13,0)*VLOOKUP('Hist Cov matrix'!M$2,'Asset Universe'!$C$3:$O$23,13,0)</f>
        <v>1.4742841650702049E-3</v>
      </c>
      <c r="N19" s="44">
        <f ca="1">'Hist Corr matrix'!N19*VLOOKUP('Hist Cov matrix'!$B19,'Asset Universe'!$C$3:$O$23,13,0)*VLOOKUP('Hist Cov matrix'!N$2,'Asset Universe'!$C$3:$O$23,13,0)</f>
        <v>2.1296057247390928E-4</v>
      </c>
      <c r="O19" s="44">
        <f ca="1">'Hist Corr matrix'!O19*VLOOKUP('Hist Cov matrix'!$B19,'Asset Universe'!$C$3:$O$23,13,0)*VLOOKUP('Hist Cov matrix'!O$2,'Asset Universe'!$C$3:$O$23,13,0)</f>
        <v>1.8298327062057512E-3</v>
      </c>
      <c r="P19" s="44">
        <f ca="1">'Hist Corr matrix'!P19*VLOOKUP('Hist Cov matrix'!$B19,'Asset Universe'!$C$3:$O$23,13,0)*VLOOKUP('Hist Cov matrix'!P$2,'Asset Universe'!$C$3:$O$23,13,0)</f>
        <v>2.7871765043403843E-3</v>
      </c>
      <c r="Q19" s="44">
        <f ca="1">'Hist Corr matrix'!Q19*VLOOKUP('Hist Cov matrix'!$B19,'Asset Universe'!$C$3:$O$23,13,0)*VLOOKUP('Hist Cov matrix'!Q$2,'Asset Universe'!$C$3:$O$23,13,0)</f>
        <v>7.212874804680495E-4</v>
      </c>
      <c r="R19" s="44">
        <f ca="1">'Hist Corr matrix'!R19*VLOOKUP('Hist Cov matrix'!$B19,'Asset Universe'!$C$3:$O$23,13,0)*VLOOKUP('Hist Cov matrix'!R$2,'Asset Universe'!$C$3:$O$23,13,0)</f>
        <v>1.0404810943538685E-3</v>
      </c>
      <c r="S19" s="44">
        <f ca="1">'Hist Corr matrix'!S19*VLOOKUP('Hist Cov matrix'!$B19,'Asset Universe'!$C$3:$O$23,13,0)*VLOOKUP('Hist Cov matrix'!S$2,'Asset Universe'!$C$3:$O$23,13,0)</f>
        <v>1.1204045139111518E-2</v>
      </c>
      <c r="T19" s="44">
        <f ca="1">'Hist Corr matrix'!T19*VLOOKUP('Hist Cov matrix'!$B19,'Asset Universe'!$C$3:$O$23,13,0)*VLOOKUP('Hist Cov matrix'!T$2,'Asset Universe'!$C$3:$O$23,13,0)</f>
        <v>2.3655819273044802E-4</v>
      </c>
      <c r="U19" s="44">
        <f ca="1">'Hist Corr matrix'!U19*VLOOKUP('Hist Cov matrix'!$B19,'Asset Universe'!$C$3:$O$23,13,0)*VLOOKUP('Hist Cov matrix'!U$2,'Asset Universe'!$C$3:$O$23,13,0)</f>
        <v>3.5553982848246582E-3</v>
      </c>
      <c r="V19" s="44">
        <f ca="1">'Hist Corr matrix'!V19*VLOOKUP('Hist Cov matrix'!$B19,'Asset Universe'!$C$3:$O$23,13,0)*VLOOKUP('Hist Cov matrix'!V$2,'Asset Universe'!$C$3:$O$23,13,0)</f>
        <v>-4.9676788356088587E-3</v>
      </c>
      <c r="W19" s="44">
        <f ca="1">'Hist Corr matrix'!W19*VLOOKUP('Hist Cov matrix'!$B19,'Asset Universe'!$C$3:$O$23,13,0)*VLOOKUP('Hist Cov matrix'!W$2,'Asset Universe'!$C$3:$O$23,13,0)</f>
        <v>-3.0099034223285757E-3</v>
      </c>
    </row>
    <row r="20" spans="2:23" ht="23.5" customHeight="1" x14ac:dyDescent="0.35">
      <c r="B20" s="41" t="s">
        <v>98</v>
      </c>
      <c r="C20" s="44">
        <f ca="1">'Hist Corr matrix'!C20*VLOOKUP('Hist Cov matrix'!$B20,'Asset Universe'!$C$3:$O$23,13,0)*VLOOKUP('Hist Cov matrix'!C$2,'Asset Universe'!$C$3:$O$23,13,0)</f>
        <v>9.8430922834006652E-4</v>
      </c>
      <c r="D20" s="44">
        <f ca="1">'Hist Corr matrix'!D20*VLOOKUP('Hist Cov matrix'!$B20,'Asset Universe'!$C$3:$O$23,13,0)*VLOOKUP('Hist Cov matrix'!D$2,'Asset Universe'!$C$3:$O$23,13,0)</f>
        <v>2.0171461601244918E-3</v>
      </c>
      <c r="E20" s="44">
        <f ca="1">'Hist Corr matrix'!E20*VLOOKUP('Hist Cov matrix'!$B20,'Asset Universe'!$C$3:$O$23,13,0)*VLOOKUP('Hist Cov matrix'!E$2,'Asset Universe'!$C$3:$O$23,13,0)</f>
        <v>9.766286544629077E-4</v>
      </c>
      <c r="F20" s="44">
        <f ca="1">'Hist Corr matrix'!F20*VLOOKUP('Hist Cov matrix'!$B20,'Asset Universe'!$C$3:$O$23,13,0)*VLOOKUP('Hist Cov matrix'!F$2,'Asset Universe'!$C$3:$O$23,13,0)</f>
        <v>9.2992218299959998E-4</v>
      </c>
      <c r="G20" s="44">
        <f ca="1">'Hist Corr matrix'!G20*VLOOKUP('Hist Cov matrix'!$B20,'Asset Universe'!$C$3:$O$23,13,0)*VLOOKUP('Hist Cov matrix'!G$2,'Asset Universe'!$C$3:$O$23,13,0)</f>
        <v>7.6609941409260082E-4</v>
      </c>
      <c r="H20" s="44">
        <f ca="1">'Hist Corr matrix'!H20*VLOOKUP('Hist Cov matrix'!$B20,'Asset Universe'!$C$3:$O$23,13,0)*VLOOKUP('Hist Cov matrix'!H$2,'Asset Universe'!$C$3:$O$23,13,0)</f>
        <v>8.5926213832546638E-4</v>
      </c>
      <c r="I20" s="44">
        <f ca="1">'Hist Corr matrix'!I20*VLOOKUP('Hist Cov matrix'!$B20,'Asset Universe'!$C$3:$O$23,13,0)*VLOOKUP('Hist Cov matrix'!I$2,'Asset Universe'!$C$3:$O$23,13,0)</f>
        <v>9.4805251611440513E-4</v>
      </c>
      <c r="J20" s="44">
        <f ca="1">'Hist Corr matrix'!J20*VLOOKUP('Hist Cov matrix'!$B20,'Asset Universe'!$C$3:$O$23,13,0)*VLOOKUP('Hist Cov matrix'!J$2,'Asset Universe'!$C$3:$O$23,13,0)</f>
        <v>9.379966944634534E-4</v>
      </c>
      <c r="K20" s="44">
        <f ca="1">'Hist Corr matrix'!K20*VLOOKUP('Hist Cov matrix'!$B20,'Asset Universe'!$C$3:$O$23,13,0)*VLOOKUP('Hist Cov matrix'!K$2,'Asset Universe'!$C$3:$O$23,13,0)</f>
        <v>1.7121562246221939E-3</v>
      </c>
      <c r="L20" s="44">
        <f ca="1">'Hist Corr matrix'!L20*VLOOKUP('Hist Cov matrix'!$B20,'Asset Universe'!$C$3:$O$23,13,0)*VLOOKUP('Hist Cov matrix'!L$2,'Asset Universe'!$C$3:$O$23,13,0)</f>
        <v>1.7700428437889548E-3</v>
      </c>
      <c r="M20" s="44">
        <f ca="1">'Hist Corr matrix'!M20*VLOOKUP('Hist Cov matrix'!$B20,'Asset Universe'!$C$3:$O$23,13,0)*VLOOKUP('Hist Cov matrix'!M$2,'Asset Universe'!$C$3:$O$23,13,0)</f>
        <v>5.7132718088414561E-4</v>
      </c>
      <c r="N20" s="44">
        <f ca="1">'Hist Corr matrix'!N20*VLOOKUP('Hist Cov matrix'!$B20,'Asset Universe'!$C$3:$O$23,13,0)*VLOOKUP('Hist Cov matrix'!N$2,'Asset Universe'!$C$3:$O$23,13,0)</f>
        <v>1.3557868475243906E-3</v>
      </c>
      <c r="O20" s="44">
        <f ca="1">'Hist Corr matrix'!O20*VLOOKUP('Hist Cov matrix'!$B20,'Asset Universe'!$C$3:$O$23,13,0)*VLOOKUP('Hist Cov matrix'!O$2,'Asset Universe'!$C$3:$O$23,13,0)</f>
        <v>1.2011313157541527E-3</v>
      </c>
      <c r="P20" s="44">
        <f ca="1">'Hist Corr matrix'!P20*VLOOKUP('Hist Cov matrix'!$B20,'Asset Universe'!$C$3:$O$23,13,0)*VLOOKUP('Hist Cov matrix'!P$2,'Asset Universe'!$C$3:$O$23,13,0)</f>
        <v>1.2978136917974361E-3</v>
      </c>
      <c r="Q20" s="44">
        <f ca="1">'Hist Corr matrix'!Q20*VLOOKUP('Hist Cov matrix'!$B20,'Asset Universe'!$C$3:$O$23,13,0)*VLOOKUP('Hist Cov matrix'!Q$2,'Asset Universe'!$C$3:$O$23,13,0)</f>
        <v>2.8603329044625222E-4</v>
      </c>
      <c r="R20" s="44">
        <f ca="1">'Hist Corr matrix'!R20*VLOOKUP('Hist Cov matrix'!$B20,'Asset Universe'!$C$3:$O$23,13,0)*VLOOKUP('Hist Cov matrix'!R$2,'Asset Universe'!$C$3:$O$23,13,0)</f>
        <v>3.1252212768621005E-4</v>
      </c>
      <c r="S20" s="44">
        <f ca="1">'Hist Corr matrix'!S20*VLOOKUP('Hist Cov matrix'!$B20,'Asset Universe'!$C$3:$O$23,13,0)*VLOOKUP('Hist Cov matrix'!S$2,'Asset Universe'!$C$3:$O$23,13,0)</f>
        <v>2.3655819273044802E-4</v>
      </c>
      <c r="T20" s="44">
        <f ca="1">'Hist Corr matrix'!T20*VLOOKUP('Hist Cov matrix'!$B20,'Asset Universe'!$C$3:$O$23,13,0)*VLOOKUP('Hist Cov matrix'!T$2,'Asset Universe'!$C$3:$O$23,13,0)</f>
        <v>9.1180708470557702E-4</v>
      </c>
      <c r="U20" s="44">
        <f ca="1">'Hist Corr matrix'!U20*VLOOKUP('Hist Cov matrix'!$B20,'Asset Universe'!$C$3:$O$23,13,0)*VLOOKUP('Hist Cov matrix'!U$2,'Asset Universe'!$C$3:$O$23,13,0)</f>
        <v>2.0640637873962763E-3</v>
      </c>
      <c r="V20" s="44">
        <f ca="1">'Hist Corr matrix'!V20*VLOOKUP('Hist Cov matrix'!$B20,'Asset Universe'!$C$3:$O$23,13,0)*VLOOKUP('Hist Cov matrix'!V$2,'Asset Universe'!$C$3:$O$23,13,0)</f>
        <v>-1.0559346821516706E-3</v>
      </c>
      <c r="W20" s="44">
        <f ca="1">'Hist Corr matrix'!W20*VLOOKUP('Hist Cov matrix'!$B20,'Asset Universe'!$C$3:$O$23,13,0)*VLOOKUP('Hist Cov matrix'!W$2,'Asset Universe'!$C$3:$O$23,13,0)</f>
        <v>-4.1769114560660293E-4</v>
      </c>
    </row>
    <row r="21" spans="2:23" ht="23.5" customHeight="1" x14ac:dyDescent="0.35">
      <c r="B21" s="41" t="s">
        <v>108</v>
      </c>
      <c r="C21" s="44">
        <f ca="1">'Hist Corr matrix'!C21*VLOOKUP('Hist Cov matrix'!$B21,'Asset Universe'!$C$3:$O$23,13,0)*VLOOKUP('Hist Cov matrix'!C$2,'Asset Universe'!$C$3:$O$23,13,0)</f>
        <v>6.7496541452290453E-4</v>
      </c>
      <c r="D21" s="44">
        <f ca="1">'Hist Corr matrix'!D21*VLOOKUP('Hist Cov matrix'!$B21,'Asset Universe'!$C$3:$O$23,13,0)*VLOOKUP('Hist Cov matrix'!D$2,'Asset Universe'!$C$3:$O$23,13,0)</f>
        <v>1.7390235929016192E-3</v>
      </c>
      <c r="E21" s="44">
        <f ca="1">'Hist Corr matrix'!E21*VLOOKUP('Hist Cov matrix'!$B21,'Asset Universe'!$C$3:$O$23,13,0)*VLOOKUP('Hist Cov matrix'!E$2,'Asset Universe'!$C$3:$O$23,13,0)</f>
        <v>1.4652385312293595E-3</v>
      </c>
      <c r="F21" s="44">
        <f ca="1">'Hist Corr matrix'!F21*VLOOKUP('Hist Cov matrix'!$B21,'Asset Universe'!$C$3:$O$23,13,0)*VLOOKUP('Hist Cov matrix'!F$2,'Asset Universe'!$C$3:$O$23,13,0)</f>
        <v>1.0728086382646362E-3</v>
      </c>
      <c r="G21" s="44">
        <f ca="1">'Hist Corr matrix'!G21*VLOOKUP('Hist Cov matrix'!$B21,'Asset Universe'!$C$3:$O$23,13,0)*VLOOKUP('Hist Cov matrix'!G$2,'Asset Universe'!$C$3:$O$23,13,0)</f>
        <v>9.400676574940148E-4</v>
      </c>
      <c r="H21" s="44">
        <f ca="1">'Hist Corr matrix'!H21*VLOOKUP('Hist Cov matrix'!$B21,'Asset Universe'!$C$3:$O$23,13,0)*VLOOKUP('Hist Cov matrix'!H$2,'Asset Universe'!$C$3:$O$23,13,0)</f>
        <v>1.5460093412204344E-3</v>
      </c>
      <c r="I21" s="44">
        <f ca="1">'Hist Corr matrix'!I21*VLOOKUP('Hist Cov matrix'!$B21,'Asset Universe'!$C$3:$O$23,13,0)*VLOOKUP('Hist Cov matrix'!I$2,'Asset Universe'!$C$3:$O$23,13,0)</f>
        <v>1.8334461154819849E-3</v>
      </c>
      <c r="J21" s="44">
        <f ca="1">'Hist Corr matrix'!J21*VLOOKUP('Hist Cov matrix'!$B21,'Asset Universe'!$C$3:$O$23,13,0)*VLOOKUP('Hist Cov matrix'!J$2,'Asset Universe'!$C$3:$O$23,13,0)</f>
        <v>2.1828282059488764E-3</v>
      </c>
      <c r="K21" s="44">
        <f ca="1">'Hist Corr matrix'!K21*VLOOKUP('Hist Cov matrix'!$B21,'Asset Universe'!$C$3:$O$23,13,0)*VLOOKUP('Hist Cov matrix'!K$2,'Asset Universe'!$C$3:$O$23,13,0)</f>
        <v>7.5736806189828807E-3</v>
      </c>
      <c r="L21" s="44">
        <f ca="1">'Hist Corr matrix'!L21*VLOOKUP('Hist Cov matrix'!$B21,'Asset Universe'!$C$3:$O$23,13,0)*VLOOKUP('Hist Cov matrix'!L$2,'Asset Universe'!$C$3:$O$23,13,0)</f>
        <v>6.6776671329242168E-3</v>
      </c>
      <c r="M21" s="44">
        <f ca="1">'Hist Corr matrix'!M21*VLOOKUP('Hist Cov matrix'!$B21,'Asset Universe'!$C$3:$O$23,13,0)*VLOOKUP('Hist Cov matrix'!M$2,'Asset Universe'!$C$3:$O$23,13,0)</f>
        <v>1.989358855855355E-3</v>
      </c>
      <c r="N21" s="44">
        <f ca="1">'Hist Corr matrix'!N21*VLOOKUP('Hist Cov matrix'!$B21,'Asset Universe'!$C$3:$O$23,13,0)*VLOOKUP('Hist Cov matrix'!N$2,'Asset Universe'!$C$3:$O$23,13,0)</f>
        <v>1.1730855889635087E-3</v>
      </c>
      <c r="O21" s="44">
        <f ca="1">'Hist Corr matrix'!O21*VLOOKUP('Hist Cov matrix'!$B21,'Asset Universe'!$C$3:$O$23,13,0)*VLOOKUP('Hist Cov matrix'!O$2,'Asset Universe'!$C$3:$O$23,13,0)</f>
        <v>4.1917653578682724E-3</v>
      </c>
      <c r="P21" s="44">
        <f ca="1">'Hist Corr matrix'!P21*VLOOKUP('Hist Cov matrix'!$B21,'Asset Universe'!$C$3:$O$23,13,0)*VLOOKUP('Hist Cov matrix'!P$2,'Asset Universe'!$C$3:$O$23,13,0)</f>
        <v>2.2037139486628075E-3</v>
      </c>
      <c r="Q21" s="44">
        <f ca="1">'Hist Corr matrix'!Q21*VLOOKUP('Hist Cov matrix'!$B21,'Asset Universe'!$C$3:$O$23,13,0)*VLOOKUP('Hist Cov matrix'!Q$2,'Asset Universe'!$C$3:$O$23,13,0)</f>
        <v>1.4393091496717255E-3</v>
      </c>
      <c r="R21" s="44">
        <f ca="1">'Hist Corr matrix'!R21*VLOOKUP('Hist Cov matrix'!$B21,'Asset Universe'!$C$3:$O$23,13,0)*VLOOKUP('Hist Cov matrix'!R$2,'Asset Universe'!$C$3:$O$23,13,0)</f>
        <v>1.4508548464141516E-3</v>
      </c>
      <c r="S21" s="44">
        <f ca="1">'Hist Corr matrix'!S21*VLOOKUP('Hist Cov matrix'!$B21,'Asset Universe'!$C$3:$O$23,13,0)*VLOOKUP('Hist Cov matrix'!S$2,'Asset Universe'!$C$3:$O$23,13,0)</f>
        <v>3.5553982848246582E-3</v>
      </c>
      <c r="T21" s="44">
        <f ca="1">'Hist Corr matrix'!T21*VLOOKUP('Hist Cov matrix'!$B21,'Asset Universe'!$C$3:$O$23,13,0)*VLOOKUP('Hist Cov matrix'!T$2,'Asset Universe'!$C$3:$O$23,13,0)</f>
        <v>2.0640637873962763E-3</v>
      </c>
      <c r="U21" s="44">
        <f ca="1">'Hist Corr matrix'!U21*VLOOKUP('Hist Cov matrix'!$B21,'Asset Universe'!$C$3:$O$23,13,0)*VLOOKUP('Hist Cov matrix'!U$2,'Asset Universe'!$C$3:$O$23,13,0)</f>
        <v>7.3545902309661961E-3</v>
      </c>
      <c r="V21" s="44">
        <f ca="1">'Hist Corr matrix'!V21*VLOOKUP('Hist Cov matrix'!$B21,'Asset Universe'!$C$3:$O$23,13,0)*VLOOKUP('Hist Cov matrix'!V$2,'Asset Universe'!$C$3:$O$23,13,0)</f>
        <v>7.2381273323125685E-4</v>
      </c>
      <c r="W21" s="44">
        <f ca="1">'Hist Corr matrix'!W21*VLOOKUP('Hist Cov matrix'!$B21,'Asset Universe'!$C$3:$O$23,13,0)*VLOOKUP('Hist Cov matrix'!W$2,'Asset Universe'!$C$3:$O$23,13,0)</f>
        <v>2.2714688893860032E-3</v>
      </c>
    </row>
    <row r="22" spans="2:23" ht="23.5" customHeight="1" x14ac:dyDescent="0.35">
      <c r="B22" s="41" t="s">
        <v>81</v>
      </c>
      <c r="C22" s="44">
        <f ca="1">'Hist Corr matrix'!C22*VLOOKUP('Hist Cov matrix'!$B22,'Asset Universe'!$C$3:$O$23,13,0)*VLOOKUP('Hist Cov matrix'!C$2,'Asset Universe'!$C$3:$O$23,13,0)</f>
        <v>-2.071923924771579E-4</v>
      </c>
      <c r="D22" s="44">
        <f ca="1">'Hist Corr matrix'!D22*VLOOKUP('Hist Cov matrix'!$B22,'Asset Universe'!$C$3:$O$23,13,0)*VLOOKUP('Hist Cov matrix'!D$2,'Asset Universe'!$C$3:$O$23,13,0)</f>
        <v>4.4208465987226309E-4</v>
      </c>
      <c r="E22" s="44">
        <f ca="1">'Hist Corr matrix'!E22*VLOOKUP('Hist Cov matrix'!$B22,'Asset Universe'!$C$3:$O$23,13,0)*VLOOKUP('Hist Cov matrix'!E$2,'Asset Universe'!$C$3:$O$23,13,0)</f>
        <v>-2.7045656660158317E-4</v>
      </c>
      <c r="F22" s="44">
        <f ca="1">'Hist Corr matrix'!F22*VLOOKUP('Hist Cov matrix'!$B22,'Asset Universe'!$C$3:$O$23,13,0)*VLOOKUP('Hist Cov matrix'!F$2,'Asset Universe'!$C$3:$O$23,13,0)</f>
        <v>-3.147613119324909E-5</v>
      </c>
      <c r="G22" s="44">
        <f ca="1">'Hist Corr matrix'!G22*VLOOKUP('Hist Cov matrix'!$B22,'Asset Universe'!$C$3:$O$23,13,0)*VLOOKUP('Hist Cov matrix'!G$2,'Asset Universe'!$C$3:$O$23,13,0)</f>
        <v>-6.2679494137758584E-5</v>
      </c>
      <c r="H22" s="44">
        <f ca="1">'Hist Corr matrix'!H22*VLOOKUP('Hist Cov matrix'!$B22,'Asset Universe'!$C$3:$O$23,13,0)*VLOOKUP('Hist Cov matrix'!H$2,'Asset Universe'!$C$3:$O$23,13,0)</f>
        <v>1.1213432053580778E-4</v>
      </c>
      <c r="I22" s="44">
        <f ca="1">'Hist Corr matrix'!I22*VLOOKUP('Hist Cov matrix'!$B22,'Asset Universe'!$C$3:$O$23,13,0)*VLOOKUP('Hist Cov matrix'!I$2,'Asset Universe'!$C$3:$O$23,13,0)</f>
        <v>5.1393838372973584E-4</v>
      </c>
      <c r="J22" s="44">
        <f ca="1">'Hist Corr matrix'!J22*VLOOKUP('Hist Cov matrix'!$B22,'Asset Universe'!$C$3:$O$23,13,0)*VLOOKUP('Hist Cov matrix'!J$2,'Asset Universe'!$C$3:$O$23,13,0)</f>
        <v>2.6534664943253907E-4</v>
      </c>
      <c r="K22" s="44">
        <f ca="1">'Hist Corr matrix'!K22*VLOOKUP('Hist Cov matrix'!$B22,'Asset Universe'!$C$3:$O$23,13,0)*VLOOKUP('Hist Cov matrix'!K$2,'Asset Universe'!$C$3:$O$23,13,0)</f>
        <v>8.692630593503327E-4</v>
      </c>
      <c r="L22" s="44">
        <f ca="1">'Hist Corr matrix'!L22*VLOOKUP('Hist Cov matrix'!$B22,'Asset Universe'!$C$3:$O$23,13,0)*VLOOKUP('Hist Cov matrix'!L$2,'Asset Universe'!$C$3:$O$23,13,0)</f>
        <v>1.1733150462541811E-3</v>
      </c>
      <c r="M22" s="44">
        <f ca="1">'Hist Corr matrix'!M22*VLOOKUP('Hist Cov matrix'!$B22,'Asset Universe'!$C$3:$O$23,13,0)*VLOOKUP('Hist Cov matrix'!M$2,'Asset Universe'!$C$3:$O$23,13,0)</f>
        <v>-5.013068686159786E-4</v>
      </c>
      <c r="N22" s="44">
        <f ca="1">'Hist Corr matrix'!N22*VLOOKUP('Hist Cov matrix'!$B22,'Asset Universe'!$C$3:$O$23,13,0)*VLOOKUP('Hist Cov matrix'!N$2,'Asset Universe'!$C$3:$O$23,13,0)</f>
        <v>-5.0518915334331208E-4</v>
      </c>
      <c r="O22" s="44">
        <f ca="1">'Hist Corr matrix'!O22*VLOOKUP('Hist Cov matrix'!$B22,'Asset Universe'!$C$3:$O$23,13,0)*VLOOKUP('Hist Cov matrix'!O$2,'Asset Universe'!$C$3:$O$23,13,0)</f>
        <v>4.2612463304429824E-4</v>
      </c>
      <c r="P22" s="44">
        <f ca="1">'Hist Corr matrix'!P22*VLOOKUP('Hist Cov matrix'!$B22,'Asset Universe'!$C$3:$O$23,13,0)*VLOOKUP('Hist Cov matrix'!P$2,'Asset Universe'!$C$3:$O$23,13,0)</f>
        <v>6.201631950034811E-4</v>
      </c>
      <c r="Q22" s="44">
        <f ca="1">'Hist Corr matrix'!Q22*VLOOKUP('Hist Cov matrix'!$B22,'Asset Universe'!$C$3:$O$23,13,0)*VLOOKUP('Hist Cov matrix'!Q$2,'Asset Universe'!$C$3:$O$23,13,0)</f>
        <v>1.3837331291168267E-3</v>
      </c>
      <c r="R22" s="44">
        <f ca="1">'Hist Corr matrix'!R22*VLOOKUP('Hist Cov matrix'!$B22,'Asset Universe'!$C$3:$O$23,13,0)*VLOOKUP('Hist Cov matrix'!R$2,'Asset Universe'!$C$3:$O$23,13,0)</f>
        <v>1.172728437066309E-3</v>
      </c>
      <c r="S22" s="44">
        <f ca="1">'Hist Corr matrix'!S22*VLOOKUP('Hist Cov matrix'!$B22,'Asset Universe'!$C$3:$O$23,13,0)*VLOOKUP('Hist Cov matrix'!S$2,'Asset Universe'!$C$3:$O$23,13,0)</f>
        <v>-4.9676788356088587E-3</v>
      </c>
      <c r="T22" s="44">
        <f ca="1">'Hist Corr matrix'!T22*VLOOKUP('Hist Cov matrix'!$B22,'Asset Universe'!$C$3:$O$23,13,0)*VLOOKUP('Hist Cov matrix'!T$2,'Asset Universe'!$C$3:$O$23,13,0)</f>
        <v>-1.0559346821516706E-3</v>
      </c>
      <c r="U22" s="44">
        <f ca="1">'Hist Corr matrix'!U22*VLOOKUP('Hist Cov matrix'!$B22,'Asset Universe'!$C$3:$O$23,13,0)*VLOOKUP('Hist Cov matrix'!U$2,'Asset Universe'!$C$3:$O$23,13,0)</f>
        <v>7.2381273323125696E-4</v>
      </c>
      <c r="V22" s="44">
        <f ca="1">'Hist Corr matrix'!V22*VLOOKUP('Hist Cov matrix'!$B22,'Asset Universe'!$C$3:$O$23,13,0)*VLOOKUP('Hist Cov matrix'!V$2,'Asset Universe'!$C$3:$O$23,13,0)</f>
        <v>6.3875526944260075E-2</v>
      </c>
      <c r="W22" s="44">
        <f ca="1">'Hist Corr matrix'!W22*VLOOKUP('Hist Cov matrix'!$B22,'Asset Universe'!$C$3:$O$23,13,0)*VLOOKUP('Hist Cov matrix'!W$2,'Asset Universe'!$C$3:$O$23,13,0)</f>
        <v>3.1259215712204601E-2</v>
      </c>
    </row>
    <row r="23" spans="2:23" ht="23.5" customHeight="1" x14ac:dyDescent="0.35">
      <c r="B23" s="41" t="s">
        <v>97</v>
      </c>
      <c r="C23" s="44">
        <f ca="1">'Hist Corr matrix'!C23*VLOOKUP('Hist Cov matrix'!$B23,'Asset Universe'!$C$3:$O$23,13,0)*VLOOKUP('Hist Cov matrix'!C$2,'Asset Universe'!$C$3:$O$23,13,0)</f>
        <v>7.1100788113719515E-5</v>
      </c>
      <c r="D23" s="44">
        <f ca="1">'Hist Corr matrix'!D23*VLOOKUP('Hist Cov matrix'!$B23,'Asset Universe'!$C$3:$O$23,13,0)*VLOOKUP('Hist Cov matrix'!D$2,'Asset Universe'!$C$3:$O$23,13,0)</f>
        <v>4.0455650533477509E-4</v>
      </c>
      <c r="E23" s="44">
        <f ca="1">'Hist Corr matrix'!E23*VLOOKUP('Hist Cov matrix'!$B23,'Asset Universe'!$C$3:$O$23,13,0)*VLOOKUP('Hist Cov matrix'!E$2,'Asset Universe'!$C$3:$O$23,13,0)</f>
        <v>1.7735582392343414E-4</v>
      </c>
      <c r="F23" s="44">
        <f ca="1">'Hist Corr matrix'!F23*VLOOKUP('Hist Cov matrix'!$B23,'Asset Universe'!$C$3:$O$23,13,0)*VLOOKUP('Hist Cov matrix'!F$2,'Asset Universe'!$C$3:$O$23,13,0)</f>
        <v>9.9128369783856222E-5</v>
      </c>
      <c r="G23" s="44">
        <f ca="1">'Hist Corr matrix'!G23*VLOOKUP('Hist Cov matrix'!$B23,'Asset Universe'!$C$3:$O$23,13,0)*VLOOKUP('Hist Cov matrix'!G$2,'Asset Universe'!$C$3:$O$23,13,0)</f>
        <v>1.6633359005029371E-4</v>
      </c>
      <c r="H23" s="44">
        <f ca="1">'Hist Corr matrix'!H23*VLOOKUP('Hist Cov matrix'!$B23,'Asset Universe'!$C$3:$O$23,13,0)*VLOOKUP('Hist Cov matrix'!H$2,'Asset Universe'!$C$3:$O$23,13,0)</f>
        <v>3.07199243844196E-4</v>
      </c>
      <c r="I23" s="44">
        <f ca="1">'Hist Corr matrix'!I23*VLOOKUP('Hist Cov matrix'!$B23,'Asset Universe'!$C$3:$O$23,13,0)*VLOOKUP('Hist Cov matrix'!I$2,'Asset Universe'!$C$3:$O$23,13,0)</f>
        <v>5.5008564893059282E-4</v>
      </c>
      <c r="J23" s="44">
        <f ca="1">'Hist Corr matrix'!J23*VLOOKUP('Hist Cov matrix'!$B23,'Asset Universe'!$C$3:$O$23,13,0)*VLOOKUP('Hist Cov matrix'!J$2,'Asset Universe'!$C$3:$O$23,13,0)</f>
        <v>3.7826207253800748E-4</v>
      </c>
      <c r="K23" s="44">
        <f ca="1">'Hist Corr matrix'!K23*VLOOKUP('Hist Cov matrix'!$B23,'Asset Universe'!$C$3:$O$23,13,0)*VLOOKUP('Hist Cov matrix'!K$2,'Asset Universe'!$C$3:$O$23,13,0)</f>
        <v>2.1004379761003838E-3</v>
      </c>
      <c r="L23" s="44">
        <f ca="1">'Hist Corr matrix'!L23*VLOOKUP('Hist Cov matrix'!$B23,'Asset Universe'!$C$3:$O$23,13,0)*VLOOKUP('Hist Cov matrix'!L$2,'Asset Universe'!$C$3:$O$23,13,0)</f>
        <v>1.8785296348861333E-3</v>
      </c>
      <c r="M23" s="44">
        <f ca="1">'Hist Corr matrix'!M23*VLOOKUP('Hist Cov matrix'!$B23,'Asset Universe'!$C$3:$O$23,13,0)*VLOOKUP('Hist Cov matrix'!M$2,'Asset Universe'!$C$3:$O$23,13,0)</f>
        <v>-5.5803777586550785E-4</v>
      </c>
      <c r="N23" s="44">
        <f ca="1">'Hist Corr matrix'!N23*VLOOKUP('Hist Cov matrix'!$B23,'Asset Universe'!$C$3:$O$23,13,0)*VLOOKUP('Hist Cov matrix'!N$2,'Asset Universe'!$C$3:$O$23,13,0)</f>
        <v>9.0530673728749428E-5</v>
      </c>
      <c r="O23" s="44">
        <f ca="1">'Hist Corr matrix'!O23*VLOOKUP('Hist Cov matrix'!$B23,'Asset Universe'!$C$3:$O$23,13,0)*VLOOKUP('Hist Cov matrix'!O$2,'Asset Universe'!$C$3:$O$23,13,0)</f>
        <v>1.3733767038955453E-3</v>
      </c>
      <c r="P23" s="44">
        <f ca="1">'Hist Corr matrix'!P23*VLOOKUP('Hist Cov matrix'!$B23,'Asset Universe'!$C$3:$O$23,13,0)*VLOOKUP('Hist Cov matrix'!P$2,'Asset Universe'!$C$3:$O$23,13,0)</f>
        <v>6.9094220087829539E-4</v>
      </c>
      <c r="Q23" s="44">
        <f ca="1">'Hist Corr matrix'!Q23*VLOOKUP('Hist Cov matrix'!$B23,'Asset Universe'!$C$3:$O$23,13,0)*VLOOKUP('Hist Cov matrix'!Q$2,'Asset Universe'!$C$3:$O$23,13,0)</f>
        <v>1.3387662097147951E-3</v>
      </c>
      <c r="R23" s="44">
        <f ca="1">'Hist Corr matrix'!R23*VLOOKUP('Hist Cov matrix'!$B23,'Asset Universe'!$C$3:$O$23,13,0)*VLOOKUP('Hist Cov matrix'!R$2,'Asset Universe'!$C$3:$O$23,13,0)</f>
        <v>1.246261879536483E-3</v>
      </c>
      <c r="S23" s="44">
        <f ca="1">'Hist Corr matrix'!S23*VLOOKUP('Hist Cov matrix'!$B23,'Asset Universe'!$C$3:$O$23,13,0)*VLOOKUP('Hist Cov matrix'!S$2,'Asset Universe'!$C$3:$O$23,13,0)</f>
        <v>-3.0099034223285753E-3</v>
      </c>
      <c r="T23" s="44">
        <f ca="1">'Hist Corr matrix'!T23*VLOOKUP('Hist Cov matrix'!$B23,'Asset Universe'!$C$3:$O$23,13,0)*VLOOKUP('Hist Cov matrix'!T$2,'Asset Universe'!$C$3:$O$23,13,0)</f>
        <v>-4.1769114560660293E-4</v>
      </c>
      <c r="U23" s="44">
        <f ca="1">'Hist Corr matrix'!U23*VLOOKUP('Hist Cov matrix'!$B23,'Asset Universe'!$C$3:$O$23,13,0)*VLOOKUP('Hist Cov matrix'!U$2,'Asset Universe'!$C$3:$O$23,13,0)</f>
        <v>2.2714688893860032E-3</v>
      </c>
      <c r="V23" s="44">
        <f ca="1">'Hist Corr matrix'!V23*VLOOKUP('Hist Cov matrix'!$B23,'Asset Universe'!$C$3:$O$23,13,0)*VLOOKUP('Hist Cov matrix'!V$2,'Asset Universe'!$C$3:$O$23,13,0)</f>
        <v>3.1259215712204601E-2</v>
      </c>
      <c r="W23" s="44">
        <f ca="1">'Hist Corr matrix'!W23*VLOOKUP('Hist Cov matrix'!$B23,'Asset Universe'!$C$3:$O$23,13,0)*VLOOKUP('Hist Cov matrix'!W$2,'Asset Universe'!$C$3:$O$23,13,0)</f>
        <v>3.0485132094648804E-2</v>
      </c>
    </row>
  </sheetData>
  <conditionalFormatting sqref="C3:W23">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1FAA0-9B0F-4A7E-94A2-A790F19FEC96}">
  <dimension ref="B2:W23"/>
  <sheetViews>
    <sheetView topLeftCell="A6" zoomScale="70" zoomScaleNormal="70" workbookViewId="0">
      <selection activeCell="C3" sqref="C3:W23"/>
    </sheetView>
  </sheetViews>
  <sheetFormatPr defaultRowHeight="14.5" x14ac:dyDescent="0.35"/>
  <cols>
    <col min="1" max="1" width="4.26953125" customWidth="1"/>
    <col min="2" max="2" width="16.81640625" customWidth="1"/>
    <col min="3" max="3" width="4.6328125" bestFit="1" customWidth="1"/>
    <col min="4" max="12" width="4.08984375" bestFit="1" customWidth="1"/>
    <col min="13" max="14" width="4.36328125" bestFit="1" customWidth="1"/>
    <col min="15" max="18" width="4.08984375" bestFit="1" customWidth="1"/>
    <col min="19" max="19" width="4.6328125" bestFit="1" customWidth="1"/>
    <col min="20" max="21" width="4.08984375" bestFit="1" customWidth="1"/>
    <col min="22" max="23" width="4.36328125" bestFit="1" customWidth="1"/>
  </cols>
  <sheetData>
    <row r="2" spans="2:23" ht="93" customHeight="1" x14ac:dyDescent="0.35">
      <c r="B2" s="40"/>
      <c r="C2" s="42" t="s">
        <v>89</v>
      </c>
      <c r="D2" s="42" t="s">
        <v>90</v>
      </c>
      <c r="E2" s="42" t="s">
        <v>96</v>
      </c>
      <c r="F2" s="42" t="s">
        <v>95</v>
      </c>
      <c r="G2" s="42" t="s">
        <v>92</v>
      </c>
      <c r="H2" s="42" t="s">
        <v>100</v>
      </c>
      <c r="I2" s="42" t="s">
        <v>101</v>
      </c>
      <c r="J2" s="42" t="s">
        <v>102</v>
      </c>
      <c r="K2" s="42" t="s">
        <v>93</v>
      </c>
      <c r="L2" s="42" t="s">
        <v>103</v>
      </c>
      <c r="M2" s="42" t="s">
        <v>104</v>
      </c>
      <c r="N2" s="42" t="s">
        <v>91</v>
      </c>
      <c r="O2" s="42" t="s">
        <v>105</v>
      </c>
      <c r="P2" s="42" t="s">
        <v>106</v>
      </c>
      <c r="Q2" s="42" t="s">
        <v>99</v>
      </c>
      <c r="R2" s="42" t="s">
        <v>107</v>
      </c>
      <c r="S2" s="42" t="s">
        <v>94</v>
      </c>
      <c r="T2" s="42" t="s">
        <v>98</v>
      </c>
      <c r="U2" s="42" t="s">
        <v>108</v>
      </c>
      <c r="V2" s="42" t="s">
        <v>81</v>
      </c>
      <c r="W2" s="42" t="s">
        <v>97</v>
      </c>
    </row>
    <row r="3" spans="2:23" ht="23.5" customHeight="1" x14ac:dyDescent="0.35">
      <c r="B3" s="41" t="s">
        <v>89</v>
      </c>
      <c r="C3" s="44">
        <f ca="1">'Hist Corr matrix'!C3*VLOOKUP('Hist Cov matrix (stdev)'!$B3,'Asset Universe'!$C$3:$O$23,11,0)*VLOOKUP('Hist Cov matrix (stdev)'!C$2,'Asset Universe'!$C$3:$O$23,11,0)</f>
        <v>3.6104427075357944E-3</v>
      </c>
      <c r="D3" s="44">
        <f ca="1">'Hist Corr matrix'!D3*VLOOKUP('Hist Cov matrix (stdev)'!$B3,'Asset Universe'!$C$3:$O$23,11,0)*VLOOKUP('Hist Cov matrix (stdev)'!D$2,'Asset Universe'!$C$3:$O$23,11,0)</f>
        <v>6.9580490540742199E-3</v>
      </c>
      <c r="E3" s="44">
        <f ca="1">'Hist Corr matrix'!E3*VLOOKUP('Hist Cov matrix (stdev)'!$B3,'Asset Universe'!$C$3:$O$23,11,0)*VLOOKUP('Hist Cov matrix (stdev)'!E$2,'Asset Universe'!$C$3:$O$23,11,0)</f>
        <v>2.6920698661462095E-3</v>
      </c>
      <c r="F3" s="44">
        <f ca="1">'Hist Corr matrix'!F3*VLOOKUP('Hist Cov matrix (stdev)'!$B3,'Asset Universe'!$C$3:$O$23,11,0)*VLOOKUP('Hist Cov matrix (stdev)'!F$2,'Asset Universe'!$C$3:$O$23,11,0)</f>
        <v>1.9022965811650451E-3</v>
      </c>
      <c r="G3" s="44">
        <f ca="1">'Hist Corr matrix'!G3*VLOOKUP('Hist Cov matrix (stdev)'!$B3,'Asset Universe'!$C$3:$O$23,11,0)*VLOOKUP('Hist Cov matrix (stdev)'!G$2,'Asset Universe'!$C$3:$O$23,11,0)</f>
        <v>2.519005064394569E-3</v>
      </c>
      <c r="H3" s="44">
        <f ca="1">'Hist Corr matrix'!H3*VLOOKUP('Hist Cov matrix (stdev)'!$B3,'Asset Universe'!$C$3:$O$23,11,0)*VLOOKUP('Hist Cov matrix (stdev)'!H$2,'Asset Universe'!$C$3:$O$23,11,0)</f>
        <v>2.4414320169910222E-3</v>
      </c>
      <c r="I3" s="44">
        <f ca="1">'Hist Corr matrix'!I3*VLOOKUP('Hist Cov matrix (stdev)'!$B3,'Asset Universe'!$C$3:$O$23,11,0)*VLOOKUP('Hist Cov matrix (stdev)'!I$2,'Asset Universe'!$C$3:$O$23,11,0)</f>
        <v>2.2652149628306752E-3</v>
      </c>
      <c r="J3" s="44">
        <f ca="1">'Hist Corr matrix'!J3*VLOOKUP('Hist Cov matrix (stdev)'!$B3,'Asset Universe'!$C$3:$O$23,11,0)*VLOOKUP('Hist Cov matrix (stdev)'!J$2,'Asset Universe'!$C$3:$O$23,11,0)</f>
        <v>1.9967310239490002E-3</v>
      </c>
      <c r="K3" s="44">
        <f ca="1">'Hist Corr matrix'!K3*VLOOKUP('Hist Cov matrix (stdev)'!$B3,'Asset Universe'!$C$3:$O$23,11,0)*VLOOKUP('Hist Cov matrix (stdev)'!K$2,'Asset Universe'!$C$3:$O$23,11,0)</f>
        <v>-2.5495264892678348E-4</v>
      </c>
      <c r="L3" s="44">
        <f ca="1">'Hist Corr matrix'!L3*VLOOKUP('Hist Cov matrix (stdev)'!$B3,'Asset Universe'!$C$3:$O$23,11,0)*VLOOKUP('Hist Cov matrix (stdev)'!L$2,'Asset Universe'!$C$3:$O$23,11,0)</f>
        <v>9.1933160741918961E-4</v>
      </c>
      <c r="M3" s="44">
        <f ca="1">'Hist Corr matrix'!M3*VLOOKUP('Hist Cov matrix (stdev)'!$B3,'Asset Universe'!$C$3:$O$23,11,0)*VLOOKUP('Hist Cov matrix (stdev)'!M$2,'Asset Universe'!$C$3:$O$23,11,0)</f>
        <v>2.4386923763158111E-3</v>
      </c>
      <c r="N3" s="44">
        <f ca="1">'Hist Corr matrix'!N3*VLOOKUP('Hist Cov matrix (stdev)'!$B3,'Asset Universe'!$C$3:$O$23,11,0)*VLOOKUP('Hist Cov matrix (stdev)'!N$2,'Asset Universe'!$C$3:$O$23,11,0)</f>
        <v>4.0797849557113368E-3</v>
      </c>
      <c r="O3" s="44">
        <f ca="1">'Hist Corr matrix'!O3*VLOOKUP('Hist Cov matrix (stdev)'!$B3,'Asset Universe'!$C$3:$O$23,11,0)*VLOOKUP('Hist Cov matrix (stdev)'!O$2,'Asset Universe'!$C$3:$O$23,11,0)</f>
        <v>1.0235374874921501E-3</v>
      </c>
      <c r="P3" s="44">
        <f ca="1">'Hist Corr matrix'!P3*VLOOKUP('Hist Cov matrix (stdev)'!$B3,'Asset Universe'!$C$3:$O$23,11,0)*VLOOKUP('Hist Cov matrix (stdev)'!P$2,'Asset Universe'!$C$3:$O$23,11,0)</f>
        <v>1.0368040371093736E-3</v>
      </c>
      <c r="Q3" s="44">
        <f ca="1">'Hist Corr matrix'!Q3*VLOOKUP('Hist Cov matrix (stdev)'!$B3,'Asset Universe'!$C$3:$O$23,11,0)*VLOOKUP('Hist Cov matrix (stdev)'!Q$2,'Asset Universe'!$C$3:$O$23,11,0)</f>
        <v>5.7234847399393989E-4</v>
      </c>
      <c r="R3" s="44">
        <f ca="1">'Hist Corr matrix'!R3*VLOOKUP('Hist Cov matrix (stdev)'!$B3,'Asset Universe'!$C$3:$O$23,11,0)*VLOOKUP('Hist Cov matrix (stdev)'!R$2,'Asset Universe'!$C$3:$O$23,11,0)</f>
        <v>4.2735667167192255E-4</v>
      </c>
      <c r="S3" s="44">
        <f ca="1">'Hist Corr matrix'!S3*VLOOKUP('Hist Cov matrix (stdev)'!$B3,'Asset Universe'!$C$3:$O$23,11,0)*VLOOKUP('Hist Cov matrix (stdev)'!S$2,'Asset Universe'!$C$3:$O$23,11,0)</f>
        <v>-1.3564237720548433E-3</v>
      </c>
      <c r="T3" s="44">
        <f ca="1">'Hist Corr matrix'!T3*VLOOKUP('Hist Cov matrix (stdev)'!$B3,'Asset Universe'!$C$3:$O$23,11,0)*VLOOKUP('Hist Cov matrix (stdev)'!T$2,'Asset Universe'!$C$3:$O$23,11,0)</f>
        <v>1.4501695797077344E-3</v>
      </c>
      <c r="U3" s="44">
        <f ca="1">'Hist Corr matrix'!U3*VLOOKUP('Hist Cov matrix (stdev)'!$B3,'Asset Universe'!$C$3:$O$23,11,0)*VLOOKUP('Hist Cov matrix (stdev)'!U$2,'Asset Universe'!$C$3:$O$23,11,0)</f>
        <v>1.6123025139201147E-3</v>
      </c>
      <c r="V3" s="44">
        <f ca="1">'Hist Corr matrix'!V3*VLOOKUP('Hist Cov matrix (stdev)'!$B3,'Asset Universe'!$C$3:$O$23,11,0)*VLOOKUP('Hist Cov matrix (stdev)'!V$2,'Asset Universe'!$C$3:$O$23,11,0)</f>
        <v>-3.2282653630732322E-4</v>
      </c>
      <c r="W3" s="44">
        <f ca="1">'Hist Corr matrix'!W3*VLOOKUP('Hist Cov matrix (stdev)'!$B3,'Asset Universe'!$C$3:$O$23,11,0)*VLOOKUP('Hist Cov matrix (stdev)'!W$2,'Asset Universe'!$C$3:$O$23,11,0)</f>
        <v>1.1078216184024937E-4</v>
      </c>
    </row>
    <row r="4" spans="2:23" ht="23.5" customHeight="1" x14ac:dyDescent="0.35">
      <c r="B4" s="41" t="s">
        <v>90</v>
      </c>
      <c r="C4" s="44">
        <f ca="1">'Hist Corr matrix'!C4*VLOOKUP('Hist Cov matrix (stdev)'!$B4,'Asset Universe'!$C$3:$O$23,11,0)*VLOOKUP('Hist Cov matrix (stdev)'!C$2,'Asset Universe'!$C$3:$O$23,11,0)</f>
        <v>6.9580490540742191E-3</v>
      </c>
      <c r="D4" s="44">
        <f ca="1">'Hist Corr matrix'!D4*VLOOKUP('Hist Cov matrix (stdev)'!$B4,'Asset Universe'!$C$3:$O$23,11,0)*VLOOKUP('Hist Cov matrix (stdev)'!D$2,'Asset Universe'!$C$3:$O$23,11,0)</f>
        <v>1.8404785498470699E-2</v>
      </c>
      <c r="E4" s="44">
        <f ca="1">'Hist Corr matrix'!E4*VLOOKUP('Hist Cov matrix (stdev)'!$B4,'Asset Universe'!$C$3:$O$23,11,0)*VLOOKUP('Hist Cov matrix (stdev)'!E$2,'Asset Universe'!$C$3:$O$23,11,0)</f>
        <v>6.302617383406631E-3</v>
      </c>
      <c r="F4" s="44">
        <f ca="1">'Hist Corr matrix'!F4*VLOOKUP('Hist Cov matrix (stdev)'!$B4,'Asset Universe'!$C$3:$O$23,11,0)*VLOOKUP('Hist Cov matrix (stdev)'!F$2,'Asset Universe'!$C$3:$O$23,11,0)</f>
        <v>4.3620669707789255E-3</v>
      </c>
      <c r="G4" s="44">
        <f ca="1">'Hist Corr matrix'!G4*VLOOKUP('Hist Cov matrix (stdev)'!$B4,'Asset Universe'!$C$3:$O$23,11,0)*VLOOKUP('Hist Cov matrix (stdev)'!G$2,'Asset Universe'!$C$3:$O$23,11,0)</f>
        <v>5.411317679143217E-3</v>
      </c>
      <c r="H4" s="44">
        <f ca="1">'Hist Corr matrix'!H4*VLOOKUP('Hist Cov matrix (stdev)'!$B4,'Asset Universe'!$C$3:$O$23,11,0)*VLOOKUP('Hist Cov matrix (stdev)'!H$2,'Asset Universe'!$C$3:$O$23,11,0)</f>
        <v>5.6983786797504292E-3</v>
      </c>
      <c r="I4" s="44">
        <f ca="1">'Hist Corr matrix'!I4*VLOOKUP('Hist Cov matrix (stdev)'!$B4,'Asset Universe'!$C$3:$O$23,11,0)*VLOOKUP('Hist Cov matrix (stdev)'!I$2,'Asset Universe'!$C$3:$O$23,11,0)</f>
        <v>5.4973875559083665E-3</v>
      </c>
      <c r="J4" s="44">
        <f ca="1">'Hist Corr matrix'!J4*VLOOKUP('Hist Cov matrix (stdev)'!$B4,'Asset Universe'!$C$3:$O$23,11,0)*VLOOKUP('Hist Cov matrix (stdev)'!J$2,'Asset Universe'!$C$3:$O$23,11,0)</f>
        <v>4.9805020587285042E-3</v>
      </c>
      <c r="K4" s="44">
        <f ca="1">'Hist Corr matrix'!K4*VLOOKUP('Hist Cov matrix (stdev)'!$B4,'Asset Universe'!$C$3:$O$23,11,0)*VLOOKUP('Hist Cov matrix (stdev)'!K$2,'Asset Universe'!$C$3:$O$23,11,0)</f>
        <v>-4.8939366789122331E-4</v>
      </c>
      <c r="L4" s="44">
        <f ca="1">'Hist Corr matrix'!L4*VLOOKUP('Hist Cov matrix (stdev)'!$B4,'Asset Universe'!$C$3:$O$23,11,0)*VLOOKUP('Hist Cov matrix (stdev)'!L$2,'Asset Universe'!$C$3:$O$23,11,0)</f>
        <v>2.865903394087624E-3</v>
      </c>
      <c r="M4" s="44">
        <f ca="1">'Hist Corr matrix'!M4*VLOOKUP('Hist Cov matrix (stdev)'!$B4,'Asset Universe'!$C$3:$O$23,11,0)*VLOOKUP('Hist Cov matrix (stdev)'!M$2,'Asset Universe'!$C$3:$O$23,11,0)</f>
        <v>5.4801919329605037E-3</v>
      </c>
      <c r="N4" s="44">
        <f ca="1">'Hist Corr matrix'!N4*VLOOKUP('Hist Cov matrix (stdev)'!$B4,'Asset Universe'!$C$3:$O$23,11,0)*VLOOKUP('Hist Cov matrix (stdev)'!N$2,'Asset Universe'!$C$3:$O$23,11,0)</f>
        <v>8.353189249164129E-3</v>
      </c>
      <c r="O4" s="44">
        <f ca="1">'Hist Corr matrix'!O4*VLOOKUP('Hist Cov matrix (stdev)'!$B4,'Asset Universe'!$C$3:$O$23,11,0)*VLOOKUP('Hist Cov matrix (stdev)'!O$2,'Asset Universe'!$C$3:$O$23,11,0)</f>
        <v>2.6041733758391211E-3</v>
      </c>
      <c r="P4" s="44">
        <f ca="1">'Hist Corr matrix'!P4*VLOOKUP('Hist Cov matrix (stdev)'!$B4,'Asset Universe'!$C$3:$O$23,11,0)*VLOOKUP('Hist Cov matrix (stdev)'!P$2,'Asset Universe'!$C$3:$O$23,11,0)</f>
        <v>2.04910545500215E-3</v>
      </c>
      <c r="Q4" s="44">
        <f ca="1">'Hist Corr matrix'!Q4*VLOOKUP('Hist Cov matrix (stdev)'!$B4,'Asset Universe'!$C$3:$O$23,11,0)*VLOOKUP('Hist Cov matrix (stdev)'!Q$2,'Asset Universe'!$C$3:$O$23,11,0)</f>
        <v>1.5907159811317704E-3</v>
      </c>
      <c r="R4" s="44">
        <f ca="1">'Hist Corr matrix'!R4*VLOOKUP('Hist Cov matrix (stdev)'!$B4,'Asset Universe'!$C$3:$O$23,11,0)*VLOOKUP('Hist Cov matrix (stdev)'!R$2,'Asset Universe'!$C$3:$O$23,11,0)</f>
        <v>1.2411761061090229E-3</v>
      </c>
      <c r="S4" s="44">
        <f ca="1">'Hist Corr matrix'!S4*VLOOKUP('Hist Cov matrix (stdev)'!$B4,'Asset Universe'!$C$3:$O$23,11,0)*VLOOKUP('Hist Cov matrix (stdev)'!S$2,'Asset Universe'!$C$3:$O$23,11,0)</f>
        <v>-1.8635459220651129E-3</v>
      </c>
      <c r="T4" s="44">
        <f ca="1">'Hist Corr matrix'!T4*VLOOKUP('Hist Cov matrix (stdev)'!$B4,'Asset Universe'!$C$3:$O$23,11,0)*VLOOKUP('Hist Cov matrix (stdev)'!T$2,'Asset Universe'!$C$3:$O$23,11,0)</f>
        <v>3.0374759618569959E-3</v>
      </c>
      <c r="U4" s="44">
        <f ca="1">'Hist Corr matrix'!U4*VLOOKUP('Hist Cov matrix (stdev)'!$B4,'Asset Universe'!$C$3:$O$23,11,0)*VLOOKUP('Hist Cov matrix (stdev)'!U$2,'Asset Universe'!$C$3:$O$23,11,0)</f>
        <v>4.2457921833798521E-3</v>
      </c>
      <c r="V4" s="44">
        <f ca="1">'Hist Corr matrix'!V4*VLOOKUP('Hist Cov matrix (stdev)'!$B4,'Asset Universe'!$C$3:$O$23,11,0)*VLOOKUP('Hist Cov matrix (stdev)'!V$2,'Asset Universe'!$C$3:$O$23,11,0)</f>
        <v>7.0402667503763794E-4</v>
      </c>
      <c r="W4" s="44">
        <f ca="1">'Hist Corr matrix'!W4*VLOOKUP('Hist Cov matrix (stdev)'!$B4,'Asset Universe'!$C$3:$O$23,11,0)*VLOOKUP('Hist Cov matrix (stdev)'!W$2,'Asset Universe'!$C$3:$O$23,11,0)</f>
        <v>6.442625070908006E-4</v>
      </c>
    </row>
    <row r="5" spans="2:23" ht="23.5" customHeight="1" x14ac:dyDescent="0.35">
      <c r="B5" s="41" t="s">
        <v>96</v>
      </c>
      <c r="C5" s="44">
        <f ca="1">'Hist Corr matrix'!C5*VLOOKUP('Hist Cov matrix (stdev)'!$B5,'Asset Universe'!$C$3:$O$23,11,0)*VLOOKUP('Hist Cov matrix (stdev)'!C$2,'Asset Universe'!$C$3:$O$23,11,0)</f>
        <v>2.6920698661462091E-3</v>
      </c>
      <c r="D5" s="44">
        <f ca="1">'Hist Corr matrix'!D5*VLOOKUP('Hist Cov matrix (stdev)'!$B5,'Asset Universe'!$C$3:$O$23,11,0)*VLOOKUP('Hist Cov matrix (stdev)'!D$2,'Asset Universe'!$C$3:$O$23,11,0)</f>
        <v>6.3026173834066319E-3</v>
      </c>
      <c r="E5" s="44">
        <f ca="1">'Hist Corr matrix'!E5*VLOOKUP('Hist Cov matrix (stdev)'!$B5,'Asset Universe'!$C$3:$O$23,11,0)*VLOOKUP('Hist Cov matrix (stdev)'!E$2,'Asset Universe'!$C$3:$O$23,11,0)</f>
        <v>6.7416147163531252E-3</v>
      </c>
      <c r="F5" s="44">
        <f ca="1">'Hist Corr matrix'!F5*VLOOKUP('Hist Cov matrix (stdev)'!$B5,'Asset Universe'!$C$3:$O$23,11,0)*VLOOKUP('Hist Cov matrix (stdev)'!F$2,'Asset Universe'!$C$3:$O$23,11,0)</f>
        <v>2.1311975699692888E-3</v>
      </c>
      <c r="G5" s="44">
        <f ca="1">'Hist Corr matrix'!G5*VLOOKUP('Hist Cov matrix (stdev)'!$B5,'Asset Universe'!$C$3:$O$23,11,0)*VLOOKUP('Hist Cov matrix (stdev)'!G$2,'Asset Universe'!$C$3:$O$23,11,0)</f>
        <v>2.4170483147064469E-3</v>
      </c>
      <c r="H5" s="44">
        <f ca="1">'Hist Corr matrix'!H5*VLOOKUP('Hist Cov matrix (stdev)'!$B5,'Asset Universe'!$C$3:$O$23,11,0)*VLOOKUP('Hist Cov matrix (stdev)'!H$2,'Asset Universe'!$C$3:$O$23,11,0)</f>
        <v>3.3650793689330174E-3</v>
      </c>
      <c r="I5" s="44">
        <f ca="1">'Hist Corr matrix'!I5*VLOOKUP('Hist Cov matrix (stdev)'!$B5,'Asset Universe'!$C$3:$O$23,11,0)*VLOOKUP('Hist Cov matrix (stdev)'!I$2,'Asset Universe'!$C$3:$O$23,11,0)</f>
        <v>3.7788001343542856E-3</v>
      </c>
      <c r="J5" s="44">
        <f ca="1">'Hist Corr matrix'!J5*VLOOKUP('Hist Cov matrix (stdev)'!$B5,'Asset Universe'!$C$3:$O$23,11,0)*VLOOKUP('Hist Cov matrix (stdev)'!J$2,'Asset Universe'!$C$3:$O$23,11,0)</f>
        <v>4.1872813209380038E-3</v>
      </c>
      <c r="K5" s="44">
        <f ca="1">'Hist Corr matrix'!K5*VLOOKUP('Hist Cov matrix (stdev)'!$B5,'Asset Universe'!$C$3:$O$23,11,0)*VLOOKUP('Hist Cov matrix (stdev)'!K$2,'Asset Universe'!$C$3:$O$23,11,0)</f>
        <v>4.6540812264233402E-3</v>
      </c>
      <c r="L5" s="44">
        <f ca="1">'Hist Corr matrix'!L5*VLOOKUP('Hist Cov matrix (stdev)'!$B5,'Asset Universe'!$C$3:$O$23,11,0)*VLOOKUP('Hist Cov matrix (stdev)'!L$2,'Asset Universe'!$C$3:$O$23,11,0)</f>
        <v>7.8332613259699934E-3</v>
      </c>
      <c r="M5" s="44">
        <f ca="1">'Hist Corr matrix'!M5*VLOOKUP('Hist Cov matrix (stdev)'!$B5,'Asset Universe'!$C$3:$O$23,11,0)*VLOOKUP('Hist Cov matrix (stdev)'!M$2,'Asset Universe'!$C$3:$O$23,11,0)</f>
        <v>3.9788400872260666E-3</v>
      </c>
      <c r="N5" s="44">
        <f ca="1">'Hist Corr matrix'!N5*VLOOKUP('Hist Cov matrix (stdev)'!$B5,'Asset Universe'!$C$3:$O$23,11,0)*VLOOKUP('Hist Cov matrix (stdev)'!N$2,'Asset Universe'!$C$3:$O$23,11,0)</f>
        <v>4.5444893265492994E-3</v>
      </c>
      <c r="O5" s="44">
        <f ca="1">'Hist Corr matrix'!O5*VLOOKUP('Hist Cov matrix (stdev)'!$B5,'Asset Universe'!$C$3:$O$23,11,0)*VLOOKUP('Hist Cov matrix (stdev)'!O$2,'Asset Universe'!$C$3:$O$23,11,0)</f>
        <v>2.5893849875556338E-3</v>
      </c>
      <c r="P5" s="44">
        <f ca="1">'Hist Corr matrix'!P5*VLOOKUP('Hist Cov matrix (stdev)'!$B5,'Asset Universe'!$C$3:$O$23,11,0)*VLOOKUP('Hist Cov matrix (stdev)'!P$2,'Asset Universe'!$C$3:$O$23,11,0)</f>
        <v>2.6540374998982315E-3</v>
      </c>
      <c r="Q5" s="44">
        <f ca="1">'Hist Corr matrix'!Q5*VLOOKUP('Hist Cov matrix (stdev)'!$B5,'Asset Universe'!$C$3:$O$23,11,0)*VLOOKUP('Hist Cov matrix (stdev)'!Q$2,'Asset Universe'!$C$3:$O$23,11,0)</f>
        <v>1.3961739657965069E-3</v>
      </c>
      <c r="R5" s="44">
        <f ca="1">'Hist Corr matrix'!R5*VLOOKUP('Hist Cov matrix (stdev)'!$B5,'Asset Universe'!$C$3:$O$23,11,0)*VLOOKUP('Hist Cov matrix (stdev)'!R$2,'Asset Universe'!$C$3:$O$23,11,0)</f>
        <v>1.3170996619454706E-3</v>
      </c>
      <c r="S5" s="44">
        <f ca="1">'Hist Corr matrix'!S5*VLOOKUP('Hist Cov matrix (stdev)'!$B5,'Asset Universe'!$C$3:$O$23,11,0)*VLOOKUP('Hist Cov matrix (stdev)'!S$2,'Asset Universe'!$C$3:$O$23,11,0)</f>
        <v>3.9720079151159549E-3</v>
      </c>
      <c r="T5" s="44">
        <f ca="1">'Hist Corr matrix'!T5*VLOOKUP('Hist Cov matrix (stdev)'!$B5,'Asset Universe'!$C$3:$O$23,11,0)*VLOOKUP('Hist Cov matrix (stdev)'!T$2,'Asset Universe'!$C$3:$O$23,11,0)</f>
        <v>1.828162139831258E-3</v>
      </c>
      <c r="U5" s="44">
        <f ca="1">'Hist Corr matrix'!U5*VLOOKUP('Hist Cov matrix (stdev)'!$B5,'Asset Universe'!$C$3:$O$23,11,0)*VLOOKUP('Hist Cov matrix (stdev)'!U$2,'Asset Universe'!$C$3:$O$23,11,0)</f>
        <v>4.4470432820232723E-3</v>
      </c>
      <c r="V5" s="44">
        <f ca="1">'Hist Corr matrix'!V5*VLOOKUP('Hist Cov matrix (stdev)'!$B5,'Asset Universe'!$C$3:$O$23,11,0)*VLOOKUP('Hist Cov matrix (stdev)'!V$2,'Asset Universe'!$C$3:$O$23,11,0)</f>
        <v>-5.3541553262073248E-4</v>
      </c>
      <c r="W5" s="44">
        <f ca="1">'Hist Corr matrix'!W5*VLOOKUP('Hist Cov matrix (stdev)'!$B5,'Asset Universe'!$C$3:$O$23,11,0)*VLOOKUP('Hist Cov matrix (stdev)'!W$2,'Asset Universe'!$C$3:$O$23,11,0)</f>
        <v>3.5110651637178068E-4</v>
      </c>
    </row>
    <row r="6" spans="2:23" ht="23.5" customHeight="1" x14ac:dyDescent="0.35">
      <c r="B6" s="41" t="s">
        <v>95</v>
      </c>
      <c r="C6" s="44">
        <f ca="1">'Hist Corr matrix'!C6*VLOOKUP('Hist Cov matrix (stdev)'!$B6,'Asset Universe'!$C$3:$O$23,11,0)*VLOOKUP('Hist Cov matrix (stdev)'!C$2,'Asset Universe'!$C$3:$O$23,11,0)</f>
        <v>1.9022965811650448E-3</v>
      </c>
      <c r="D6" s="44">
        <f ca="1">'Hist Corr matrix'!D6*VLOOKUP('Hist Cov matrix (stdev)'!$B6,'Asset Universe'!$C$3:$O$23,11,0)*VLOOKUP('Hist Cov matrix (stdev)'!D$2,'Asset Universe'!$C$3:$O$23,11,0)</f>
        <v>4.3620669707789255E-3</v>
      </c>
      <c r="E6" s="44">
        <f ca="1">'Hist Corr matrix'!E6*VLOOKUP('Hist Cov matrix (stdev)'!$B6,'Asset Universe'!$C$3:$O$23,11,0)*VLOOKUP('Hist Cov matrix (stdev)'!E$2,'Asset Universe'!$C$3:$O$23,11,0)</f>
        <v>2.1311975699692893E-3</v>
      </c>
      <c r="F6" s="44">
        <f ca="1">'Hist Corr matrix'!F6*VLOOKUP('Hist Cov matrix (stdev)'!$B6,'Asset Universe'!$C$3:$O$23,11,0)*VLOOKUP('Hist Cov matrix (stdev)'!F$2,'Asset Universe'!$C$3:$O$23,11,0)</f>
        <v>1.5888772405751449E-3</v>
      </c>
      <c r="G6" s="44">
        <f ca="1">'Hist Corr matrix'!G6*VLOOKUP('Hist Cov matrix (stdev)'!$B6,'Asset Universe'!$C$3:$O$23,11,0)*VLOOKUP('Hist Cov matrix (stdev)'!G$2,'Asset Universe'!$C$3:$O$23,11,0)</f>
        <v>1.4875331596633751E-3</v>
      </c>
      <c r="H6" s="44">
        <f ca="1">'Hist Corr matrix'!H6*VLOOKUP('Hist Cov matrix (stdev)'!$B6,'Asset Universe'!$C$3:$O$23,11,0)*VLOOKUP('Hist Cov matrix (stdev)'!H$2,'Asset Universe'!$C$3:$O$23,11,0)</f>
        <v>1.7161080745796073E-3</v>
      </c>
      <c r="I6" s="44">
        <f ca="1">'Hist Corr matrix'!I6*VLOOKUP('Hist Cov matrix (stdev)'!$B6,'Asset Universe'!$C$3:$O$23,11,0)*VLOOKUP('Hist Cov matrix (stdev)'!I$2,'Asset Universe'!$C$3:$O$23,11,0)</f>
        <v>1.7174618398849921E-3</v>
      </c>
      <c r="J6" s="44">
        <f ca="1">'Hist Corr matrix'!J6*VLOOKUP('Hist Cov matrix (stdev)'!$B6,'Asset Universe'!$C$3:$O$23,11,0)*VLOOKUP('Hist Cov matrix (stdev)'!J$2,'Asset Universe'!$C$3:$O$23,11,0)</f>
        <v>1.7437284135168145E-3</v>
      </c>
      <c r="K6" s="44">
        <f ca="1">'Hist Corr matrix'!K6*VLOOKUP('Hist Cov matrix (stdev)'!$B6,'Asset Universe'!$C$3:$O$23,11,0)*VLOOKUP('Hist Cov matrix (stdev)'!K$2,'Asset Universe'!$C$3:$O$23,11,0)</f>
        <v>8.6044005564831394E-4</v>
      </c>
      <c r="L6" s="44">
        <f ca="1">'Hist Corr matrix'!L6*VLOOKUP('Hist Cov matrix (stdev)'!$B6,'Asset Universe'!$C$3:$O$23,11,0)*VLOOKUP('Hist Cov matrix (stdev)'!L$2,'Asset Universe'!$C$3:$O$23,11,0)</f>
        <v>1.9738281745280625E-3</v>
      </c>
      <c r="M6" s="44">
        <f ca="1">'Hist Corr matrix'!M6*VLOOKUP('Hist Cov matrix (stdev)'!$B6,'Asset Universe'!$C$3:$O$23,11,0)*VLOOKUP('Hist Cov matrix (stdev)'!M$2,'Asset Universe'!$C$3:$O$23,11,0)</f>
        <v>2.0402513494108469E-3</v>
      </c>
      <c r="N6" s="44">
        <f ca="1">'Hist Corr matrix'!N6*VLOOKUP('Hist Cov matrix (stdev)'!$B6,'Asset Universe'!$C$3:$O$23,11,0)*VLOOKUP('Hist Cov matrix (stdev)'!N$2,'Asset Universe'!$C$3:$O$23,11,0)</f>
        <v>2.4573989386796544E-3</v>
      </c>
      <c r="O6" s="44">
        <f ca="1">'Hist Corr matrix'!O6*VLOOKUP('Hist Cov matrix (stdev)'!$B6,'Asset Universe'!$C$3:$O$23,11,0)*VLOOKUP('Hist Cov matrix (stdev)'!O$2,'Asset Universe'!$C$3:$O$23,11,0)</f>
        <v>9.4862156366867735E-4</v>
      </c>
      <c r="P6" s="44">
        <f ca="1">'Hist Corr matrix'!P6*VLOOKUP('Hist Cov matrix (stdev)'!$B6,'Asset Universe'!$C$3:$O$23,11,0)*VLOOKUP('Hist Cov matrix (stdev)'!P$2,'Asset Universe'!$C$3:$O$23,11,0)</f>
        <v>6.6904266279137149E-4</v>
      </c>
      <c r="Q6" s="44">
        <f ca="1">'Hist Corr matrix'!Q6*VLOOKUP('Hist Cov matrix (stdev)'!$B6,'Asset Universe'!$C$3:$O$23,11,0)*VLOOKUP('Hist Cov matrix (stdev)'!Q$2,'Asset Universe'!$C$3:$O$23,11,0)</f>
        <v>5.6190555434080093E-4</v>
      </c>
      <c r="R6" s="44">
        <f ca="1">'Hist Corr matrix'!R6*VLOOKUP('Hist Cov matrix (stdev)'!$B6,'Asset Universe'!$C$3:$O$23,11,0)*VLOOKUP('Hist Cov matrix (stdev)'!R$2,'Asset Universe'!$C$3:$O$23,11,0)</f>
        <v>5.2484167261149456E-4</v>
      </c>
      <c r="S6" s="44">
        <f ca="1">'Hist Corr matrix'!S6*VLOOKUP('Hist Cov matrix (stdev)'!$B6,'Asset Universe'!$C$3:$O$23,11,0)*VLOOKUP('Hist Cov matrix (stdev)'!S$2,'Asset Universe'!$C$3:$O$23,11,0)</f>
        <v>1.1231803151470396E-3</v>
      </c>
      <c r="T6" s="44">
        <f ca="1">'Hist Corr matrix'!T6*VLOOKUP('Hist Cov matrix (stdev)'!$B6,'Asset Universe'!$C$3:$O$23,11,0)*VLOOKUP('Hist Cov matrix (stdev)'!T$2,'Asset Universe'!$C$3:$O$23,11,0)</f>
        <v>8.4126319745171305E-4</v>
      </c>
      <c r="U6" s="44">
        <f ca="1">'Hist Corr matrix'!U6*VLOOKUP('Hist Cov matrix (stdev)'!$B6,'Asset Universe'!$C$3:$O$23,11,0)*VLOOKUP('Hist Cov matrix (stdev)'!U$2,'Asset Universe'!$C$3:$O$23,11,0)</f>
        <v>1.5735672987581158E-3</v>
      </c>
      <c r="V6" s="44">
        <f ca="1">'Hist Corr matrix'!V6*VLOOKUP('Hist Cov matrix (stdev)'!$B6,'Asset Universe'!$C$3:$O$23,11,0)*VLOOKUP('Hist Cov matrix (stdev)'!V$2,'Asset Universe'!$C$3:$O$23,11,0)</f>
        <v>-3.0114441743226803E-5</v>
      </c>
      <c r="W6" s="44">
        <f ca="1">'Hist Corr matrix'!W6*VLOOKUP('Hist Cov matrix (stdev)'!$B6,'Asset Universe'!$C$3:$O$23,11,0)*VLOOKUP('Hist Cov matrix (stdev)'!W$2,'Asset Universe'!$C$3:$O$23,11,0)</f>
        <v>9.4839975682819562E-5</v>
      </c>
    </row>
    <row r="7" spans="2:23" ht="23.5" customHeight="1" x14ac:dyDescent="0.35">
      <c r="B7" s="41" t="s">
        <v>92</v>
      </c>
      <c r="C7" s="44">
        <f ca="1">'Hist Corr matrix'!C7*VLOOKUP('Hist Cov matrix (stdev)'!$B7,'Asset Universe'!$C$3:$O$23,11,0)*VLOOKUP('Hist Cov matrix (stdev)'!C$2,'Asset Universe'!$C$3:$O$23,11,0)</f>
        <v>2.519005064394569E-3</v>
      </c>
      <c r="D7" s="44">
        <f ca="1">'Hist Corr matrix'!D7*VLOOKUP('Hist Cov matrix (stdev)'!$B7,'Asset Universe'!$C$3:$O$23,11,0)*VLOOKUP('Hist Cov matrix (stdev)'!D$2,'Asset Universe'!$C$3:$O$23,11,0)</f>
        <v>5.411317679143217E-3</v>
      </c>
      <c r="E7" s="44">
        <f ca="1">'Hist Corr matrix'!E7*VLOOKUP('Hist Cov matrix (stdev)'!$B7,'Asset Universe'!$C$3:$O$23,11,0)*VLOOKUP('Hist Cov matrix (stdev)'!E$2,'Asset Universe'!$C$3:$O$23,11,0)</f>
        <v>2.4170483147064469E-3</v>
      </c>
      <c r="F7" s="44">
        <f ca="1">'Hist Corr matrix'!F7*VLOOKUP('Hist Cov matrix (stdev)'!$B7,'Asset Universe'!$C$3:$O$23,11,0)*VLOOKUP('Hist Cov matrix (stdev)'!F$2,'Asset Universe'!$C$3:$O$23,11,0)</f>
        <v>1.4875331596633751E-3</v>
      </c>
      <c r="G7" s="44">
        <f ca="1">'Hist Corr matrix'!G7*VLOOKUP('Hist Cov matrix (stdev)'!$B7,'Asset Universe'!$C$3:$O$23,11,0)*VLOOKUP('Hist Cov matrix (stdev)'!G$2,'Asset Universe'!$C$3:$O$23,11,0)</f>
        <v>1.9815584480639393E-3</v>
      </c>
      <c r="H7" s="44">
        <f ca="1">'Hist Corr matrix'!H7*VLOOKUP('Hist Cov matrix (stdev)'!$B7,'Asset Universe'!$C$3:$O$23,11,0)*VLOOKUP('Hist Cov matrix (stdev)'!H$2,'Asset Universe'!$C$3:$O$23,11,0)</f>
        <v>2.0838192959398978E-3</v>
      </c>
      <c r="I7" s="44">
        <f ca="1">'Hist Corr matrix'!I7*VLOOKUP('Hist Cov matrix (stdev)'!$B7,'Asset Universe'!$C$3:$O$23,11,0)*VLOOKUP('Hist Cov matrix (stdev)'!I$2,'Asset Universe'!$C$3:$O$23,11,0)</f>
        <v>2.0715316762123315E-3</v>
      </c>
      <c r="J7" s="44">
        <f ca="1">'Hist Corr matrix'!J7*VLOOKUP('Hist Cov matrix (stdev)'!$B7,'Asset Universe'!$C$3:$O$23,11,0)*VLOOKUP('Hist Cov matrix (stdev)'!J$2,'Asset Universe'!$C$3:$O$23,11,0)</f>
        <v>2.0240489773269738E-3</v>
      </c>
      <c r="K7" s="44">
        <f ca="1">'Hist Corr matrix'!K7*VLOOKUP('Hist Cov matrix (stdev)'!$B7,'Asset Universe'!$C$3:$O$23,11,0)*VLOOKUP('Hist Cov matrix (stdev)'!K$2,'Asset Universe'!$C$3:$O$23,11,0)</f>
        <v>9.1513964816016544E-4</v>
      </c>
      <c r="L7" s="44">
        <f ca="1">'Hist Corr matrix'!L7*VLOOKUP('Hist Cov matrix (stdev)'!$B7,'Asset Universe'!$C$3:$O$23,11,0)*VLOOKUP('Hist Cov matrix (stdev)'!L$2,'Asset Universe'!$C$3:$O$23,11,0)</f>
        <v>2.2538950525995928E-3</v>
      </c>
      <c r="M7" s="44">
        <f ca="1">'Hist Corr matrix'!M7*VLOOKUP('Hist Cov matrix (stdev)'!$B7,'Asset Universe'!$C$3:$O$23,11,0)*VLOOKUP('Hist Cov matrix (stdev)'!M$2,'Asset Universe'!$C$3:$O$23,11,0)</f>
        <v>2.0208823978538995E-3</v>
      </c>
      <c r="N7" s="44">
        <f ca="1">'Hist Corr matrix'!N7*VLOOKUP('Hist Cov matrix (stdev)'!$B7,'Asset Universe'!$C$3:$O$23,11,0)*VLOOKUP('Hist Cov matrix (stdev)'!N$2,'Asset Universe'!$C$3:$O$23,11,0)</f>
        <v>3.3000812978714834E-3</v>
      </c>
      <c r="O7" s="44">
        <f ca="1">'Hist Corr matrix'!O7*VLOOKUP('Hist Cov matrix (stdev)'!$B7,'Asset Universe'!$C$3:$O$23,11,0)*VLOOKUP('Hist Cov matrix (stdev)'!O$2,'Asset Universe'!$C$3:$O$23,11,0)</f>
        <v>1.3205315330085596E-3</v>
      </c>
      <c r="P7" s="44">
        <f ca="1">'Hist Corr matrix'!P7*VLOOKUP('Hist Cov matrix (stdev)'!$B7,'Asset Universe'!$C$3:$O$23,11,0)*VLOOKUP('Hist Cov matrix (stdev)'!P$2,'Asset Universe'!$C$3:$O$23,11,0)</f>
        <v>1.0690804549166124E-3</v>
      </c>
      <c r="Q7" s="44">
        <f ca="1">'Hist Corr matrix'!Q7*VLOOKUP('Hist Cov matrix (stdev)'!$B7,'Asset Universe'!$C$3:$O$23,11,0)*VLOOKUP('Hist Cov matrix (stdev)'!Q$2,'Asset Universe'!$C$3:$O$23,11,0)</f>
        <v>7.0892282443149243E-4</v>
      </c>
      <c r="R7" s="44">
        <f ca="1">'Hist Corr matrix'!R7*VLOOKUP('Hist Cov matrix (stdev)'!$B7,'Asset Universe'!$C$3:$O$23,11,0)*VLOOKUP('Hist Cov matrix (stdev)'!R$2,'Asset Universe'!$C$3:$O$23,11,0)</f>
        <v>6.1024968266987928E-4</v>
      </c>
      <c r="S7" s="44">
        <f ca="1">'Hist Corr matrix'!S7*VLOOKUP('Hist Cov matrix (stdev)'!$B7,'Asset Universe'!$C$3:$O$23,11,0)*VLOOKUP('Hist Cov matrix (stdev)'!S$2,'Asset Universe'!$C$3:$O$23,11,0)</f>
        <v>-3.9624786251351305E-4</v>
      </c>
      <c r="T7" s="44">
        <f ca="1">'Hist Corr matrix'!T7*VLOOKUP('Hist Cov matrix (stdev)'!$B7,'Asset Universe'!$C$3:$O$23,11,0)*VLOOKUP('Hist Cov matrix (stdev)'!T$2,'Asset Universe'!$C$3:$O$23,11,0)</f>
        <v>1.0962928293744699E-3</v>
      </c>
      <c r="U7" s="44">
        <f ca="1">'Hist Corr matrix'!U7*VLOOKUP('Hist Cov matrix (stdev)'!$B7,'Asset Universe'!$C$3:$O$23,11,0)*VLOOKUP('Hist Cov matrix (stdev)'!U$2,'Asset Universe'!$C$3:$O$23,11,0)</f>
        <v>2.1811138317637019E-3</v>
      </c>
      <c r="V7" s="44">
        <f ca="1">'Hist Corr matrix'!V7*VLOOKUP('Hist Cov matrix (stdev)'!$B7,'Asset Universe'!$C$3:$O$23,11,0)*VLOOKUP('Hist Cov matrix (stdev)'!V$2,'Asset Universe'!$C$3:$O$23,11,0)</f>
        <v>-9.4858251126026053E-5</v>
      </c>
      <c r="W7" s="44">
        <f ca="1">'Hist Corr matrix'!W7*VLOOKUP('Hist Cov matrix (stdev)'!$B7,'Asset Universe'!$C$3:$O$23,11,0)*VLOOKUP('Hist Cov matrix (stdev)'!W$2,'Asset Universe'!$C$3:$O$23,11,0)</f>
        <v>2.5172687930452489E-4</v>
      </c>
    </row>
    <row r="8" spans="2:23" ht="23.5" customHeight="1" x14ac:dyDescent="0.35">
      <c r="B8" s="41" t="s">
        <v>100</v>
      </c>
      <c r="C8" s="44">
        <f ca="1">'Hist Corr matrix'!C8*VLOOKUP('Hist Cov matrix (stdev)'!$B8,'Asset Universe'!$C$3:$O$23,11,0)*VLOOKUP('Hist Cov matrix (stdev)'!C$2,'Asset Universe'!$C$3:$O$23,11,0)</f>
        <v>2.4414320169910222E-3</v>
      </c>
      <c r="D8" s="44">
        <f ca="1">'Hist Corr matrix'!D8*VLOOKUP('Hist Cov matrix (stdev)'!$B8,'Asset Universe'!$C$3:$O$23,11,0)*VLOOKUP('Hist Cov matrix (stdev)'!D$2,'Asset Universe'!$C$3:$O$23,11,0)</f>
        <v>5.6983786797504283E-3</v>
      </c>
      <c r="E8" s="44">
        <f ca="1">'Hist Corr matrix'!E8*VLOOKUP('Hist Cov matrix (stdev)'!$B8,'Asset Universe'!$C$3:$O$23,11,0)*VLOOKUP('Hist Cov matrix (stdev)'!E$2,'Asset Universe'!$C$3:$O$23,11,0)</f>
        <v>3.3650793689330174E-3</v>
      </c>
      <c r="F8" s="44">
        <f ca="1">'Hist Corr matrix'!F8*VLOOKUP('Hist Cov matrix (stdev)'!$B8,'Asset Universe'!$C$3:$O$23,11,0)*VLOOKUP('Hist Cov matrix (stdev)'!F$2,'Asset Universe'!$C$3:$O$23,11,0)</f>
        <v>1.7161080745796073E-3</v>
      </c>
      <c r="G8" s="44">
        <f ca="1">'Hist Corr matrix'!G8*VLOOKUP('Hist Cov matrix (stdev)'!$B8,'Asset Universe'!$C$3:$O$23,11,0)*VLOOKUP('Hist Cov matrix (stdev)'!G$2,'Asset Universe'!$C$3:$O$23,11,0)</f>
        <v>2.0838192959398978E-3</v>
      </c>
      <c r="H8" s="44">
        <f ca="1">'Hist Corr matrix'!H8*VLOOKUP('Hist Cov matrix (stdev)'!$B8,'Asset Universe'!$C$3:$O$23,11,0)*VLOOKUP('Hist Cov matrix (stdev)'!H$2,'Asset Universe'!$C$3:$O$23,11,0)</f>
        <v>3.0033220720651703E-3</v>
      </c>
      <c r="I8" s="44">
        <f ca="1">'Hist Corr matrix'!I8*VLOOKUP('Hist Cov matrix (stdev)'!$B8,'Asset Universe'!$C$3:$O$23,11,0)*VLOOKUP('Hist Cov matrix (stdev)'!I$2,'Asset Universe'!$C$3:$O$23,11,0)</f>
        <v>3.3075184353822534E-3</v>
      </c>
      <c r="J8" s="44">
        <f ca="1">'Hist Corr matrix'!J8*VLOOKUP('Hist Cov matrix (stdev)'!$B8,'Asset Universe'!$C$3:$O$23,11,0)*VLOOKUP('Hist Cov matrix (stdev)'!J$2,'Asset Universe'!$C$3:$O$23,11,0)</f>
        <v>3.4485457142555422E-3</v>
      </c>
      <c r="K8" s="44">
        <f ca="1">'Hist Corr matrix'!K8*VLOOKUP('Hist Cov matrix (stdev)'!$B8,'Asset Universe'!$C$3:$O$23,11,0)*VLOOKUP('Hist Cov matrix (stdev)'!K$2,'Asset Universe'!$C$3:$O$23,11,0)</f>
        <v>3.2675497045530793E-3</v>
      </c>
      <c r="L8" s="44">
        <f ca="1">'Hist Corr matrix'!L8*VLOOKUP('Hist Cov matrix (stdev)'!$B8,'Asset Universe'!$C$3:$O$23,11,0)*VLOOKUP('Hist Cov matrix (stdev)'!L$2,'Asset Universe'!$C$3:$O$23,11,0)</f>
        <v>5.8864247959415725E-3</v>
      </c>
      <c r="M8" s="44">
        <f ca="1">'Hist Corr matrix'!M8*VLOOKUP('Hist Cov matrix (stdev)'!$B8,'Asset Universe'!$C$3:$O$23,11,0)*VLOOKUP('Hist Cov matrix (stdev)'!M$2,'Asset Universe'!$C$3:$O$23,11,0)</f>
        <v>2.9968182765522785E-3</v>
      </c>
      <c r="N8" s="44">
        <f ca="1">'Hist Corr matrix'!N8*VLOOKUP('Hist Cov matrix (stdev)'!$B8,'Asset Universe'!$C$3:$O$23,11,0)*VLOOKUP('Hist Cov matrix (stdev)'!N$2,'Asset Universe'!$C$3:$O$23,11,0)</f>
        <v>3.585550405409975E-3</v>
      </c>
      <c r="O8" s="44">
        <f ca="1">'Hist Corr matrix'!O8*VLOOKUP('Hist Cov matrix (stdev)'!$B8,'Asset Universe'!$C$3:$O$23,11,0)*VLOOKUP('Hist Cov matrix (stdev)'!O$2,'Asset Universe'!$C$3:$O$23,11,0)</f>
        <v>2.2958833971742526E-3</v>
      </c>
      <c r="P8" s="44">
        <f ca="1">'Hist Corr matrix'!P8*VLOOKUP('Hist Cov matrix (stdev)'!$B8,'Asset Universe'!$C$3:$O$23,11,0)*VLOOKUP('Hist Cov matrix (stdev)'!P$2,'Asset Universe'!$C$3:$O$23,11,0)</f>
        <v>1.6858709278615778E-3</v>
      </c>
      <c r="Q8" s="44">
        <f ca="1">'Hist Corr matrix'!Q8*VLOOKUP('Hist Cov matrix (stdev)'!$B8,'Asset Universe'!$C$3:$O$23,11,0)*VLOOKUP('Hist Cov matrix (stdev)'!Q$2,'Asset Universe'!$C$3:$O$23,11,0)</f>
        <v>1.206219858350186E-3</v>
      </c>
      <c r="R8" s="44">
        <f ca="1">'Hist Corr matrix'!R8*VLOOKUP('Hist Cov matrix (stdev)'!$B8,'Asset Universe'!$C$3:$O$23,11,0)*VLOOKUP('Hist Cov matrix (stdev)'!R$2,'Asset Universe'!$C$3:$O$23,11,0)</f>
        <v>1.1462809360611892E-3</v>
      </c>
      <c r="S8" s="44">
        <f ca="1">'Hist Corr matrix'!S8*VLOOKUP('Hist Cov matrix (stdev)'!$B8,'Asset Universe'!$C$3:$O$23,11,0)*VLOOKUP('Hist Cov matrix (stdev)'!S$2,'Asset Universe'!$C$3:$O$23,11,0)</f>
        <v>2.213933479937031E-3</v>
      </c>
      <c r="T8" s="44">
        <f ca="1">'Hist Corr matrix'!T8*VLOOKUP('Hist Cov matrix (stdev)'!$B8,'Asset Universe'!$C$3:$O$23,11,0)*VLOOKUP('Hist Cov matrix (stdev)'!T$2,'Asset Universe'!$C$3:$O$23,11,0)</f>
        <v>1.3254913060328209E-3</v>
      </c>
      <c r="U8" s="44">
        <f ca="1">'Hist Corr matrix'!U8*VLOOKUP('Hist Cov matrix (stdev)'!$B8,'Asset Universe'!$C$3:$O$23,11,0)*VLOOKUP('Hist Cov matrix (stdev)'!U$2,'Asset Universe'!$C$3:$O$23,11,0)</f>
        <v>3.8667055218347991E-3</v>
      </c>
      <c r="V8" s="44">
        <f ca="1">'Hist Corr matrix'!V8*VLOOKUP('Hist Cov matrix (stdev)'!$B8,'Asset Universe'!$C$3:$O$23,11,0)*VLOOKUP('Hist Cov matrix (stdev)'!V$2,'Asset Universe'!$C$3:$O$23,11,0)</f>
        <v>1.8293548276170082E-4</v>
      </c>
      <c r="W8" s="44">
        <f ca="1">'Hist Corr matrix'!W8*VLOOKUP('Hist Cov matrix (stdev)'!$B8,'Asset Universe'!$C$3:$O$23,11,0)*VLOOKUP('Hist Cov matrix (stdev)'!W$2,'Asset Universe'!$C$3:$O$23,11,0)</f>
        <v>5.0116361973872128E-4</v>
      </c>
    </row>
    <row r="9" spans="2:23" ht="23.5" customHeight="1" x14ac:dyDescent="0.35">
      <c r="B9" s="41" t="s">
        <v>101</v>
      </c>
      <c r="C9" s="44">
        <f ca="1">'Hist Corr matrix'!C9*VLOOKUP('Hist Cov matrix (stdev)'!$B9,'Asset Universe'!$C$3:$O$23,11,0)*VLOOKUP('Hist Cov matrix (stdev)'!C$2,'Asset Universe'!$C$3:$O$23,11,0)</f>
        <v>2.2652149628306752E-3</v>
      </c>
      <c r="D9" s="44">
        <f ca="1">'Hist Corr matrix'!D9*VLOOKUP('Hist Cov matrix (stdev)'!$B9,'Asset Universe'!$C$3:$O$23,11,0)*VLOOKUP('Hist Cov matrix (stdev)'!D$2,'Asset Universe'!$C$3:$O$23,11,0)</f>
        <v>5.4973875559083674E-3</v>
      </c>
      <c r="E9" s="44">
        <f ca="1">'Hist Corr matrix'!E9*VLOOKUP('Hist Cov matrix (stdev)'!$B9,'Asset Universe'!$C$3:$O$23,11,0)*VLOOKUP('Hist Cov matrix (stdev)'!E$2,'Asset Universe'!$C$3:$O$23,11,0)</f>
        <v>3.7788001343542852E-3</v>
      </c>
      <c r="F9" s="44">
        <f ca="1">'Hist Corr matrix'!F9*VLOOKUP('Hist Cov matrix (stdev)'!$B9,'Asset Universe'!$C$3:$O$23,11,0)*VLOOKUP('Hist Cov matrix (stdev)'!F$2,'Asset Universe'!$C$3:$O$23,11,0)</f>
        <v>1.7174618398849921E-3</v>
      </c>
      <c r="G9" s="44">
        <f ca="1">'Hist Corr matrix'!G9*VLOOKUP('Hist Cov matrix (stdev)'!$B9,'Asset Universe'!$C$3:$O$23,11,0)*VLOOKUP('Hist Cov matrix (stdev)'!G$2,'Asset Universe'!$C$3:$O$23,11,0)</f>
        <v>2.0715316762123315E-3</v>
      </c>
      <c r="H9" s="44">
        <f ca="1">'Hist Corr matrix'!H9*VLOOKUP('Hist Cov matrix (stdev)'!$B9,'Asset Universe'!$C$3:$O$23,11,0)*VLOOKUP('Hist Cov matrix (stdev)'!H$2,'Asset Universe'!$C$3:$O$23,11,0)</f>
        <v>3.3075184353822539E-3</v>
      </c>
      <c r="I9" s="44">
        <f ca="1">'Hist Corr matrix'!I9*VLOOKUP('Hist Cov matrix (stdev)'!$B9,'Asset Universe'!$C$3:$O$23,11,0)*VLOOKUP('Hist Cov matrix (stdev)'!I$2,'Asset Universe'!$C$3:$O$23,11,0)</f>
        <v>3.9365601543494303E-3</v>
      </c>
      <c r="J9" s="44">
        <f ca="1">'Hist Corr matrix'!J9*VLOOKUP('Hist Cov matrix (stdev)'!$B9,'Asset Universe'!$C$3:$O$23,11,0)*VLOOKUP('Hist Cov matrix (stdev)'!J$2,'Asset Universe'!$C$3:$O$23,11,0)</f>
        <v>4.2003852528871878E-3</v>
      </c>
      <c r="K9" s="44">
        <f ca="1">'Hist Corr matrix'!K9*VLOOKUP('Hist Cov matrix (stdev)'!$B9,'Asset Universe'!$C$3:$O$23,11,0)*VLOOKUP('Hist Cov matrix (stdev)'!K$2,'Asset Universe'!$C$3:$O$23,11,0)</f>
        <v>4.7784312711474704E-3</v>
      </c>
      <c r="L9" s="44">
        <f ca="1">'Hist Corr matrix'!L9*VLOOKUP('Hist Cov matrix (stdev)'!$B9,'Asset Universe'!$C$3:$O$23,11,0)*VLOOKUP('Hist Cov matrix (stdev)'!L$2,'Asset Universe'!$C$3:$O$23,11,0)</f>
        <v>8.01188001649796E-3</v>
      </c>
      <c r="M9" s="44">
        <f ca="1">'Hist Corr matrix'!M9*VLOOKUP('Hist Cov matrix (stdev)'!$B9,'Asset Universe'!$C$3:$O$23,11,0)*VLOOKUP('Hist Cov matrix (stdev)'!M$2,'Asset Universe'!$C$3:$O$23,11,0)</f>
        <v>3.5331170813903234E-3</v>
      </c>
      <c r="N9" s="44">
        <f ca="1">'Hist Corr matrix'!N9*VLOOKUP('Hist Cov matrix (stdev)'!$B9,'Asset Universe'!$C$3:$O$23,11,0)*VLOOKUP('Hist Cov matrix (stdev)'!N$2,'Asset Universe'!$C$3:$O$23,11,0)</f>
        <v>3.6421930999165401E-3</v>
      </c>
      <c r="O9" s="44">
        <f ca="1">'Hist Corr matrix'!O9*VLOOKUP('Hist Cov matrix (stdev)'!$B9,'Asset Universe'!$C$3:$O$23,11,0)*VLOOKUP('Hist Cov matrix (stdev)'!O$2,'Asset Universe'!$C$3:$O$23,11,0)</f>
        <v>2.7119772987750936E-3</v>
      </c>
      <c r="P9" s="44">
        <f ca="1">'Hist Corr matrix'!P9*VLOOKUP('Hist Cov matrix (stdev)'!$B9,'Asset Universe'!$C$3:$O$23,11,0)*VLOOKUP('Hist Cov matrix (stdev)'!P$2,'Asset Universe'!$C$3:$O$23,11,0)</f>
        <v>2.2014189618715986E-3</v>
      </c>
      <c r="Q9" s="44">
        <f ca="1">'Hist Corr matrix'!Q9*VLOOKUP('Hist Cov matrix (stdev)'!$B9,'Asset Universe'!$C$3:$O$23,11,0)*VLOOKUP('Hist Cov matrix (stdev)'!Q$2,'Asset Universe'!$C$3:$O$23,11,0)</f>
        <v>1.4807651854530435E-3</v>
      </c>
      <c r="R9" s="44">
        <f ca="1">'Hist Corr matrix'!R9*VLOOKUP('Hist Cov matrix (stdev)'!$B9,'Asset Universe'!$C$3:$O$23,11,0)*VLOOKUP('Hist Cov matrix (stdev)'!R$2,'Asset Universe'!$C$3:$O$23,11,0)</f>
        <v>1.3747507556375951E-3</v>
      </c>
      <c r="S9" s="44">
        <f ca="1">'Hist Corr matrix'!S9*VLOOKUP('Hist Cov matrix (stdev)'!$B9,'Asset Universe'!$C$3:$O$23,11,0)*VLOOKUP('Hist Cov matrix (stdev)'!S$2,'Asset Universe'!$C$3:$O$23,11,0)</f>
        <v>3.4241453570900749E-3</v>
      </c>
      <c r="T9" s="44">
        <f ca="1">'Hist Corr matrix'!T9*VLOOKUP('Hist Cov matrix (stdev)'!$B9,'Asset Universe'!$C$3:$O$23,11,0)*VLOOKUP('Hist Cov matrix (stdev)'!T$2,'Asset Universe'!$C$3:$O$23,11,0)</f>
        <v>1.4593347352209244E-3</v>
      </c>
      <c r="U9" s="44">
        <f ca="1">'Hist Corr matrix'!U9*VLOOKUP('Hist Cov matrix (stdev)'!$B9,'Asset Universe'!$C$3:$O$23,11,0)*VLOOKUP('Hist Cov matrix (stdev)'!U$2,'Asset Universe'!$C$3:$O$23,11,0)</f>
        <v>4.5758149462510325E-3</v>
      </c>
      <c r="V9" s="44">
        <f ca="1">'Hist Corr matrix'!V9*VLOOKUP('Hist Cov matrix (stdev)'!$B9,'Asset Universe'!$C$3:$O$23,11,0)*VLOOKUP('Hist Cov matrix (stdev)'!V$2,'Asset Universe'!$C$3:$O$23,11,0)</f>
        <v>8.3664605246935289E-4</v>
      </c>
      <c r="W9" s="44">
        <f ca="1">'Hist Corr matrix'!W9*VLOOKUP('Hist Cov matrix (stdev)'!$B9,'Asset Universe'!$C$3:$O$23,11,0)*VLOOKUP('Hist Cov matrix (stdev)'!W$2,'Asset Universe'!$C$3:$O$23,11,0)</f>
        <v>8.9549059044370161E-4</v>
      </c>
    </row>
    <row r="10" spans="2:23" ht="23.5" customHeight="1" x14ac:dyDescent="0.35">
      <c r="B10" s="41" t="s">
        <v>102</v>
      </c>
      <c r="C10" s="44">
        <f ca="1">'Hist Corr matrix'!C10*VLOOKUP('Hist Cov matrix (stdev)'!$B10,'Asset Universe'!$C$3:$O$23,11,0)*VLOOKUP('Hist Cov matrix (stdev)'!C$2,'Asset Universe'!$C$3:$O$23,11,0)</f>
        <v>1.9967310239490002E-3</v>
      </c>
      <c r="D10" s="44">
        <f ca="1">'Hist Corr matrix'!D10*VLOOKUP('Hist Cov matrix (stdev)'!$B10,'Asset Universe'!$C$3:$O$23,11,0)*VLOOKUP('Hist Cov matrix (stdev)'!D$2,'Asset Universe'!$C$3:$O$23,11,0)</f>
        <v>4.9805020587285042E-3</v>
      </c>
      <c r="E10" s="44">
        <f ca="1">'Hist Corr matrix'!E10*VLOOKUP('Hist Cov matrix (stdev)'!$B10,'Asset Universe'!$C$3:$O$23,11,0)*VLOOKUP('Hist Cov matrix (stdev)'!E$2,'Asset Universe'!$C$3:$O$23,11,0)</f>
        <v>4.1872813209380046E-3</v>
      </c>
      <c r="F10" s="44">
        <f ca="1">'Hist Corr matrix'!F10*VLOOKUP('Hist Cov matrix (stdev)'!$B10,'Asset Universe'!$C$3:$O$23,11,0)*VLOOKUP('Hist Cov matrix (stdev)'!F$2,'Asset Universe'!$C$3:$O$23,11,0)</f>
        <v>1.7437284135168143E-3</v>
      </c>
      <c r="G10" s="44">
        <f ca="1">'Hist Corr matrix'!G10*VLOOKUP('Hist Cov matrix (stdev)'!$B10,'Asset Universe'!$C$3:$O$23,11,0)*VLOOKUP('Hist Cov matrix (stdev)'!G$2,'Asset Universe'!$C$3:$O$23,11,0)</f>
        <v>2.0240489773269738E-3</v>
      </c>
      <c r="H10" s="44">
        <f ca="1">'Hist Corr matrix'!H10*VLOOKUP('Hist Cov matrix (stdev)'!$B10,'Asset Universe'!$C$3:$O$23,11,0)*VLOOKUP('Hist Cov matrix (stdev)'!H$2,'Asset Universe'!$C$3:$O$23,11,0)</f>
        <v>3.4485457142555426E-3</v>
      </c>
      <c r="I10" s="44">
        <f ca="1">'Hist Corr matrix'!I10*VLOOKUP('Hist Cov matrix (stdev)'!$B10,'Asset Universe'!$C$3:$O$23,11,0)*VLOOKUP('Hist Cov matrix (stdev)'!I$2,'Asset Universe'!$C$3:$O$23,11,0)</f>
        <v>4.2003852528871887E-3</v>
      </c>
      <c r="J10" s="44">
        <f ca="1">'Hist Corr matrix'!J10*VLOOKUP('Hist Cov matrix (stdev)'!$B10,'Asset Universe'!$C$3:$O$23,11,0)*VLOOKUP('Hist Cov matrix (stdev)'!J$2,'Asset Universe'!$C$3:$O$23,11,0)</f>
        <v>5.2201212926573171E-3</v>
      </c>
      <c r="K10" s="44">
        <f ca="1">'Hist Corr matrix'!K10*VLOOKUP('Hist Cov matrix (stdev)'!$B10,'Asset Universe'!$C$3:$O$23,11,0)*VLOOKUP('Hist Cov matrix (stdev)'!K$2,'Asset Universe'!$C$3:$O$23,11,0)</f>
        <v>6.8227758499355999E-3</v>
      </c>
      <c r="L10" s="44">
        <f ca="1">'Hist Corr matrix'!L10*VLOOKUP('Hist Cov matrix (stdev)'!$B10,'Asset Universe'!$C$3:$O$23,11,0)*VLOOKUP('Hist Cov matrix (stdev)'!L$2,'Asset Universe'!$C$3:$O$23,11,0)</f>
        <v>1.0868391708987886E-2</v>
      </c>
      <c r="M10" s="44">
        <f ca="1">'Hist Corr matrix'!M10*VLOOKUP('Hist Cov matrix (stdev)'!$B10,'Asset Universe'!$C$3:$O$23,11,0)*VLOOKUP('Hist Cov matrix (stdev)'!M$2,'Asset Universe'!$C$3:$O$23,11,0)</f>
        <v>4.129180634445985E-3</v>
      </c>
      <c r="N10" s="44">
        <f ca="1">'Hist Corr matrix'!N10*VLOOKUP('Hist Cov matrix (stdev)'!$B10,'Asset Universe'!$C$3:$O$23,11,0)*VLOOKUP('Hist Cov matrix (stdev)'!N$2,'Asset Universe'!$C$3:$O$23,11,0)</f>
        <v>3.8232114070961853E-3</v>
      </c>
      <c r="O10" s="44">
        <f ca="1">'Hist Corr matrix'!O10*VLOOKUP('Hist Cov matrix (stdev)'!$B10,'Asset Universe'!$C$3:$O$23,11,0)*VLOOKUP('Hist Cov matrix (stdev)'!O$2,'Asset Universe'!$C$3:$O$23,11,0)</f>
        <v>3.180208467838909E-3</v>
      </c>
      <c r="P10" s="44">
        <f ca="1">'Hist Corr matrix'!P10*VLOOKUP('Hist Cov matrix (stdev)'!$B10,'Asset Universe'!$C$3:$O$23,11,0)*VLOOKUP('Hist Cov matrix (stdev)'!P$2,'Asset Universe'!$C$3:$O$23,11,0)</f>
        <v>2.8555944188677425E-3</v>
      </c>
      <c r="Q10" s="44">
        <f ca="1">'Hist Corr matrix'!Q10*VLOOKUP('Hist Cov matrix (stdev)'!$B10,'Asset Universe'!$C$3:$O$23,11,0)*VLOOKUP('Hist Cov matrix (stdev)'!Q$2,'Asset Universe'!$C$3:$O$23,11,0)</f>
        <v>1.8474675381290589E-3</v>
      </c>
      <c r="R10" s="44">
        <f ca="1">'Hist Corr matrix'!R10*VLOOKUP('Hist Cov matrix (stdev)'!$B10,'Asset Universe'!$C$3:$O$23,11,0)*VLOOKUP('Hist Cov matrix (stdev)'!R$2,'Asset Universe'!$C$3:$O$23,11,0)</f>
        <v>1.8775237204676513E-3</v>
      </c>
      <c r="S10" s="44">
        <f ca="1">'Hist Corr matrix'!S10*VLOOKUP('Hist Cov matrix (stdev)'!$B10,'Asset Universe'!$C$3:$O$23,11,0)*VLOOKUP('Hist Cov matrix (stdev)'!S$2,'Asset Universe'!$C$3:$O$23,11,0)</f>
        <v>6.2781025421678703E-3</v>
      </c>
      <c r="T10" s="44">
        <f ca="1">'Hist Corr matrix'!T10*VLOOKUP('Hist Cov matrix (stdev)'!$B10,'Asset Universe'!$C$3:$O$23,11,0)*VLOOKUP('Hist Cov matrix (stdev)'!T$2,'Asset Universe'!$C$3:$O$23,11,0)</f>
        <v>1.4534614868058347E-3</v>
      </c>
      <c r="U10" s="44">
        <f ca="1">'Hist Corr matrix'!U10*VLOOKUP('Hist Cov matrix (stdev)'!$B10,'Asset Universe'!$C$3:$O$23,11,0)*VLOOKUP('Hist Cov matrix (stdev)'!U$2,'Asset Universe'!$C$3:$O$23,11,0)</f>
        <v>5.4840266285091591E-3</v>
      </c>
      <c r="V10" s="44">
        <f ca="1">'Hist Corr matrix'!V10*VLOOKUP('Hist Cov matrix (stdev)'!$B10,'Asset Universe'!$C$3:$O$23,11,0)*VLOOKUP('Hist Cov matrix (stdev)'!V$2,'Asset Universe'!$C$3:$O$23,11,0)</f>
        <v>4.3483452214768489E-4</v>
      </c>
      <c r="W10" s="44">
        <f ca="1">'Hist Corr matrix'!W10*VLOOKUP('Hist Cov matrix (stdev)'!$B10,'Asset Universe'!$C$3:$O$23,11,0)*VLOOKUP('Hist Cov matrix (stdev)'!W$2,'Asset Universe'!$C$3:$O$23,11,0)</f>
        <v>6.1987369318742668E-4</v>
      </c>
    </row>
    <row r="11" spans="2:23" ht="23.5" customHeight="1" x14ac:dyDescent="0.35">
      <c r="B11" s="41" t="s">
        <v>93</v>
      </c>
      <c r="C11" s="44">
        <f ca="1">'Hist Corr matrix'!C11*VLOOKUP('Hist Cov matrix (stdev)'!$B11,'Asset Universe'!$C$3:$O$23,11,0)*VLOOKUP('Hist Cov matrix (stdev)'!C$2,'Asset Universe'!$C$3:$O$23,11,0)</f>
        <v>-2.5495264892678342E-4</v>
      </c>
      <c r="D11" s="44">
        <f ca="1">'Hist Corr matrix'!D11*VLOOKUP('Hist Cov matrix (stdev)'!$B11,'Asset Universe'!$C$3:$O$23,11,0)*VLOOKUP('Hist Cov matrix (stdev)'!D$2,'Asset Universe'!$C$3:$O$23,11,0)</f>
        <v>-4.8939366789122331E-4</v>
      </c>
      <c r="E11" s="44">
        <f ca="1">'Hist Corr matrix'!E11*VLOOKUP('Hist Cov matrix (stdev)'!$B11,'Asset Universe'!$C$3:$O$23,11,0)*VLOOKUP('Hist Cov matrix (stdev)'!E$2,'Asset Universe'!$C$3:$O$23,11,0)</f>
        <v>4.6540812264233402E-3</v>
      </c>
      <c r="F11" s="44">
        <f ca="1">'Hist Corr matrix'!F11*VLOOKUP('Hist Cov matrix (stdev)'!$B11,'Asset Universe'!$C$3:$O$23,11,0)*VLOOKUP('Hist Cov matrix (stdev)'!F$2,'Asset Universe'!$C$3:$O$23,11,0)</f>
        <v>8.6044005564831383E-4</v>
      </c>
      <c r="G11" s="44">
        <f ca="1">'Hist Corr matrix'!G11*VLOOKUP('Hist Cov matrix (stdev)'!$B11,'Asset Universe'!$C$3:$O$23,11,0)*VLOOKUP('Hist Cov matrix (stdev)'!G$2,'Asset Universe'!$C$3:$O$23,11,0)</f>
        <v>9.1513964816016544E-4</v>
      </c>
      <c r="H11" s="44">
        <f ca="1">'Hist Corr matrix'!H11*VLOOKUP('Hist Cov matrix (stdev)'!$B11,'Asset Universe'!$C$3:$O$23,11,0)*VLOOKUP('Hist Cov matrix (stdev)'!H$2,'Asset Universe'!$C$3:$O$23,11,0)</f>
        <v>3.2675497045530793E-3</v>
      </c>
      <c r="I11" s="44">
        <f ca="1">'Hist Corr matrix'!I11*VLOOKUP('Hist Cov matrix (stdev)'!$B11,'Asset Universe'!$C$3:$O$23,11,0)*VLOOKUP('Hist Cov matrix (stdev)'!I$2,'Asset Universe'!$C$3:$O$23,11,0)</f>
        <v>4.7784312711474704E-3</v>
      </c>
      <c r="J11" s="44">
        <f ca="1">'Hist Corr matrix'!J11*VLOOKUP('Hist Cov matrix (stdev)'!$B11,'Asset Universe'!$C$3:$O$23,11,0)*VLOOKUP('Hist Cov matrix (stdev)'!J$2,'Asset Universe'!$C$3:$O$23,11,0)</f>
        <v>6.8227758499355999E-3</v>
      </c>
      <c r="K11" s="44">
        <f ca="1">'Hist Corr matrix'!K11*VLOOKUP('Hist Cov matrix (stdev)'!$B11,'Asset Universe'!$C$3:$O$23,11,0)*VLOOKUP('Hist Cov matrix (stdev)'!K$2,'Asset Universe'!$C$3:$O$23,11,0)</f>
        <v>1.5530372780674234E-2</v>
      </c>
      <c r="L11" s="44">
        <f ca="1">'Hist Corr matrix'!L11*VLOOKUP('Hist Cov matrix (stdev)'!$B11,'Asset Universe'!$C$3:$O$23,11,0)*VLOOKUP('Hist Cov matrix (stdev)'!L$2,'Asset Universe'!$C$3:$O$23,11,0)</f>
        <v>2.1294248050307531E-2</v>
      </c>
      <c r="M11" s="44">
        <f ca="1">'Hist Corr matrix'!M11*VLOOKUP('Hist Cov matrix (stdev)'!$B11,'Asset Universe'!$C$3:$O$23,11,0)*VLOOKUP('Hist Cov matrix (stdev)'!M$2,'Asset Universe'!$C$3:$O$23,11,0)</f>
        <v>5.5726846421334138E-3</v>
      </c>
      <c r="N11" s="44">
        <f ca="1">'Hist Corr matrix'!N11*VLOOKUP('Hist Cov matrix (stdev)'!$B11,'Asset Universe'!$C$3:$O$23,11,0)*VLOOKUP('Hist Cov matrix (stdev)'!N$2,'Asset Universe'!$C$3:$O$23,11,0)</f>
        <v>2.5443789760802747E-3</v>
      </c>
      <c r="O11" s="44">
        <f ca="1">'Hist Corr matrix'!O11*VLOOKUP('Hist Cov matrix (stdev)'!$B11,'Asset Universe'!$C$3:$O$23,11,0)*VLOOKUP('Hist Cov matrix (stdev)'!O$2,'Asset Universe'!$C$3:$O$23,11,0)</f>
        <v>6.5822413076031955E-3</v>
      </c>
      <c r="P11" s="44">
        <f ca="1">'Hist Corr matrix'!P11*VLOOKUP('Hist Cov matrix (stdev)'!$B11,'Asset Universe'!$C$3:$O$23,11,0)*VLOOKUP('Hist Cov matrix (stdev)'!P$2,'Asset Universe'!$C$3:$O$23,11,0)</f>
        <v>4.2880086543352408E-3</v>
      </c>
      <c r="Q11" s="44">
        <f ca="1">'Hist Corr matrix'!Q11*VLOOKUP('Hist Cov matrix (stdev)'!$B11,'Asset Universe'!$C$3:$O$23,11,0)*VLOOKUP('Hist Cov matrix (stdev)'!Q$2,'Asset Universe'!$C$3:$O$23,11,0)</f>
        <v>3.2022045775996909E-3</v>
      </c>
      <c r="R11" s="44">
        <f ca="1">'Hist Corr matrix'!R11*VLOOKUP('Hist Cov matrix (stdev)'!$B11,'Asset Universe'!$C$3:$O$23,11,0)*VLOOKUP('Hist Cov matrix (stdev)'!R$2,'Asset Universe'!$C$3:$O$23,11,0)</f>
        <v>3.3176217120749465E-3</v>
      </c>
      <c r="S11" s="44">
        <f ca="1">'Hist Corr matrix'!S11*VLOOKUP('Hist Cov matrix (stdev)'!$B11,'Asset Universe'!$C$3:$O$23,11,0)*VLOOKUP('Hist Cov matrix (stdev)'!S$2,'Asset Universe'!$C$3:$O$23,11,0)</f>
        <v>1.3694509730272791E-2</v>
      </c>
      <c r="T11" s="44">
        <f ca="1">'Hist Corr matrix'!T11*VLOOKUP('Hist Cov matrix (stdev)'!$B11,'Asset Universe'!$C$3:$O$23,11,0)*VLOOKUP('Hist Cov matrix (stdev)'!T$2,'Asset Universe'!$C$3:$O$23,11,0)</f>
        <v>1.5884095415718378E-3</v>
      </c>
      <c r="U11" s="44">
        <f ca="1">'Hist Corr matrix'!U11*VLOOKUP('Hist Cov matrix (stdev)'!$B11,'Asset Universe'!$C$3:$O$23,11,0)*VLOOKUP('Hist Cov matrix (stdev)'!U$2,'Asset Universe'!$C$3:$O$23,11,0)</f>
        <v>1.1392101939172873E-2</v>
      </c>
      <c r="V11" s="44">
        <f ca="1">'Hist Corr matrix'!V11*VLOOKUP('Hist Cov matrix (stdev)'!$B11,'Asset Universe'!$C$3:$O$23,11,0)*VLOOKUP('Hist Cov matrix (stdev)'!V$2,'Asset Universe'!$C$3:$O$23,11,0)</f>
        <v>8.5286149926847628E-4</v>
      </c>
      <c r="W11" s="44">
        <f ca="1">'Hist Corr matrix'!W11*VLOOKUP('Hist Cov matrix (stdev)'!$B11,'Asset Universe'!$C$3:$O$23,11,0)*VLOOKUP('Hist Cov matrix (stdev)'!W$2,'Asset Universe'!$C$3:$O$23,11,0)</f>
        <v>2.0608061761605932E-3</v>
      </c>
    </row>
    <row r="12" spans="2:23" ht="23.5" customHeight="1" x14ac:dyDescent="0.35">
      <c r="B12" s="41" t="s">
        <v>103</v>
      </c>
      <c r="C12" s="44">
        <f ca="1">'Hist Corr matrix'!C12*VLOOKUP('Hist Cov matrix (stdev)'!$B12,'Asset Universe'!$C$3:$O$23,11,0)*VLOOKUP('Hist Cov matrix (stdev)'!C$2,'Asset Universe'!$C$3:$O$23,11,0)</f>
        <v>9.1933160741918961E-4</v>
      </c>
      <c r="D12" s="44">
        <f ca="1">'Hist Corr matrix'!D12*VLOOKUP('Hist Cov matrix (stdev)'!$B12,'Asset Universe'!$C$3:$O$23,11,0)*VLOOKUP('Hist Cov matrix (stdev)'!D$2,'Asset Universe'!$C$3:$O$23,11,0)</f>
        <v>2.8659033940876245E-3</v>
      </c>
      <c r="E12" s="44">
        <f ca="1">'Hist Corr matrix'!E12*VLOOKUP('Hist Cov matrix (stdev)'!$B12,'Asset Universe'!$C$3:$O$23,11,0)*VLOOKUP('Hist Cov matrix (stdev)'!E$2,'Asset Universe'!$C$3:$O$23,11,0)</f>
        <v>7.8332613259699917E-3</v>
      </c>
      <c r="F12" s="44">
        <f ca="1">'Hist Corr matrix'!F12*VLOOKUP('Hist Cov matrix (stdev)'!$B12,'Asset Universe'!$C$3:$O$23,11,0)*VLOOKUP('Hist Cov matrix (stdev)'!F$2,'Asset Universe'!$C$3:$O$23,11,0)</f>
        <v>1.9738281745280625E-3</v>
      </c>
      <c r="G12" s="44">
        <f ca="1">'Hist Corr matrix'!G12*VLOOKUP('Hist Cov matrix (stdev)'!$B12,'Asset Universe'!$C$3:$O$23,11,0)*VLOOKUP('Hist Cov matrix (stdev)'!G$2,'Asset Universe'!$C$3:$O$23,11,0)</f>
        <v>2.2538950525995928E-3</v>
      </c>
      <c r="H12" s="44">
        <f ca="1">'Hist Corr matrix'!H12*VLOOKUP('Hist Cov matrix (stdev)'!$B12,'Asset Universe'!$C$3:$O$23,11,0)*VLOOKUP('Hist Cov matrix (stdev)'!H$2,'Asset Universe'!$C$3:$O$23,11,0)</f>
        <v>5.8864247959415725E-3</v>
      </c>
      <c r="I12" s="44">
        <f ca="1">'Hist Corr matrix'!I12*VLOOKUP('Hist Cov matrix (stdev)'!$B12,'Asset Universe'!$C$3:$O$23,11,0)*VLOOKUP('Hist Cov matrix (stdev)'!I$2,'Asset Universe'!$C$3:$O$23,11,0)</f>
        <v>8.01188001649796E-3</v>
      </c>
      <c r="J12" s="44">
        <f ca="1">'Hist Corr matrix'!J12*VLOOKUP('Hist Cov matrix (stdev)'!$B12,'Asset Universe'!$C$3:$O$23,11,0)*VLOOKUP('Hist Cov matrix (stdev)'!J$2,'Asset Universe'!$C$3:$O$23,11,0)</f>
        <v>1.0868391708987887E-2</v>
      </c>
      <c r="K12" s="44">
        <f ca="1">'Hist Corr matrix'!K12*VLOOKUP('Hist Cov matrix (stdev)'!$B12,'Asset Universe'!$C$3:$O$23,11,0)*VLOOKUP('Hist Cov matrix (stdev)'!K$2,'Asset Universe'!$C$3:$O$23,11,0)</f>
        <v>2.1294248050307534E-2</v>
      </c>
      <c r="L12" s="44">
        <f ca="1">'Hist Corr matrix'!L12*VLOOKUP('Hist Cov matrix (stdev)'!$B12,'Asset Universe'!$C$3:$O$23,11,0)*VLOOKUP('Hist Cov matrix (stdev)'!L$2,'Asset Universe'!$C$3:$O$23,11,0)</f>
        <v>3.2546287618515184E-2</v>
      </c>
      <c r="M12" s="44">
        <f ca="1">'Hist Corr matrix'!M12*VLOOKUP('Hist Cov matrix (stdev)'!$B12,'Asset Universe'!$C$3:$O$23,11,0)*VLOOKUP('Hist Cov matrix (stdev)'!M$2,'Asset Universe'!$C$3:$O$23,11,0)</f>
        <v>8.6836099027886859E-3</v>
      </c>
      <c r="N12" s="44">
        <f ca="1">'Hist Corr matrix'!N12*VLOOKUP('Hist Cov matrix (stdev)'!$B12,'Asset Universe'!$C$3:$O$23,11,0)*VLOOKUP('Hist Cov matrix (stdev)'!N$2,'Asset Universe'!$C$3:$O$23,11,0)</f>
        <v>5.2062026057645054E-3</v>
      </c>
      <c r="O12" s="44">
        <f ca="1">'Hist Corr matrix'!O12*VLOOKUP('Hist Cov matrix (stdev)'!$B12,'Asset Universe'!$C$3:$O$23,11,0)*VLOOKUP('Hist Cov matrix (stdev)'!O$2,'Asset Universe'!$C$3:$O$23,11,0)</f>
        <v>9.1626158320881734E-3</v>
      </c>
      <c r="P12" s="44">
        <f ca="1">'Hist Corr matrix'!P12*VLOOKUP('Hist Cov matrix (stdev)'!$B12,'Asset Universe'!$C$3:$O$23,11,0)*VLOOKUP('Hist Cov matrix (stdev)'!P$2,'Asset Universe'!$C$3:$O$23,11,0)</f>
        <v>6.3427984030719987E-3</v>
      </c>
      <c r="Q12" s="44">
        <f ca="1">'Hist Corr matrix'!Q12*VLOOKUP('Hist Cov matrix (stdev)'!$B12,'Asset Universe'!$C$3:$O$23,11,0)*VLOOKUP('Hist Cov matrix (stdev)'!Q$2,'Asset Universe'!$C$3:$O$23,11,0)</f>
        <v>5.1604301931303855E-3</v>
      </c>
      <c r="R12" s="44">
        <f ca="1">'Hist Corr matrix'!R12*VLOOKUP('Hist Cov matrix (stdev)'!$B12,'Asset Universe'!$C$3:$O$23,11,0)*VLOOKUP('Hist Cov matrix (stdev)'!R$2,'Asset Universe'!$C$3:$O$23,11,0)</f>
        <v>5.2647593377965979E-3</v>
      </c>
      <c r="S12" s="44">
        <f ca="1">'Hist Corr matrix'!S12*VLOOKUP('Hist Cov matrix (stdev)'!$B12,'Asset Universe'!$C$3:$O$23,11,0)*VLOOKUP('Hist Cov matrix (stdev)'!S$2,'Asset Universe'!$C$3:$O$23,11,0)</f>
        <v>1.8340350990485303E-2</v>
      </c>
      <c r="T12" s="44">
        <f ca="1">'Hist Corr matrix'!T12*VLOOKUP('Hist Cov matrix (stdev)'!$B12,'Asset Universe'!$C$3:$O$23,11,0)*VLOOKUP('Hist Cov matrix (stdev)'!T$2,'Asset Universe'!$C$3:$O$23,11,0)</f>
        <v>2.5879389945875444E-3</v>
      </c>
      <c r="U12" s="44">
        <f ca="1">'Hist Corr matrix'!U12*VLOOKUP('Hist Cov matrix (stdev)'!$B12,'Asset Universe'!$C$3:$O$23,11,0)*VLOOKUP('Hist Cov matrix (stdev)'!U$2,'Asset Universe'!$C$3:$O$23,11,0)</f>
        <v>1.5829704212531947E-2</v>
      </c>
      <c r="V12" s="44">
        <f ca="1">'Hist Corr matrix'!V12*VLOOKUP('Hist Cov matrix (stdev)'!$B12,'Asset Universe'!$C$3:$O$23,11,0)*VLOOKUP('Hist Cov matrix (stdev)'!V$2,'Asset Universe'!$C$3:$O$23,11,0)</f>
        <v>1.8142330876714445E-3</v>
      </c>
      <c r="W12" s="44">
        <f ca="1">'Hist Corr matrix'!W12*VLOOKUP('Hist Cov matrix (stdev)'!$B12,'Asset Universe'!$C$3:$O$23,11,0)*VLOOKUP('Hist Cov matrix (stdev)'!W$2,'Asset Universe'!$C$3:$O$23,11,0)</f>
        <v>2.9046679582454358E-3</v>
      </c>
    </row>
    <row r="13" spans="2:23" ht="23.5" customHeight="1" x14ac:dyDescent="0.35">
      <c r="B13" s="41" t="s">
        <v>104</v>
      </c>
      <c r="C13" s="44">
        <f ca="1">'Hist Corr matrix'!C13*VLOOKUP('Hist Cov matrix (stdev)'!$B13,'Asset Universe'!$C$3:$O$23,11,0)*VLOOKUP('Hist Cov matrix (stdev)'!C$2,'Asset Universe'!$C$3:$O$23,11,0)</f>
        <v>2.4386923763158111E-3</v>
      </c>
      <c r="D13" s="44">
        <f ca="1">'Hist Corr matrix'!D13*VLOOKUP('Hist Cov matrix (stdev)'!$B13,'Asset Universe'!$C$3:$O$23,11,0)*VLOOKUP('Hist Cov matrix (stdev)'!D$2,'Asset Universe'!$C$3:$O$23,11,0)</f>
        <v>5.4801919329605028E-3</v>
      </c>
      <c r="E13" s="44">
        <f ca="1">'Hist Corr matrix'!E13*VLOOKUP('Hist Cov matrix (stdev)'!$B13,'Asset Universe'!$C$3:$O$23,11,0)*VLOOKUP('Hist Cov matrix (stdev)'!E$2,'Asset Universe'!$C$3:$O$23,11,0)</f>
        <v>3.9788400872260666E-3</v>
      </c>
      <c r="F13" s="44">
        <f ca="1">'Hist Corr matrix'!F13*VLOOKUP('Hist Cov matrix (stdev)'!$B13,'Asset Universe'!$C$3:$O$23,11,0)*VLOOKUP('Hist Cov matrix (stdev)'!F$2,'Asset Universe'!$C$3:$O$23,11,0)</f>
        <v>2.0402513494108469E-3</v>
      </c>
      <c r="G13" s="44">
        <f ca="1">'Hist Corr matrix'!G13*VLOOKUP('Hist Cov matrix (stdev)'!$B13,'Asset Universe'!$C$3:$O$23,11,0)*VLOOKUP('Hist Cov matrix (stdev)'!G$2,'Asset Universe'!$C$3:$O$23,11,0)</f>
        <v>2.0208823978538995E-3</v>
      </c>
      <c r="H13" s="44">
        <f ca="1">'Hist Corr matrix'!H13*VLOOKUP('Hist Cov matrix (stdev)'!$B13,'Asset Universe'!$C$3:$O$23,11,0)*VLOOKUP('Hist Cov matrix (stdev)'!H$2,'Asset Universe'!$C$3:$O$23,11,0)</f>
        <v>2.9968182765522781E-3</v>
      </c>
      <c r="I13" s="44">
        <f ca="1">'Hist Corr matrix'!I13*VLOOKUP('Hist Cov matrix (stdev)'!$B13,'Asset Universe'!$C$3:$O$23,11,0)*VLOOKUP('Hist Cov matrix (stdev)'!I$2,'Asset Universe'!$C$3:$O$23,11,0)</f>
        <v>3.5331170813903234E-3</v>
      </c>
      <c r="J13" s="44">
        <f ca="1">'Hist Corr matrix'!J13*VLOOKUP('Hist Cov matrix (stdev)'!$B13,'Asset Universe'!$C$3:$O$23,11,0)*VLOOKUP('Hist Cov matrix (stdev)'!J$2,'Asset Universe'!$C$3:$O$23,11,0)</f>
        <v>4.129180634445985E-3</v>
      </c>
      <c r="K13" s="44">
        <f ca="1">'Hist Corr matrix'!K13*VLOOKUP('Hist Cov matrix (stdev)'!$B13,'Asset Universe'!$C$3:$O$23,11,0)*VLOOKUP('Hist Cov matrix (stdev)'!K$2,'Asset Universe'!$C$3:$O$23,11,0)</f>
        <v>5.5726846421334138E-3</v>
      </c>
      <c r="L13" s="44">
        <f ca="1">'Hist Corr matrix'!L13*VLOOKUP('Hist Cov matrix (stdev)'!$B13,'Asset Universe'!$C$3:$O$23,11,0)*VLOOKUP('Hist Cov matrix (stdev)'!L$2,'Asset Universe'!$C$3:$O$23,11,0)</f>
        <v>8.6836099027886859E-3</v>
      </c>
      <c r="M13" s="44">
        <f ca="1">'Hist Corr matrix'!M13*VLOOKUP('Hist Cov matrix (stdev)'!$B13,'Asset Universe'!$C$3:$O$23,11,0)*VLOOKUP('Hist Cov matrix (stdev)'!M$2,'Asset Universe'!$C$3:$O$23,11,0)</f>
        <v>3.5866994511281453E-3</v>
      </c>
      <c r="N13" s="44">
        <f ca="1">'Hist Corr matrix'!N13*VLOOKUP('Hist Cov matrix (stdev)'!$B13,'Asset Universe'!$C$3:$O$23,11,0)*VLOOKUP('Hist Cov matrix (stdev)'!N$2,'Asset Universe'!$C$3:$O$23,11,0)</f>
        <v>3.7777349360181324E-3</v>
      </c>
      <c r="O13" s="44">
        <f ca="1">'Hist Corr matrix'!O13*VLOOKUP('Hist Cov matrix (stdev)'!$B13,'Asset Universe'!$C$3:$O$23,11,0)*VLOOKUP('Hist Cov matrix (stdev)'!O$2,'Asset Universe'!$C$3:$O$23,11,0)</f>
        <v>4.1412295563372468E-3</v>
      </c>
      <c r="P13" s="44">
        <f ca="1">'Hist Corr matrix'!P13*VLOOKUP('Hist Cov matrix (stdev)'!$B13,'Asset Universe'!$C$3:$O$23,11,0)*VLOOKUP('Hist Cov matrix (stdev)'!P$2,'Asset Universe'!$C$3:$O$23,11,0)</f>
        <v>2.9286923684422378E-3</v>
      </c>
      <c r="Q13" s="44">
        <f ca="1">'Hist Corr matrix'!Q13*VLOOKUP('Hist Cov matrix (stdev)'!$B13,'Asset Universe'!$C$3:$O$23,11,0)*VLOOKUP('Hist Cov matrix (stdev)'!Q$2,'Asset Universe'!$C$3:$O$23,11,0)</f>
        <v>1.4390268238499598E-3</v>
      </c>
      <c r="R13" s="44">
        <f ca="1">'Hist Corr matrix'!R13*VLOOKUP('Hist Cov matrix (stdev)'!$B13,'Asset Universe'!$C$3:$O$23,11,0)*VLOOKUP('Hist Cov matrix (stdev)'!R$2,'Asset Universe'!$C$3:$O$23,11,0)</f>
        <v>1.5132408064060033E-3</v>
      </c>
      <c r="S13" s="44">
        <f ca="1">'Hist Corr matrix'!S13*VLOOKUP('Hist Cov matrix (stdev)'!$B13,'Asset Universe'!$C$3:$O$23,11,0)*VLOOKUP('Hist Cov matrix (stdev)'!S$2,'Asset Universe'!$C$3:$O$23,11,0)</f>
        <v>4.6651014622066727E-3</v>
      </c>
      <c r="T13" s="44">
        <f ca="1">'Hist Corr matrix'!T13*VLOOKUP('Hist Cov matrix (stdev)'!$B13,'Asset Universe'!$C$3:$O$23,11,0)*VLOOKUP('Hist Cov matrix (stdev)'!T$2,'Asset Universe'!$C$3:$O$23,11,0)</f>
        <v>1.2537279285351097E-3</v>
      </c>
      <c r="U13" s="44">
        <f ca="1">'Hist Corr matrix'!U13*VLOOKUP('Hist Cov matrix (stdev)'!$B13,'Asset Universe'!$C$3:$O$23,11,0)*VLOOKUP('Hist Cov matrix (stdev)'!U$2,'Asset Universe'!$C$3:$O$23,11,0)</f>
        <v>7.0779798717519899E-3</v>
      </c>
      <c r="V13" s="44">
        <f ca="1">'Hist Corr matrix'!V13*VLOOKUP('Hist Cov matrix (stdev)'!$B13,'Asset Universe'!$C$3:$O$23,11,0)*VLOOKUP('Hist Cov matrix (stdev)'!V$2,'Asset Universe'!$C$3:$O$23,11,0)</f>
        <v>-1.1634032075544169E-3</v>
      </c>
      <c r="W13" s="44">
        <f ca="1">'Hist Corr matrix'!W13*VLOOKUP('Hist Cov matrix (stdev)'!$B13,'Asset Universe'!$C$3:$O$23,11,0)*VLOOKUP('Hist Cov matrix (stdev)'!W$2,'Asset Universe'!$C$3:$O$23,11,0)</f>
        <v>-1.2950609277923054E-3</v>
      </c>
    </row>
    <row r="14" spans="2:23" ht="23.5" customHeight="1" x14ac:dyDescent="0.35">
      <c r="B14" s="41" t="s">
        <v>91</v>
      </c>
      <c r="C14" s="44">
        <f ca="1">'Hist Corr matrix'!C14*VLOOKUP('Hist Cov matrix (stdev)'!$B14,'Asset Universe'!$C$3:$O$23,11,0)*VLOOKUP('Hist Cov matrix (stdev)'!C$2,'Asset Universe'!$C$3:$O$23,11,0)</f>
        <v>4.0797849557113368E-3</v>
      </c>
      <c r="D14" s="44">
        <f ca="1">'Hist Corr matrix'!D14*VLOOKUP('Hist Cov matrix (stdev)'!$B14,'Asset Universe'!$C$3:$O$23,11,0)*VLOOKUP('Hist Cov matrix (stdev)'!D$2,'Asset Universe'!$C$3:$O$23,11,0)</f>
        <v>8.353189249164129E-3</v>
      </c>
      <c r="E14" s="44">
        <f ca="1">'Hist Corr matrix'!E14*VLOOKUP('Hist Cov matrix (stdev)'!$B14,'Asset Universe'!$C$3:$O$23,11,0)*VLOOKUP('Hist Cov matrix (stdev)'!E$2,'Asset Universe'!$C$3:$O$23,11,0)</f>
        <v>4.5444893265492994E-3</v>
      </c>
      <c r="F14" s="44">
        <f ca="1">'Hist Corr matrix'!F14*VLOOKUP('Hist Cov matrix (stdev)'!$B14,'Asset Universe'!$C$3:$O$23,11,0)*VLOOKUP('Hist Cov matrix (stdev)'!F$2,'Asset Universe'!$C$3:$O$23,11,0)</f>
        <v>2.4573989386796548E-3</v>
      </c>
      <c r="G14" s="44">
        <f ca="1">'Hist Corr matrix'!G14*VLOOKUP('Hist Cov matrix (stdev)'!$B14,'Asset Universe'!$C$3:$O$23,11,0)*VLOOKUP('Hist Cov matrix (stdev)'!G$2,'Asset Universe'!$C$3:$O$23,11,0)</f>
        <v>3.3000812978714834E-3</v>
      </c>
      <c r="H14" s="44">
        <f ca="1">'Hist Corr matrix'!H14*VLOOKUP('Hist Cov matrix (stdev)'!$B14,'Asset Universe'!$C$3:$O$23,11,0)*VLOOKUP('Hist Cov matrix (stdev)'!H$2,'Asset Universe'!$C$3:$O$23,11,0)</f>
        <v>3.5855504054099745E-3</v>
      </c>
      <c r="I14" s="44">
        <f ca="1">'Hist Corr matrix'!I14*VLOOKUP('Hist Cov matrix (stdev)'!$B14,'Asset Universe'!$C$3:$O$23,11,0)*VLOOKUP('Hist Cov matrix (stdev)'!I$2,'Asset Universe'!$C$3:$O$23,11,0)</f>
        <v>3.6421930999165401E-3</v>
      </c>
      <c r="J14" s="44">
        <f ca="1">'Hist Corr matrix'!J14*VLOOKUP('Hist Cov matrix (stdev)'!$B14,'Asset Universe'!$C$3:$O$23,11,0)*VLOOKUP('Hist Cov matrix (stdev)'!J$2,'Asset Universe'!$C$3:$O$23,11,0)</f>
        <v>3.8232114070961849E-3</v>
      </c>
      <c r="K14" s="44">
        <f ca="1">'Hist Corr matrix'!K14*VLOOKUP('Hist Cov matrix (stdev)'!$B14,'Asset Universe'!$C$3:$O$23,11,0)*VLOOKUP('Hist Cov matrix (stdev)'!K$2,'Asset Universe'!$C$3:$O$23,11,0)</f>
        <v>2.5443789760802747E-3</v>
      </c>
      <c r="L14" s="44">
        <f ca="1">'Hist Corr matrix'!L14*VLOOKUP('Hist Cov matrix (stdev)'!$B14,'Asset Universe'!$C$3:$O$23,11,0)*VLOOKUP('Hist Cov matrix (stdev)'!L$2,'Asset Universe'!$C$3:$O$23,11,0)</f>
        <v>5.2062026057645054E-3</v>
      </c>
      <c r="M14" s="44">
        <f ca="1">'Hist Corr matrix'!M14*VLOOKUP('Hist Cov matrix (stdev)'!$B14,'Asset Universe'!$C$3:$O$23,11,0)*VLOOKUP('Hist Cov matrix (stdev)'!M$2,'Asset Universe'!$C$3:$O$23,11,0)</f>
        <v>3.7777349360181324E-3</v>
      </c>
      <c r="N14" s="44">
        <f ca="1">'Hist Corr matrix'!N14*VLOOKUP('Hist Cov matrix (stdev)'!$B14,'Asset Universe'!$C$3:$O$23,11,0)*VLOOKUP('Hist Cov matrix (stdev)'!N$2,'Asset Universe'!$C$3:$O$23,11,0)</f>
        <v>6.6497844519820192E-3</v>
      </c>
      <c r="O14" s="44">
        <f ca="1">'Hist Corr matrix'!O14*VLOOKUP('Hist Cov matrix (stdev)'!$B14,'Asset Universe'!$C$3:$O$23,11,0)*VLOOKUP('Hist Cov matrix (stdev)'!O$2,'Asset Universe'!$C$3:$O$23,11,0)</f>
        <v>1.900480523773788E-3</v>
      </c>
      <c r="P14" s="44">
        <f ca="1">'Hist Corr matrix'!P14*VLOOKUP('Hist Cov matrix (stdev)'!$B14,'Asset Universe'!$C$3:$O$23,11,0)*VLOOKUP('Hist Cov matrix (stdev)'!P$2,'Asset Universe'!$C$3:$O$23,11,0)</f>
        <v>2.0493773062951748E-3</v>
      </c>
      <c r="Q14" s="44">
        <f ca="1">'Hist Corr matrix'!Q14*VLOOKUP('Hist Cov matrix (stdev)'!$B14,'Asset Universe'!$C$3:$O$23,11,0)*VLOOKUP('Hist Cov matrix (stdev)'!Q$2,'Asset Universe'!$C$3:$O$23,11,0)</f>
        <v>1.078768354145395E-3</v>
      </c>
      <c r="R14" s="44">
        <f ca="1">'Hist Corr matrix'!R14*VLOOKUP('Hist Cov matrix (stdev)'!$B14,'Asset Universe'!$C$3:$O$23,11,0)*VLOOKUP('Hist Cov matrix (stdev)'!R$2,'Asset Universe'!$C$3:$O$23,11,0)</f>
        <v>1.0028876421280394E-3</v>
      </c>
      <c r="S14" s="44">
        <f ca="1">'Hist Corr matrix'!S14*VLOOKUP('Hist Cov matrix (stdev)'!$B14,'Asset Universe'!$C$3:$O$23,11,0)*VLOOKUP('Hist Cov matrix (stdev)'!S$2,'Asset Universe'!$C$3:$O$23,11,0)</f>
        <v>5.136996944640704E-4</v>
      </c>
      <c r="T14" s="44">
        <f ca="1">'Hist Corr matrix'!T14*VLOOKUP('Hist Cov matrix (stdev)'!$B14,'Asset Universe'!$C$3:$O$23,11,0)*VLOOKUP('Hist Cov matrix (stdev)'!T$2,'Asset Universe'!$C$3:$O$23,11,0)</f>
        <v>2.2679842792703423E-3</v>
      </c>
      <c r="U14" s="44">
        <f ca="1">'Hist Corr matrix'!U14*VLOOKUP('Hist Cov matrix (stdev)'!$B14,'Asset Universe'!$C$3:$O$23,11,0)*VLOOKUP('Hist Cov matrix (stdev)'!U$2,'Asset Universe'!$C$3:$O$23,11,0)</f>
        <v>3.1816770866239766E-3</v>
      </c>
      <c r="V14" s="44">
        <f ca="1">'Hist Corr matrix'!V14*VLOOKUP('Hist Cov matrix (stdev)'!$B14,'Asset Universe'!$C$3:$O$23,11,0)*VLOOKUP('Hist Cov matrix (stdev)'!V$2,'Asset Universe'!$C$3:$O$23,11,0)</f>
        <v>-8.9373924402864023E-4</v>
      </c>
      <c r="W14" s="44">
        <f ca="1">'Hist Corr matrix'!W14*VLOOKUP('Hist Cov matrix (stdev)'!$B14,'Asset Universe'!$C$3:$O$23,11,0)*VLOOKUP('Hist Cov matrix (stdev)'!W$2,'Asset Universe'!$C$3:$O$23,11,0)</f>
        <v>1.6015944793009308E-4</v>
      </c>
    </row>
    <row r="15" spans="2:23" ht="23.5" customHeight="1" x14ac:dyDescent="0.35">
      <c r="B15" s="41" t="s">
        <v>105</v>
      </c>
      <c r="C15" s="44">
        <f ca="1">'Hist Corr matrix'!C15*VLOOKUP('Hist Cov matrix (stdev)'!$B15,'Asset Universe'!$C$3:$O$23,11,0)*VLOOKUP('Hist Cov matrix (stdev)'!C$2,'Asset Universe'!$C$3:$O$23,11,0)</f>
        <v>1.0235374874921503E-3</v>
      </c>
      <c r="D15" s="44">
        <f ca="1">'Hist Corr matrix'!D15*VLOOKUP('Hist Cov matrix (stdev)'!$B15,'Asset Universe'!$C$3:$O$23,11,0)*VLOOKUP('Hist Cov matrix (stdev)'!D$2,'Asset Universe'!$C$3:$O$23,11,0)</f>
        <v>2.6041733758391211E-3</v>
      </c>
      <c r="E15" s="44">
        <f ca="1">'Hist Corr matrix'!E15*VLOOKUP('Hist Cov matrix (stdev)'!$B15,'Asset Universe'!$C$3:$O$23,11,0)*VLOOKUP('Hist Cov matrix (stdev)'!E$2,'Asset Universe'!$C$3:$O$23,11,0)</f>
        <v>2.5893849875556333E-3</v>
      </c>
      <c r="F15" s="44">
        <f ca="1">'Hist Corr matrix'!F15*VLOOKUP('Hist Cov matrix (stdev)'!$B15,'Asset Universe'!$C$3:$O$23,11,0)*VLOOKUP('Hist Cov matrix (stdev)'!F$2,'Asset Universe'!$C$3:$O$23,11,0)</f>
        <v>9.4862156366867724E-4</v>
      </c>
      <c r="G15" s="44">
        <f ca="1">'Hist Corr matrix'!G15*VLOOKUP('Hist Cov matrix (stdev)'!$B15,'Asset Universe'!$C$3:$O$23,11,0)*VLOOKUP('Hist Cov matrix (stdev)'!G$2,'Asset Universe'!$C$3:$O$23,11,0)</f>
        <v>1.3205315330085594E-3</v>
      </c>
      <c r="H15" s="44">
        <f ca="1">'Hist Corr matrix'!H15*VLOOKUP('Hist Cov matrix (stdev)'!$B15,'Asset Universe'!$C$3:$O$23,11,0)*VLOOKUP('Hist Cov matrix (stdev)'!H$2,'Asset Universe'!$C$3:$O$23,11,0)</f>
        <v>2.2958833971742526E-3</v>
      </c>
      <c r="I15" s="44">
        <f ca="1">'Hist Corr matrix'!I15*VLOOKUP('Hist Cov matrix (stdev)'!$B15,'Asset Universe'!$C$3:$O$23,11,0)*VLOOKUP('Hist Cov matrix (stdev)'!I$2,'Asset Universe'!$C$3:$O$23,11,0)</f>
        <v>2.711977298775094E-3</v>
      </c>
      <c r="J15" s="44">
        <f ca="1">'Hist Corr matrix'!J15*VLOOKUP('Hist Cov matrix (stdev)'!$B15,'Asset Universe'!$C$3:$O$23,11,0)*VLOOKUP('Hist Cov matrix (stdev)'!J$2,'Asset Universe'!$C$3:$O$23,11,0)</f>
        <v>3.1802084678389094E-3</v>
      </c>
      <c r="K15" s="44">
        <f ca="1">'Hist Corr matrix'!K15*VLOOKUP('Hist Cov matrix (stdev)'!$B15,'Asset Universe'!$C$3:$O$23,11,0)*VLOOKUP('Hist Cov matrix (stdev)'!K$2,'Asset Universe'!$C$3:$O$23,11,0)</f>
        <v>6.5822413076031963E-3</v>
      </c>
      <c r="L15" s="44">
        <f ca="1">'Hist Corr matrix'!L15*VLOOKUP('Hist Cov matrix (stdev)'!$B15,'Asset Universe'!$C$3:$O$23,11,0)*VLOOKUP('Hist Cov matrix (stdev)'!L$2,'Asset Universe'!$C$3:$O$23,11,0)</f>
        <v>9.1626158320881734E-3</v>
      </c>
      <c r="M15" s="44">
        <f ca="1">'Hist Corr matrix'!M15*VLOOKUP('Hist Cov matrix (stdev)'!$B15,'Asset Universe'!$C$3:$O$23,11,0)*VLOOKUP('Hist Cov matrix (stdev)'!M$2,'Asset Universe'!$C$3:$O$23,11,0)</f>
        <v>4.1412295563372468E-3</v>
      </c>
      <c r="N15" s="44">
        <f ca="1">'Hist Corr matrix'!N15*VLOOKUP('Hist Cov matrix (stdev)'!$B15,'Asset Universe'!$C$3:$O$23,11,0)*VLOOKUP('Hist Cov matrix (stdev)'!N$2,'Asset Universe'!$C$3:$O$23,11,0)</f>
        <v>1.900480523773788E-3</v>
      </c>
      <c r="O15" s="44">
        <f ca="1">'Hist Corr matrix'!O15*VLOOKUP('Hist Cov matrix (stdev)'!$B15,'Asset Universe'!$C$3:$O$23,11,0)*VLOOKUP('Hist Cov matrix (stdev)'!O$2,'Asset Universe'!$C$3:$O$23,11,0)</f>
        <v>5.9857551000908503E-3</v>
      </c>
      <c r="P15" s="44">
        <f ca="1">'Hist Corr matrix'!P15*VLOOKUP('Hist Cov matrix (stdev)'!$B15,'Asset Universe'!$C$3:$O$23,11,0)*VLOOKUP('Hist Cov matrix (stdev)'!P$2,'Asset Universe'!$C$3:$O$23,11,0)</f>
        <v>2.0048299472129045E-3</v>
      </c>
      <c r="Q15" s="44">
        <f ca="1">'Hist Corr matrix'!Q15*VLOOKUP('Hist Cov matrix (stdev)'!$B15,'Asset Universe'!$C$3:$O$23,11,0)*VLOOKUP('Hist Cov matrix (stdev)'!Q$2,'Asset Universe'!$C$3:$O$23,11,0)</f>
        <v>1.9052095035776552E-3</v>
      </c>
      <c r="R15" s="44">
        <f ca="1">'Hist Corr matrix'!R15*VLOOKUP('Hist Cov matrix (stdev)'!$B15,'Asset Universe'!$C$3:$O$23,11,0)*VLOOKUP('Hist Cov matrix (stdev)'!R$2,'Asset Universe'!$C$3:$O$23,11,0)</f>
        <v>1.8245083377916517E-3</v>
      </c>
      <c r="S15" s="44">
        <f ca="1">'Hist Corr matrix'!S15*VLOOKUP('Hist Cov matrix (stdev)'!$B15,'Asset Universe'!$C$3:$O$23,11,0)*VLOOKUP('Hist Cov matrix (stdev)'!S$2,'Asset Universe'!$C$3:$O$23,11,0)</f>
        <v>3.9389470613064113E-3</v>
      </c>
      <c r="T15" s="44">
        <f ca="1">'Hist Corr matrix'!T15*VLOOKUP('Hist Cov matrix (stdev)'!$B15,'Asset Universe'!$C$3:$O$23,11,0)*VLOOKUP('Hist Cov matrix (stdev)'!T$2,'Asset Universe'!$C$3:$O$23,11,0)</f>
        <v>1.7930721688062131E-3</v>
      </c>
      <c r="U15" s="44">
        <f ca="1">'Hist Corr matrix'!U15*VLOOKUP('Hist Cov matrix (stdev)'!$B15,'Asset Universe'!$C$3:$O$23,11,0)*VLOOKUP('Hist Cov matrix (stdev)'!U$2,'Asset Universe'!$C$3:$O$23,11,0)</f>
        <v>1.0145700111337296E-2</v>
      </c>
      <c r="V15" s="44">
        <f ca="1">'Hist Corr matrix'!V15*VLOOKUP('Hist Cov matrix (stdev)'!$B15,'Asset Universe'!$C$3:$O$23,11,0)*VLOOKUP('Hist Cov matrix (stdev)'!V$2,'Asset Universe'!$C$3:$O$23,11,0)</f>
        <v>6.7274752284343425E-4</v>
      </c>
      <c r="W15" s="44">
        <f ca="1">'Hist Corr matrix'!W15*VLOOKUP('Hist Cov matrix (stdev)'!$B15,'Asset Universe'!$C$3:$O$23,11,0)*VLOOKUP('Hist Cov matrix (stdev)'!W$2,'Asset Universe'!$C$3:$O$23,11,0)</f>
        <v>2.1682289730022724E-3</v>
      </c>
    </row>
    <row r="16" spans="2:23" ht="23.5" customHeight="1" x14ac:dyDescent="0.35">
      <c r="B16" s="41" t="s">
        <v>106</v>
      </c>
      <c r="C16" s="44">
        <f ca="1">'Hist Corr matrix'!C16*VLOOKUP('Hist Cov matrix (stdev)'!$B16,'Asset Universe'!$C$3:$O$23,11,0)*VLOOKUP('Hist Cov matrix (stdev)'!C$2,'Asset Universe'!$C$3:$O$23,11,0)</f>
        <v>1.0368040371093736E-3</v>
      </c>
      <c r="D16" s="44">
        <f ca="1">'Hist Corr matrix'!D16*VLOOKUP('Hist Cov matrix (stdev)'!$B16,'Asset Universe'!$C$3:$O$23,11,0)*VLOOKUP('Hist Cov matrix (stdev)'!D$2,'Asset Universe'!$C$3:$O$23,11,0)</f>
        <v>2.04910545500215E-3</v>
      </c>
      <c r="E16" s="44">
        <f ca="1">'Hist Corr matrix'!E16*VLOOKUP('Hist Cov matrix (stdev)'!$B16,'Asset Universe'!$C$3:$O$23,11,0)*VLOOKUP('Hist Cov matrix (stdev)'!E$2,'Asset Universe'!$C$3:$O$23,11,0)</f>
        <v>2.6540374998982315E-3</v>
      </c>
      <c r="F16" s="44">
        <f ca="1">'Hist Corr matrix'!F16*VLOOKUP('Hist Cov matrix (stdev)'!$B16,'Asset Universe'!$C$3:$O$23,11,0)*VLOOKUP('Hist Cov matrix (stdev)'!F$2,'Asset Universe'!$C$3:$O$23,11,0)</f>
        <v>6.6904266279137149E-4</v>
      </c>
      <c r="G16" s="44">
        <f ca="1">'Hist Corr matrix'!G16*VLOOKUP('Hist Cov matrix (stdev)'!$B16,'Asset Universe'!$C$3:$O$23,11,0)*VLOOKUP('Hist Cov matrix (stdev)'!G$2,'Asset Universe'!$C$3:$O$23,11,0)</f>
        <v>1.0690804549166124E-3</v>
      </c>
      <c r="H16" s="44">
        <f ca="1">'Hist Corr matrix'!H16*VLOOKUP('Hist Cov matrix (stdev)'!$B16,'Asset Universe'!$C$3:$O$23,11,0)*VLOOKUP('Hist Cov matrix (stdev)'!H$2,'Asset Universe'!$C$3:$O$23,11,0)</f>
        <v>1.6858709278615778E-3</v>
      </c>
      <c r="I16" s="44">
        <f ca="1">'Hist Corr matrix'!I16*VLOOKUP('Hist Cov matrix (stdev)'!$B16,'Asset Universe'!$C$3:$O$23,11,0)*VLOOKUP('Hist Cov matrix (stdev)'!I$2,'Asset Universe'!$C$3:$O$23,11,0)</f>
        <v>2.2014189618715986E-3</v>
      </c>
      <c r="J16" s="44">
        <f ca="1">'Hist Corr matrix'!J16*VLOOKUP('Hist Cov matrix (stdev)'!$B16,'Asset Universe'!$C$3:$O$23,11,0)*VLOOKUP('Hist Cov matrix (stdev)'!J$2,'Asset Universe'!$C$3:$O$23,11,0)</f>
        <v>2.8555944188677429E-3</v>
      </c>
      <c r="K16" s="44">
        <f ca="1">'Hist Corr matrix'!K16*VLOOKUP('Hist Cov matrix (stdev)'!$B16,'Asset Universe'!$C$3:$O$23,11,0)*VLOOKUP('Hist Cov matrix (stdev)'!K$2,'Asset Universe'!$C$3:$O$23,11,0)</f>
        <v>4.2880086543352416E-3</v>
      </c>
      <c r="L16" s="44">
        <f ca="1">'Hist Corr matrix'!L16*VLOOKUP('Hist Cov matrix (stdev)'!$B16,'Asset Universe'!$C$3:$O$23,11,0)*VLOOKUP('Hist Cov matrix (stdev)'!L$2,'Asset Universe'!$C$3:$O$23,11,0)</f>
        <v>6.3427984030719987E-3</v>
      </c>
      <c r="M16" s="44">
        <f ca="1">'Hist Corr matrix'!M16*VLOOKUP('Hist Cov matrix (stdev)'!$B16,'Asset Universe'!$C$3:$O$23,11,0)*VLOOKUP('Hist Cov matrix (stdev)'!M$2,'Asset Universe'!$C$3:$O$23,11,0)</f>
        <v>2.9286923684422378E-3</v>
      </c>
      <c r="N16" s="44">
        <f ca="1">'Hist Corr matrix'!N16*VLOOKUP('Hist Cov matrix (stdev)'!$B16,'Asset Universe'!$C$3:$O$23,11,0)*VLOOKUP('Hist Cov matrix (stdev)'!N$2,'Asset Universe'!$C$3:$O$23,11,0)</f>
        <v>2.0493773062951748E-3</v>
      </c>
      <c r="O16" s="44">
        <f ca="1">'Hist Corr matrix'!O16*VLOOKUP('Hist Cov matrix (stdev)'!$B16,'Asset Universe'!$C$3:$O$23,11,0)*VLOOKUP('Hist Cov matrix (stdev)'!O$2,'Asset Universe'!$C$3:$O$23,11,0)</f>
        <v>2.0048299472129045E-3</v>
      </c>
      <c r="P16" s="44">
        <f ca="1">'Hist Corr matrix'!P16*VLOOKUP('Hist Cov matrix (stdev)'!$B16,'Asset Universe'!$C$3:$O$23,11,0)*VLOOKUP('Hist Cov matrix (stdev)'!P$2,'Asset Universe'!$C$3:$O$23,11,0)</f>
        <v>3.3823577263425476E-3</v>
      </c>
      <c r="Q16" s="44">
        <f ca="1">'Hist Corr matrix'!Q16*VLOOKUP('Hist Cov matrix (stdev)'!$B16,'Asset Universe'!$C$3:$O$23,11,0)*VLOOKUP('Hist Cov matrix (stdev)'!Q$2,'Asset Universe'!$C$3:$O$23,11,0)</f>
        <v>1.4938555456946443E-3</v>
      </c>
      <c r="R16" s="44">
        <f ca="1">'Hist Corr matrix'!R16*VLOOKUP('Hist Cov matrix (stdev)'!$B16,'Asset Universe'!$C$3:$O$23,11,0)*VLOOKUP('Hist Cov matrix (stdev)'!R$2,'Asset Universe'!$C$3:$O$23,11,0)</f>
        <v>1.4687557181115847E-3</v>
      </c>
      <c r="S16" s="44">
        <f ca="1">'Hist Corr matrix'!S16*VLOOKUP('Hist Cov matrix (stdev)'!$B16,'Asset Universe'!$C$3:$O$23,11,0)*VLOOKUP('Hist Cov matrix (stdev)'!S$2,'Asset Universe'!$C$3:$O$23,11,0)</f>
        <v>3.9541900723370493E-3</v>
      </c>
      <c r="T16" s="44">
        <f ca="1">'Hist Corr matrix'!T16*VLOOKUP('Hist Cov matrix (stdev)'!$B16,'Asset Universe'!$C$3:$O$23,11,0)*VLOOKUP('Hist Cov matrix (stdev)'!T$2,'Asset Universe'!$C$3:$O$23,11,0)</f>
        <v>1.2768619409726735E-3</v>
      </c>
      <c r="U16" s="44">
        <f ca="1">'Hist Corr matrix'!U16*VLOOKUP('Hist Cov matrix (stdev)'!$B16,'Asset Universe'!$C$3:$O$23,11,0)*VLOOKUP('Hist Cov matrix (stdev)'!U$2,'Asset Universe'!$C$3:$O$23,11,0)</f>
        <v>3.5153177622409644E-3</v>
      </c>
      <c r="V16" s="44">
        <f ca="1">'Hist Corr matrix'!V16*VLOOKUP('Hist Cov matrix (stdev)'!$B16,'Asset Universe'!$C$3:$O$23,11,0)*VLOOKUP('Hist Cov matrix (stdev)'!V$2,'Asset Universe'!$C$3:$O$23,11,0)</f>
        <v>6.4527637734644117E-4</v>
      </c>
      <c r="W16" s="44">
        <f ca="1">'Hist Corr matrix'!W16*VLOOKUP('Hist Cov matrix (stdev)'!$B16,'Asset Universe'!$C$3:$O$23,11,0)*VLOOKUP('Hist Cov matrix (stdev)'!W$2,'Asset Universe'!$C$3:$O$23,11,0)</f>
        <v>7.1892154183064803E-4</v>
      </c>
    </row>
    <row r="17" spans="2:23" ht="23.5" customHeight="1" x14ac:dyDescent="0.35">
      <c r="B17" s="41" t="s">
        <v>99</v>
      </c>
      <c r="C17" s="44">
        <f ca="1">'Hist Corr matrix'!C17*VLOOKUP('Hist Cov matrix (stdev)'!$B17,'Asset Universe'!$C$3:$O$23,11,0)*VLOOKUP('Hist Cov matrix (stdev)'!C$2,'Asset Universe'!$C$3:$O$23,11,0)</f>
        <v>5.7234847399393989E-4</v>
      </c>
      <c r="D17" s="44">
        <f ca="1">'Hist Corr matrix'!D17*VLOOKUP('Hist Cov matrix (stdev)'!$B17,'Asset Universe'!$C$3:$O$23,11,0)*VLOOKUP('Hist Cov matrix (stdev)'!D$2,'Asset Universe'!$C$3:$O$23,11,0)</f>
        <v>1.5907159811317702E-3</v>
      </c>
      <c r="E17" s="44">
        <f ca="1">'Hist Corr matrix'!E17*VLOOKUP('Hist Cov matrix (stdev)'!$B17,'Asset Universe'!$C$3:$O$23,11,0)*VLOOKUP('Hist Cov matrix (stdev)'!E$2,'Asset Universe'!$C$3:$O$23,11,0)</f>
        <v>1.3961739657965069E-3</v>
      </c>
      <c r="F17" s="44">
        <f ca="1">'Hist Corr matrix'!F17*VLOOKUP('Hist Cov matrix (stdev)'!$B17,'Asset Universe'!$C$3:$O$23,11,0)*VLOOKUP('Hist Cov matrix (stdev)'!F$2,'Asset Universe'!$C$3:$O$23,11,0)</f>
        <v>5.6190555434080082E-4</v>
      </c>
      <c r="G17" s="44">
        <f ca="1">'Hist Corr matrix'!G17*VLOOKUP('Hist Cov matrix (stdev)'!$B17,'Asset Universe'!$C$3:$O$23,11,0)*VLOOKUP('Hist Cov matrix (stdev)'!G$2,'Asset Universe'!$C$3:$O$23,11,0)</f>
        <v>7.0892282443149243E-4</v>
      </c>
      <c r="H17" s="44">
        <f ca="1">'Hist Corr matrix'!H17*VLOOKUP('Hist Cov matrix (stdev)'!$B17,'Asset Universe'!$C$3:$O$23,11,0)*VLOOKUP('Hist Cov matrix (stdev)'!H$2,'Asset Universe'!$C$3:$O$23,11,0)</f>
        <v>1.206219858350186E-3</v>
      </c>
      <c r="I17" s="44">
        <f ca="1">'Hist Corr matrix'!I17*VLOOKUP('Hist Cov matrix (stdev)'!$B17,'Asset Universe'!$C$3:$O$23,11,0)*VLOOKUP('Hist Cov matrix (stdev)'!I$2,'Asset Universe'!$C$3:$O$23,11,0)</f>
        <v>1.4807651854530435E-3</v>
      </c>
      <c r="J17" s="44">
        <f ca="1">'Hist Corr matrix'!J17*VLOOKUP('Hist Cov matrix (stdev)'!$B17,'Asset Universe'!$C$3:$O$23,11,0)*VLOOKUP('Hist Cov matrix (stdev)'!J$2,'Asset Universe'!$C$3:$O$23,11,0)</f>
        <v>1.8474675381290589E-3</v>
      </c>
      <c r="K17" s="44">
        <f ca="1">'Hist Corr matrix'!K17*VLOOKUP('Hist Cov matrix (stdev)'!$B17,'Asset Universe'!$C$3:$O$23,11,0)*VLOOKUP('Hist Cov matrix (stdev)'!K$2,'Asset Universe'!$C$3:$O$23,11,0)</f>
        <v>3.2022045775996909E-3</v>
      </c>
      <c r="L17" s="44">
        <f ca="1">'Hist Corr matrix'!L17*VLOOKUP('Hist Cov matrix (stdev)'!$B17,'Asset Universe'!$C$3:$O$23,11,0)*VLOOKUP('Hist Cov matrix (stdev)'!L$2,'Asset Universe'!$C$3:$O$23,11,0)</f>
        <v>5.1604301931303855E-3</v>
      </c>
      <c r="M17" s="44">
        <f ca="1">'Hist Corr matrix'!M17*VLOOKUP('Hist Cov matrix (stdev)'!$B17,'Asset Universe'!$C$3:$O$23,11,0)*VLOOKUP('Hist Cov matrix (stdev)'!M$2,'Asset Universe'!$C$3:$O$23,11,0)</f>
        <v>1.4390268238499598E-3</v>
      </c>
      <c r="N17" s="44">
        <f ca="1">'Hist Corr matrix'!N17*VLOOKUP('Hist Cov matrix (stdev)'!$B17,'Asset Universe'!$C$3:$O$23,11,0)*VLOOKUP('Hist Cov matrix (stdev)'!N$2,'Asset Universe'!$C$3:$O$23,11,0)</f>
        <v>1.078768354145395E-3</v>
      </c>
      <c r="O17" s="44">
        <f ca="1">'Hist Corr matrix'!O17*VLOOKUP('Hist Cov matrix (stdev)'!$B17,'Asset Universe'!$C$3:$O$23,11,0)*VLOOKUP('Hist Cov matrix (stdev)'!O$2,'Asset Universe'!$C$3:$O$23,11,0)</f>
        <v>1.905209503577655E-3</v>
      </c>
      <c r="P17" s="44">
        <f ca="1">'Hist Corr matrix'!P17*VLOOKUP('Hist Cov matrix (stdev)'!$B17,'Asset Universe'!$C$3:$O$23,11,0)*VLOOKUP('Hist Cov matrix (stdev)'!P$2,'Asset Universe'!$C$3:$O$23,11,0)</f>
        <v>1.4938555456946443E-3</v>
      </c>
      <c r="Q17" s="44">
        <f ca="1">'Hist Corr matrix'!Q17*VLOOKUP('Hist Cov matrix (stdev)'!$B17,'Asset Universe'!$C$3:$O$23,11,0)*VLOOKUP('Hist Cov matrix (stdev)'!Q$2,'Asset Universe'!$C$3:$O$23,11,0)</f>
        <v>2.8521774515827777E-3</v>
      </c>
      <c r="R17" s="44">
        <f ca="1">'Hist Corr matrix'!R17*VLOOKUP('Hist Cov matrix (stdev)'!$B17,'Asset Universe'!$C$3:$O$23,11,0)*VLOOKUP('Hist Cov matrix (stdev)'!R$2,'Asset Universe'!$C$3:$O$23,11,0)</f>
        <v>2.9238935902048523E-3</v>
      </c>
      <c r="S17" s="44">
        <f ca="1">'Hist Corr matrix'!S17*VLOOKUP('Hist Cov matrix (stdev)'!$B17,'Asset Universe'!$C$3:$O$23,11,0)*VLOOKUP('Hist Cov matrix (stdev)'!S$2,'Asset Universe'!$C$3:$O$23,11,0)</f>
        <v>1.4792402202142077E-3</v>
      </c>
      <c r="T17" s="44">
        <f ca="1">'Hist Corr matrix'!T17*VLOOKUP('Hist Cov matrix (stdev)'!$B17,'Asset Universe'!$C$3:$O$23,11,0)*VLOOKUP('Hist Cov matrix (stdev)'!T$2,'Asset Universe'!$C$3:$O$23,11,0)</f>
        <v>4.0680418890141543E-4</v>
      </c>
      <c r="U17" s="44">
        <f ca="1">'Hist Corr matrix'!U17*VLOOKUP('Hist Cov matrix (stdev)'!$B17,'Asset Universe'!$C$3:$O$23,11,0)*VLOOKUP('Hist Cov matrix (stdev)'!U$2,'Asset Universe'!$C$3:$O$23,11,0)</f>
        <v>3.3189499069323368E-3</v>
      </c>
      <c r="V17" s="44">
        <f ca="1">'Hist Corr matrix'!V17*VLOOKUP('Hist Cov matrix (stdev)'!$B17,'Asset Universe'!$C$3:$O$23,11,0)*VLOOKUP('Hist Cov matrix (stdev)'!V$2,'Asset Universe'!$C$3:$O$23,11,0)</f>
        <v>2.0812744860875102E-3</v>
      </c>
      <c r="W17" s="44">
        <f ca="1">'Hist Corr matrix'!W17*VLOOKUP('Hist Cov matrix (stdev)'!$B17,'Asset Universe'!$C$3:$O$23,11,0)*VLOOKUP('Hist Cov matrix (stdev)'!W$2,'Asset Universe'!$C$3:$O$23,11,0)</f>
        <v>2.0136396943057052E-3</v>
      </c>
    </row>
    <row r="18" spans="2:23" ht="23.5" customHeight="1" x14ac:dyDescent="0.35">
      <c r="B18" s="41" t="s">
        <v>107</v>
      </c>
      <c r="C18" s="44">
        <f ca="1">'Hist Corr matrix'!C18*VLOOKUP('Hist Cov matrix (stdev)'!$B18,'Asset Universe'!$C$3:$O$23,11,0)*VLOOKUP('Hist Cov matrix (stdev)'!C$2,'Asset Universe'!$C$3:$O$23,11,0)</f>
        <v>4.2735667167192261E-4</v>
      </c>
      <c r="D18" s="44">
        <f ca="1">'Hist Corr matrix'!D18*VLOOKUP('Hist Cov matrix (stdev)'!$B18,'Asset Universe'!$C$3:$O$23,11,0)*VLOOKUP('Hist Cov matrix (stdev)'!D$2,'Asset Universe'!$C$3:$O$23,11,0)</f>
        <v>1.2411761061090229E-3</v>
      </c>
      <c r="E18" s="44">
        <f ca="1">'Hist Corr matrix'!E18*VLOOKUP('Hist Cov matrix (stdev)'!$B18,'Asset Universe'!$C$3:$O$23,11,0)*VLOOKUP('Hist Cov matrix (stdev)'!E$2,'Asset Universe'!$C$3:$O$23,11,0)</f>
        <v>1.3170996619454706E-3</v>
      </c>
      <c r="F18" s="44">
        <f ca="1">'Hist Corr matrix'!F18*VLOOKUP('Hist Cov matrix (stdev)'!$B18,'Asset Universe'!$C$3:$O$23,11,0)*VLOOKUP('Hist Cov matrix (stdev)'!F$2,'Asset Universe'!$C$3:$O$23,11,0)</f>
        <v>5.2484167261149456E-4</v>
      </c>
      <c r="G18" s="44">
        <f ca="1">'Hist Corr matrix'!G18*VLOOKUP('Hist Cov matrix (stdev)'!$B18,'Asset Universe'!$C$3:$O$23,11,0)*VLOOKUP('Hist Cov matrix (stdev)'!G$2,'Asset Universe'!$C$3:$O$23,11,0)</f>
        <v>6.1024968266987928E-4</v>
      </c>
      <c r="H18" s="44">
        <f ca="1">'Hist Corr matrix'!H18*VLOOKUP('Hist Cov matrix (stdev)'!$B18,'Asset Universe'!$C$3:$O$23,11,0)*VLOOKUP('Hist Cov matrix (stdev)'!H$2,'Asset Universe'!$C$3:$O$23,11,0)</f>
        <v>1.146280936061189E-3</v>
      </c>
      <c r="I18" s="44">
        <f ca="1">'Hist Corr matrix'!I18*VLOOKUP('Hist Cov matrix (stdev)'!$B18,'Asset Universe'!$C$3:$O$23,11,0)*VLOOKUP('Hist Cov matrix (stdev)'!I$2,'Asset Universe'!$C$3:$O$23,11,0)</f>
        <v>1.3747507556375951E-3</v>
      </c>
      <c r="J18" s="44">
        <f ca="1">'Hist Corr matrix'!J18*VLOOKUP('Hist Cov matrix (stdev)'!$B18,'Asset Universe'!$C$3:$O$23,11,0)*VLOOKUP('Hist Cov matrix (stdev)'!J$2,'Asset Universe'!$C$3:$O$23,11,0)</f>
        <v>1.8775237204676513E-3</v>
      </c>
      <c r="K18" s="44">
        <f ca="1">'Hist Corr matrix'!K18*VLOOKUP('Hist Cov matrix (stdev)'!$B18,'Asset Universe'!$C$3:$O$23,11,0)*VLOOKUP('Hist Cov matrix (stdev)'!K$2,'Asset Universe'!$C$3:$O$23,11,0)</f>
        <v>3.3176217120749465E-3</v>
      </c>
      <c r="L18" s="44">
        <f ca="1">'Hist Corr matrix'!L18*VLOOKUP('Hist Cov matrix (stdev)'!$B18,'Asset Universe'!$C$3:$O$23,11,0)*VLOOKUP('Hist Cov matrix (stdev)'!L$2,'Asset Universe'!$C$3:$O$23,11,0)</f>
        <v>5.264759337796597E-3</v>
      </c>
      <c r="M18" s="44">
        <f ca="1">'Hist Corr matrix'!M18*VLOOKUP('Hist Cov matrix (stdev)'!$B18,'Asset Universe'!$C$3:$O$23,11,0)*VLOOKUP('Hist Cov matrix (stdev)'!M$2,'Asset Universe'!$C$3:$O$23,11,0)</f>
        <v>1.5132408064060033E-3</v>
      </c>
      <c r="N18" s="44">
        <f ca="1">'Hist Corr matrix'!N18*VLOOKUP('Hist Cov matrix (stdev)'!$B18,'Asset Universe'!$C$3:$O$23,11,0)*VLOOKUP('Hist Cov matrix (stdev)'!N$2,'Asset Universe'!$C$3:$O$23,11,0)</f>
        <v>1.0028876421280396E-3</v>
      </c>
      <c r="O18" s="44">
        <f ca="1">'Hist Corr matrix'!O18*VLOOKUP('Hist Cov matrix (stdev)'!$B18,'Asset Universe'!$C$3:$O$23,11,0)*VLOOKUP('Hist Cov matrix (stdev)'!O$2,'Asset Universe'!$C$3:$O$23,11,0)</f>
        <v>1.8245083377916515E-3</v>
      </c>
      <c r="P18" s="44">
        <f ca="1">'Hist Corr matrix'!P18*VLOOKUP('Hist Cov matrix (stdev)'!$B18,'Asset Universe'!$C$3:$O$23,11,0)*VLOOKUP('Hist Cov matrix (stdev)'!P$2,'Asset Universe'!$C$3:$O$23,11,0)</f>
        <v>1.4687557181115847E-3</v>
      </c>
      <c r="Q18" s="44">
        <f ca="1">'Hist Corr matrix'!Q18*VLOOKUP('Hist Cov matrix (stdev)'!$B18,'Asset Universe'!$C$3:$O$23,11,0)*VLOOKUP('Hist Cov matrix (stdev)'!Q$2,'Asset Universe'!$C$3:$O$23,11,0)</f>
        <v>2.9238935902048523E-3</v>
      </c>
      <c r="R18" s="44">
        <f ca="1">'Hist Corr matrix'!R18*VLOOKUP('Hist Cov matrix (stdev)'!$B18,'Asset Universe'!$C$3:$O$23,11,0)*VLOOKUP('Hist Cov matrix (stdev)'!R$2,'Asset Universe'!$C$3:$O$23,11,0)</f>
        <v>3.2532522394571671E-3</v>
      </c>
      <c r="S18" s="44">
        <f ca="1">'Hist Corr matrix'!S18*VLOOKUP('Hist Cov matrix (stdev)'!$B18,'Asset Universe'!$C$3:$O$23,11,0)*VLOOKUP('Hist Cov matrix (stdev)'!S$2,'Asset Universe'!$C$3:$O$23,11,0)</f>
        <v>2.0463921196721231E-3</v>
      </c>
      <c r="T18" s="44">
        <f ca="1">'Hist Corr matrix'!T18*VLOOKUP('Hist Cov matrix (stdev)'!$B18,'Asset Universe'!$C$3:$O$23,11,0)*VLOOKUP('Hist Cov matrix (stdev)'!T$2,'Asset Universe'!$C$3:$O$23,11,0)</f>
        <v>4.2625938617720996E-4</v>
      </c>
      <c r="U18" s="44">
        <f ca="1">'Hist Corr matrix'!U18*VLOOKUP('Hist Cov matrix (stdev)'!$B18,'Asset Universe'!$C$3:$O$23,11,0)*VLOOKUP('Hist Cov matrix (stdev)'!U$2,'Asset Universe'!$C$3:$O$23,11,0)</f>
        <v>3.208447408625931E-3</v>
      </c>
      <c r="V18" s="44">
        <f ca="1">'Hist Corr matrix'!V18*VLOOKUP('Hist Cov matrix (stdev)'!$B18,'Asset Universe'!$C$3:$O$23,11,0)*VLOOKUP('Hist Cov matrix (stdev)'!V$2,'Asset Universe'!$C$3:$O$23,11,0)</f>
        <v>1.6916044794924724E-3</v>
      </c>
      <c r="W18" s="44">
        <f ca="1">'Hist Corr matrix'!W18*VLOOKUP('Hist Cov matrix (stdev)'!$B18,'Asset Universe'!$C$3:$O$23,11,0)*VLOOKUP('Hist Cov matrix (stdev)'!W$2,'Asset Universe'!$C$3:$O$23,11,0)</f>
        <v>1.7976729406497887E-3</v>
      </c>
    </row>
    <row r="19" spans="2:23" ht="23.5" customHeight="1" x14ac:dyDescent="0.35">
      <c r="B19" s="41" t="s">
        <v>94</v>
      </c>
      <c r="C19" s="44">
        <f ca="1">'Hist Corr matrix'!C19*VLOOKUP('Hist Cov matrix (stdev)'!$B19,'Asset Universe'!$C$3:$O$23,11,0)*VLOOKUP('Hist Cov matrix (stdev)'!C$2,'Asset Universe'!$C$3:$O$23,11,0)</f>
        <v>-1.3564237720548431E-3</v>
      </c>
      <c r="D19" s="44">
        <f ca="1">'Hist Corr matrix'!D19*VLOOKUP('Hist Cov matrix (stdev)'!$B19,'Asset Universe'!$C$3:$O$23,11,0)*VLOOKUP('Hist Cov matrix (stdev)'!D$2,'Asset Universe'!$C$3:$O$23,11,0)</f>
        <v>-1.8635459220651129E-3</v>
      </c>
      <c r="E19" s="44">
        <f ca="1">'Hist Corr matrix'!E19*VLOOKUP('Hist Cov matrix (stdev)'!$B19,'Asset Universe'!$C$3:$O$23,11,0)*VLOOKUP('Hist Cov matrix (stdev)'!E$2,'Asset Universe'!$C$3:$O$23,11,0)</f>
        <v>3.9720079151159549E-3</v>
      </c>
      <c r="F19" s="44">
        <f ca="1">'Hist Corr matrix'!F19*VLOOKUP('Hist Cov matrix (stdev)'!$B19,'Asset Universe'!$C$3:$O$23,11,0)*VLOOKUP('Hist Cov matrix (stdev)'!F$2,'Asset Universe'!$C$3:$O$23,11,0)</f>
        <v>1.1231803151470394E-3</v>
      </c>
      <c r="G19" s="44">
        <f ca="1">'Hist Corr matrix'!G19*VLOOKUP('Hist Cov matrix (stdev)'!$B19,'Asset Universe'!$C$3:$O$23,11,0)*VLOOKUP('Hist Cov matrix (stdev)'!G$2,'Asset Universe'!$C$3:$O$23,11,0)</f>
        <v>-3.9624786251351299E-4</v>
      </c>
      <c r="H19" s="44">
        <f ca="1">'Hist Corr matrix'!H19*VLOOKUP('Hist Cov matrix (stdev)'!$B19,'Asset Universe'!$C$3:$O$23,11,0)*VLOOKUP('Hist Cov matrix (stdev)'!H$2,'Asset Universe'!$C$3:$O$23,11,0)</f>
        <v>2.213933479937031E-3</v>
      </c>
      <c r="I19" s="44">
        <f ca="1">'Hist Corr matrix'!I19*VLOOKUP('Hist Cov matrix (stdev)'!$B19,'Asset Universe'!$C$3:$O$23,11,0)*VLOOKUP('Hist Cov matrix (stdev)'!I$2,'Asset Universe'!$C$3:$O$23,11,0)</f>
        <v>3.4241453570900749E-3</v>
      </c>
      <c r="J19" s="44">
        <f ca="1">'Hist Corr matrix'!J19*VLOOKUP('Hist Cov matrix (stdev)'!$B19,'Asset Universe'!$C$3:$O$23,11,0)*VLOOKUP('Hist Cov matrix (stdev)'!J$2,'Asset Universe'!$C$3:$O$23,11,0)</f>
        <v>6.2781025421678703E-3</v>
      </c>
      <c r="K19" s="44">
        <f ca="1">'Hist Corr matrix'!K19*VLOOKUP('Hist Cov matrix (stdev)'!$B19,'Asset Universe'!$C$3:$O$23,11,0)*VLOOKUP('Hist Cov matrix (stdev)'!K$2,'Asset Universe'!$C$3:$O$23,11,0)</f>
        <v>1.3694509730272789E-2</v>
      </c>
      <c r="L19" s="44">
        <f ca="1">'Hist Corr matrix'!L19*VLOOKUP('Hist Cov matrix (stdev)'!$B19,'Asset Universe'!$C$3:$O$23,11,0)*VLOOKUP('Hist Cov matrix (stdev)'!L$2,'Asset Universe'!$C$3:$O$23,11,0)</f>
        <v>1.8340350990485303E-2</v>
      </c>
      <c r="M19" s="44">
        <f ca="1">'Hist Corr matrix'!M19*VLOOKUP('Hist Cov matrix (stdev)'!$B19,'Asset Universe'!$C$3:$O$23,11,0)*VLOOKUP('Hist Cov matrix (stdev)'!M$2,'Asset Universe'!$C$3:$O$23,11,0)</f>
        <v>4.6651014622066727E-3</v>
      </c>
      <c r="N19" s="44">
        <f ca="1">'Hist Corr matrix'!N19*VLOOKUP('Hist Cov matrix (stdev)'!$B19,'Asset Universe'!$C$3:$O$23,11,0)*VLOOKUP('Hist Cov matrix (stdev)'!N$2,'Asset Universe'!$C$3:$O$23,11,0)</f>
        <v>5.1369969446407029E-4</v>
      </c>
      <c r="O19" s="44">
        <f ca="1">'Hist Corr matrix'!O19*VLOOKUP('Hist Cov matrix (stdev)'!$B19,'Asset Universe'!$C$3:$O$23,11,0)*VLOOKUP('Hist Cov matrix (stdev)'!O$2,'Asset Universe'!$C$3:$O$23,11,0)</f>
        <v>3.9389470613064113E-3</v>
      </c>
      <c r="P19" s="44">
        <f ca="1">'Hist Corr matrix'!P19*VLOOKUP('Hist Cov matrix (stdev)'!$B19,'Asset Universe'!$C$3:$O$23,11,0)*VLOOKUP('Hist Cov matrix (stdev)'!P$2,'Asset Universe'!$C$3:$O$23,11,0)</f>
        <v>3.9541900723370502E-3</v>
      </c>
      <c r="Q19" s="44">
        <f ca="1">'Hist Corr matrix'!Q19*VLOOKUP('Hist Cov matrix (stdev)'!$B19,'Asset Universe'!$C$3:$O$23,11,0)*VLOOKUP('Hist Cov matrix (stdev)'!Q$2,'Asset Universe'!$C$3:$O$23,11,0)</f>
        <v>1.4792402202142077E-3</v>
      </c>
      <c r="R19" s="44">
        <f ca="1">'Hist Corr matrix'!R19*VLOOKUP('Hist Cov matrix (stdev)'!$B19,'Asset Universe'!$C$3:$O$23,11,0)*VLOOKUP('Hist Cov matrix (stdev)'!R$2,'Asset Universe'!$C$3:$O$23,11,0)</f>
        <v>2.0463921196721226E-3</v>
      </c>
      <c r="S19" s="44">
        <f ca="1">'Hist Corr matrix'!S19*VLOOKUP('Hist Cov matrix (stdev)'!$B19,'Asset Universe'!$C$3:$O$23,11,0)*VLOOKUP('Hist Cov matrix (stdev)'!S$2,'Asset Universe'!$C$3:$O$23,11,0)</f>
        <v>2.0829624075849717E-2</v>
      </c>
      <c r="T19" s="44">
        <f ca="1">'Hist Corr matrix'!T19*VLOOKUP('Hist Cov matrix (stdev)'!$B19,'Asset Universe'!$C$3:$O$23,11,0)*VLOOKUP('Hist Cov matrix (stdev)'!T$2,'Asset Universe'!$C$3:$O$23,11,0)</f>
        <v>3.0498824250754325E-4</v>
      </c>
      <c r="U19" s="44">
        <f ca="1">'Hist Corr matrix'!U19*VLOOKUP('Hist Cov matrix (stdev)'!$B19,'Asset Universe'!$C$3:$O$23,11,0)*VLOOKUP('Hist Cov matrix (stdev)'!U$2,'Asset Universe'!$C$3:$O$23,11,0)</f>
        <v>7.4320930712384022E-3</v>
      </c>
      <c r="V19" s="44">
        <f ca="1">'Hist Corr matrix'!V19*VLOOKUP('Hist Cov matrix (stdev)'!$B19,'Asset Universe'!$C$3:$O$23,11,0)*VLOOKUP('Hist Cov matrix (stdev)'!V$2,'Asset Universe'!$C$3:$O$23,11,0)</f>
        <v>-6.7734012207617544E-3</v>
      </c>
      <c r="W19" s="44">
        <f ca="1">'Hist Corr matrix'!W19*VLOOKUP('Hist Cov matrix (stdev)'!$B19,'Asset Universe'!$C$3:$O$23,11,0)*VLOOKUP('Hist Cov matrix (stdev)'!W$2,'Asset Universe'!$C$3:$O$23,11,0)</f>
        <v>-4.103985823124697E-3</v>
      </c>
    </row>
    <row r="20" spans="2:23" ht="23.5" customHeight="1" x14ac:dyDescent="0.35">
      <c r="B20" s="41" t="s">
        <v>98</v>
      </c>
      <c r="C20" s="44">
        <f ca="1">'Hist Corr matrix'!C20*VLOOKUP('Hist Cov matrix (stdev)'!$B20,'Asset Universe'!$C$3:$O$23,11,0)*VLOOKUP('Hist Cov matrix (stdev)'!C$2,'Asset Universe'!$C$3:$O$23,11,0)</f>
        <v>1.4501695797077344E-3</v>
      </c>
      <c r="D20" s="44">
        <f ca="1">'Hist Corr matrix'!D20*VLOOKUP('Hist Cov matrix (stdev)'!$B20,'Asset Universe'!$C$3:$O$23,11,0)*VLOOKUP('Hist Cov matrix (stdev)'!D$2,'Asset Universe'!$C$3:$O$23,11,0)</f>
        <v>3.0374759618569955E-3</v>
      </c>
      <c r="E20" s="44">
        <f ca="1">'Hist Corr matrix'!E20*VLOOKUP('Hist Cov matrix (stdev)'!$B20,'Asset Universe'!$C$3:$O$23,11,0)*VLOOKUP('Hist Cov matrix (stdev)'!E$2,'Asset Universe'!$C$3:$O$23,11,0)</f>
        <v>1.8281621398312583E-3</v>
      </c>
      <c r="F20" s="44">
        <f ca="1">'Hist Corr matrix'!F20*VLOOKUP('Hist Cov matrix (stdev)'!$B20,'Asset Universe'!$C$3:$O$23,11,0)*VLOOKUP('Hist Cov matrix (stdev)'!F$2,'Asset Universe'!$C$3:$O$23,11,0)</f>
        <v>8.4126319745171305E-4</v>
      </c>
      <c r="G20" s="44">
        <f ca="1">'Hist Corr matrix'!G20*VLOOKUP('Hist Cov matrix (stdev)'!$B20,'Asset Universe'!$C$3:$O$23,11,0)*VLOOKUP('Hist Cov matrix (stdev)'!G$2,'Asset Universe'!$C$3:$O$23,11,0)</f>
        <v>1.0962928293744699E-3</v>
      </c>
      <c r="H20" s="44">
        <f ca="1">'Hist Corr matrix'!H20*VLOOKUP('Hist Cov matrix (stdev)'!$B20,'Asset Universe'!$C$3:$O$23,11,0)*VLOOKUP('Hist Cov matrix (stdev)'!H$2,'Asset Universe'!$C$3:$O$23,11,0)</f>
        <v>1.3254913060328209E-3</v>
      </c>
      <c r="I20" s="44">
        <f ca="1">'Hist Corr matrix'!I20*VLOOKUP('Hist Cov matrix (stdev)'!$B20,'Asset Universe'!$C$3:$O$23,11,0)*VLOOKUP('Hist Cov matrix (stdev)'!I$2,'Asset Universe'!$C$3:$O$23,11,0)</f>
        <v>1.4593347352209244E-3</v>
      </c>
      <c r="J20" s="44">
        <f ca="1">'Hist Corr matrix'!J20*VLOOKUP('Hist Cov matrix (stdev)'!$B20,'Asset Universe'!$C$3:$O$23,11,0)*VLOOKUP('Hist Cov matrix (stdev)'!J$2,'Asset Universe'!$C$3:$O$23,11,0)</f>
        <v>1.4534614868058347E-3</v>
      </c>
      <c r="K20" s="44">
        <f ca="1">'Hist Corr matrix'!K20*VLOOKUP('Hist Cov matrix (stdev)'!$B20,'Asset Universe'!$C$3:$O$23,11,0)*VLOOKUP('Hist Cov matrix (stdev)'!K$2,'Asset Universe'!$C$3:$O$23,11,0)</f>
        <v>1.5884095415718376E-3</v>
      </c>
      <c r="L20" s="44">
        <f ca="1">'Hist Corr matrix'!L20*VLOOKUP('Hist Cov matrix (stdev)'!$B20,'Asset Universe'!$C$3:$O$23,11,0)*VLOOKUP('Hist Cov matrix (stdev)'!L$2,'Asset Universe'!$C$3:$O$23,11,0)</f>
        <v>2.5879389945875444E-3</v>
      </c>
      <c r="M20" s="44">
        <f ca="1">'Hist Corr matrix'!M20*VLOOKUP('Hist Cov matrix (stdev)'!$B20,'Asset Universe'!$C$3:$O$23,11,0)*VLOOKUP('Hist Cov matrix (stdev)'!M$2,'Asset Universe'!$C$3:$O$23,11,0)</f>
        <v>1.2537279285351097E-3</v>
      </c>
      <c r="N20" s="44">
        <f ca="1">'Hist Corr matrix'!N20*VLOOKUP('Hist Cov matrix (stdev)'!$B20,'Asset Universe'!$C$3:$O$23,11,0)*VLOOKUP('Hist Cov matrix (stdev)'!N$2,'Asset Universe'!$C$3:$O$23,11,0)</f>
        <v>2.2679842792703419E-3</v>
      </c>
      <c r="O20" s="44">
        <f ca="1">'Hist Corr matrix'!O20*VLOOKUP('Hist Cov matrix (stdev)'!$B20,'Asset Universe'!$C$3:$O$23,11,0)*VLOOKUP('Hist Cov matrix (stdev)'!O$2,'Asset Universe'!$C$3:$O$23,11,0)</f>
        <v>1.7930721688062131E-3</v>
      </c>
      <c r="P20" s="44">
        <f ca="1">'Hist Corr matrix'!P20*VLOOKUP('Hist Cov matrix (stdev)'!$B20,'Asset Universe'!$C$3:$O$23,11,0)*VLOOKUP('Hist Cov matrix (stdev)'!P$2,'Asset Universe'!$C$3:$O$23,11,0)</f>
        <v>1.2768619409726737E-3</v>
      </c>
      <c r="Q20" s="44">
        <f ca="1">'Hist Corr matrix'!Q20*VLOOKUP('Hist Cov matrix (stdev)'!$B20,'Asset Universe'!$C$3:$O$23,11,0)*VLOOKUP('Hist Cov matrix (stdev)'!Q$2,'Asset Universe'!$C$3:$O$23,11,0)</f>
        <v>4.0680418890141543E-4</v>
      </c>
      <c r="R20" s="44">
        <f ca="1">'Hist Corr matrix'!R20*VLOOKUP('Hist Cov matrix (stdev)'!$B20,'Asset Universe'!$C$3:$O$23,11,0)*VLOOKUP('Hist Cov matrix (stdev)'!R$2,'Asset Universe'!$C$3:$O$23,11,0)</f>
        <v>4.2625938617720991E-4</v>
      </c>
      <c r="S20" s="44">
        <f ca="1">'Hist Corr matrix'!S20*VLOOKUP('Hist Cov matrix (stdev)'!$B20,'Asset Universe'!$C$3:$O$23,11,0)*VLOOKUP('Hist Cov matrix (stdev)'!S$2,'Asset Universe'!$C$3:$O$23,11,0)</f>
        <v>3.049882425075432E-4</v>
      </c>
      <c r="T20" s="44">
        <f ca="1">'Hist Corr matrix'!T20*VLOOKUP('Hist Cov matrix (stdev)'!$B20,'Asset Universe'!$C$3:$O$23,11,0)*VLOOKUP('Hist Cov matrix (stdev)'!T$2,'Asset Universe'!$C$3:$O$23,11,0)</f>
        <v>8.152420786138615E-4</v>
      </c>
      <c r="U20" s="44">
        <f ca="1">'Hist Corr matrix'!U20*VLOOKUP('Hist Cov matrix (stdev)'!$B20,'Asset Universe'!$C$3:$O$23,11,0)*VLOOKUP('Hist Cov matrix (stdev)'!U$2,'Asset Universe'!$C$3:$O$23,11,0)</f>
        <v>2.9921579623519838E-3</v>
      </c>
      <c r="V20" s="44">
        <f ca="1">'Hist Corr matrix'!V20*VLOOKUP('Hist Cov matrix (stdev)'!$B20,'Asset Universe'!$C$3:$O$23,11,0)*VLOOKUP('Hist Cov matrix (stdev)'!V$2,'Asset Universe'!$C$3:$O$23,11,0)</f>
        <v>-9.9845585294173057E-4</v>
      </c>
      <c r="W20" s="44">
        <f ca="1">'Hist Corr matrix'!W20*VLOOKUP('Hist Cov matrix (stdev)'!$B20,'Asset Universe'!$C$3:$O$23,11,0)*VLOOKUP('Hist Cov matrix (stdev)'!W$2,'Asset Universe'!$C$3:$O$23,11,0)</f>
        <v>-3.9495451385594915E-4</v>
      </c>
    </row>
    <row r="21" spans="2:23" ht="23.5" customHeight="1" x14ac:dyDescent="0.35">
      <c r="B21" s="41" t="s">
        <v>108</v>
      </c>
      <c r="C21" s="44">
        <f ca="1">'Hist Corr matrix'!C21*VLOOKUP('Hist Cov matrix (stdev)'!$B21,'Asset Universe'!$C$3:$O$23,11,0)*VLOOKUP('Hist Cov matrix (stdev)'!C$2,'Asset Universe'!$C$3:$O$23,11,0)</f>
        <v>1.6123025139201147E-3</v>
      </c>
      <c r="D21" s="44">
        <f ca="1">'Hist Corr matrix'!D21*VLOOKUP('Hist Cov matrix (stdev)'!$B21,'Asset Universe'!$C$3:$O$23,11,0)*VLOOKUP('Hist Cov matrix (stdev)'!D$2,'Asset Universe'!$C$3:$O$23,11,0)</f>
        <v>4.2457921833798521E-3</v>
      </c>
      <c r="E21" s="44">
        <f ca="1">'Hist Corr matrix'!E21*VLOOKUP('Hist Cov matrix (stdev)'!$B21,'Asset Universe'!$C$3:$O$23,11,0)*VLOOKUP('Hist Cov matrix (stdev)'!E$2,'Asset Universe'!$C$3:$O$23,11,0)</f>
        <v>4.4470432820232723E-3</v>
      </c>
      <c r="F21" s="44">
        <f ca="1">'Hist Corr matrix'!F21*VLOOKUP('Hist Cov matrix (stdev)'!$B21,'Asset Universe'!$C$3:$O$23,11,0)*VLOOKUP('Hist Cov matrix (stdev)'!F$2,'Asset Universe'!$C$3:$O$23,11,0)</f>
        <v>1.5735672987581156E-3</v>
      </c>
      <c r="G21" s="44">
        <f ca="1">'Hist Corr matrix'!G21*VLOOKUP('Hist Cov matrix (stdev)'!$B21,'Asset Universe'!$C$3:$O$23,11,0)*VLOOKUP('Hist Cov matrix (stdev)'!G$2,'Asset Universe'!$C$3:$O$23,11,0)</f>
        <v>2.1811138317637019E-3</v>
      </c>
      <c r="H21" s="44">
        <f ca="1">'Hist Corr matrix'!H21*VLOOKUP('Hist Cov matrix (stdev)'!$B21,'Asset Universe'!$C$3:$O$23,11,0)*VLOOKUP('Hist Cov matrix (stdev)'!H$2,'Asset Universe'!$C$3:$O$23,11,0)</f>
        <v>3.8667055218347996E-3</v>
      </c>
      <c r="I21" s="44">
        <f ca="1">'Hist Corr matrix'!I21*VLOOKUP('Hist Cov matrix (stdev)'!$B21,'Asset Universe'!$C$3:$O$23,11,0)*VLOOKUP('Hist Cov matrix (stdev)'!I$2,'Asset Universe'!$C$3:$O$23,11,0)</f>
        <v>4.5758149462510316E-3</v>
      </c>
      <c r="J21" s="44">
        <f ca="1">'Hist Corr matrix'!J21*VLOOKUP('Hist Cov matrix (stdev)'!$B21,'Asset Universe'!$C$3:$O$23,11,0)*VLOOKUP('Hist Cov matrix (stdev)'!J$2,'Asset Universe'!$C$3:$O$23,11,0)</f>
        <v>5.4840266285091591E-3</v>
      </c>
      <c r="K21" s="44">
        <f ca="1">'Hist Corr matrix'!K21*VLOOKUP('Hist Cov matrix (stdev)'!$B21,'Asset Universe'!$C$3:$O$23,11,0)*VLOOKUP('Hist Cov matrix (stdev)'!K$2,'Asset Universe'!$C$3:$O$23,11,0)</f>
        <v>1.1392101939172873E-2</v>
      </c>
      <c r="L21" s="44">
        <f ca="1">'Hist Corr matrix'!L21*VLOOKUP('Hist Cov matrix (stdev)'!$B21,'Asset Universe'!$C$3:$O$23,11,0)*VLOOKUP('Hist Cov matrix (stdev)'!L$2,'Asset Universe'!$C$3:$O$23,11,0)</f>
        <v>1.5829704212531947E-2</v>
      </c>
      <c r="M21" s="44">
        <f ca="1">'Hist Corr matrix'!M21*VLOOKUP('Hist Cov matrix (stdev)'!$B21,'Asset Universe'!$C$3:$O$23,11,0)*VLOOKUP('Hist Cov matrix (stdev)'!M$2,'Asset Universe'!$C$3:$O$23,11,0)</f>
        <v>7.0779798717519899E-3</v>
      </c>
      <c r="N21" s="44">
        <f ca="1">'Hist Corr matrix'!N21*VLOOKUP('Hist Cov matrix (stdev)'!$B21,'Asset Universe'!$C$3:$O$23,11,0)*VLOOKUP('Hist Cov matrix (stdev)'!N$2,'Asset Universe'!$C$3:$O$23,11,0)</f>
        <v>3.1816770866239766E-3</v>
      </c>
      <c r="O21" s="44">
        <f ca="1">'Hist Corr matrix'!O21*VLOOKUP('Hist Cov matrix (stdev)'!$B21,'Asset Universe'!$C$3:$O$23,11,0)*VLOOKUP('Hist Cov matrix (stdev)'!O$2,'Asset Universe'!$C$3:$O$23,11,0)</f>
        <v>1.0145700111337296E-2</v>
      </c>
      <c r="P21" s="44">
        <f ca="1">'Hist Corr matrix'!P21*VLOOKUP('Hist Cov matrix (stdev)'!$B21,'Asset Universe'!$C$3:$O$23,11,0)*VLOOKUP('Hist Cov matrix (stdev)'!P$2,'Asset Universe'!$C$3:$O$23,11,0)</f>
        <v>3.5153177622409648E-3</v>
      </c>
      <c r="Q21" s="44">
        <f ca="1">'Hist Corr matrix'!Q21*VLOOKUP('Hist Cov matrix (stdev)'!$B21,'Asset Universe'!$C$3:$O$23,11,0)*VLOOKUP('Hist Cov matrix (stdev)'!Q$2,'Asset Universe'!$C$3:$O$23,11,0)</f>
        <v>3.3189499069323372E-3</v>
      </c>
      <c r="R21" s="44">
        <f ca="1">'Hist Corr matrix'!R21*VLOOKUP('Hist Cov matrix (stdev)'!$B21,'Asset Universe'!$C$3:$O$23,11,0)*VLOOKUP('Hist Cov matrix (stdev)'!R$2,'Asset Universe'!$C$3:$O$23,11,0)</f>
        <v>3.2084474086259314E-3</v>
      </c>
      <c r="S21" s="44">
        <f ca="1">'Hist Corr matrix'!S21*VLOOKUP('Hist Cov matrix (stdev)'!$B21,'Asset Universe'!$C$3:$O$23,11,0)*VLOOKUP('Hist Cov matrix (stdev)'!S$2,'Asset Universe'!$C$3:$O$23,11,0)</f>
        <v>7.4320930712384022E-3</v>
      </c>
      <c r="T21" s="44">
        <f ca="1">'Hist Corr matrix'!T21*VLOOKUP('Hist Cov matrix (stdev)'!$B21,'Asset Universe'!$C$3:$O$23,11,0)*VLOOKUP('Hist Cov matrix (stdev)'!T$2,'Asset Universe'!$C$3:$O$23,11,0)</f>
        <v>2.9921579623519842E-3</v>
      </c>
      <c r="U21" s="44">
        <f ca="1">'Hist Corr matrix'!U21*VLOOKUP('Hist Cov matrix (stdev)'!$B21,'Asset Universe'!$C$3:$O$23,11,0)*VLOOKUP('Hist Cov matrix (stdev)'!U$2,'Asset Universe'!$C$3:$O$23,11,0)</f>
        <v>1.7286125450328125E-2</v>
      </c>
      <c r="V21" s="44">
        <f ca="1">'Hist Corr matrix'!V21*VLOOKUP('Hist Cov matrix (stdev)'!$B21,'Asset Universe'!$C$3:$O$23,11,0)*VLOOKUP('Hist Cov matrix (stdev)'!V$2,'Asset Universe'!$C$3:$O$23,11,0)</f>
        <v>1.1096750178586389E-3</v>
      </c>
      <c r="W21" s="44">
        <f ca="1">'Hist Corr matrix'!W21*VLOOKUP('Hist Cov matrix (stdev)'!$B21,'Asset Universe'!$C$3:$O$23,11,0)*VLOOKUP('Hist Cov matrix (stdev)'!W$2,'Asset Universe'!$C$3:$O$23,11,0)</f>
        <v>3.4823817883698812E-3</v>
      </c>
    </row>
    <row r="22" spans="2:23" ht="23.5" customHeight="1" x14ac:dyDescent="0.35">
      <c r="B22" s="41" t="s">
        <v>81</v>
      </c>
      <c r="C22" s="44">
        <f ca="1">'Hist Corr matrix'!C22*VLOOKUP('Hist Cov matrix (stdev)'!$B22,'Asset Universe'!$C$3:$O$23,11,0)*VLOOKUP('Hist Cov matrix (stdev)'!C$2,'Asset Universe'!$C$3:$O$23,11,0)</f>
        <v>-3.2282653630732327E-4</v>
      </c>
      <c r="D22" s="44">
        <f ca="1">'Hist Corr matrix'!D22*VLOOKUP('Hist Cov matrix (stdev)'!$B22,'Asset Universe'!$C$3:$O$23,11,0)*VLOOKUP('Hist Cov matrix (stdev)'!D$2,'Asset Universe'!$C$3:$O$23,11,0)</f>
        <v>7.0402667503763783E-4</v>
      </c>
      <c r="E22" s="44">
        <f ca="1">'Hist Corr matrix'!E22*VLOOKUP('Hist Cov matrix (stdev)'!$B22,'Asset Universe'!$C$3:$O$23,11,0)*VLOOKUP('Hist Cov matrix (stdev)'!E$2,'Asset Universe'!$C$3:$O$23,11,0)</f>
        <v>-5.3541553262073248E-4</v>
      </c>
      <c r="F22" s="44">
        <f ca="1">'Hist Corr matrix'!F22*VLOOKUP('Hist Cov matrix (stdev)'!$B22,'Asset Universe'!$C$3:$O$23,11,0)*VLOOKUP('Hist Cov matrix (stdev)'!F$2,'Asset Universe'!$C$3:$O$23,11,0)</f>
        <v>-3.0114441743226806E-5</v>
      </c>
      <c r="G22" s="44">
        <f ca="1">'Hist Corr matrix'!G22*VLOOKUP('Hist Cov matrix (stdev)'!$B22,'Asset Universe'!$C$3:$O$23,11,0)*VLOOKUP('Hist Cov matrix (stdev)'!G$2,'Asset Universe'!$C$3:$O$23,11,0)</f>
        <v>-9.4858251126026067E-5</v>
      </c>
      <c r="H22" s="44">
        <f ca="1">'Hist Corr matrix'!H22*VLOOKUP('Hist Cov matrix (stdev)'!$B22,'Asset Universe'!$C$3:$O$23,11,0)*VLOOKUP('Hist Cov matrix (stdev)'!H$2,'Asset Universe'!$C$3:$O$23,11,0)</f>
        <v>1.8293548276170082E-4</v>
      </c>
      <c r="I22" s="44">
        <f ca="1">'Hist Corr matrix'!I22*VLOOKUP('Hist Cov matrix (stdev)'!$B22,'Asset Universe'!$C$3:$O$23,11,0)*VLOOKUP('Hist Cov matrix (stdev)'!I$2,'Asset Universe'!$C$3:$O$23,11,0)</f>
        <v>8.36646052469353E-4</v>
      </c>
      <c r="J22" s="44">
        <f ca="1">'Hist Corr matrix'!J22*VLOOKUP('Hist Cov matrix (stdev)'!$B22,'Asset Universe'!$C$3:$O$23,11,0)*VLOOKUP('Hist Cov matrix (stdev)'!J$2,'Asset Universe'!$C$3:$O$23,11,0)</f>
        <v>4.3483452214768489E-4</v>
      </c>
      <c r="K22" s="44">
        <f ca="1">'Hist Corr matrix'!K22*VLOOKUP('Hist Cov matrix (stdev)'!$B22,'Asset Universe'!$C$3:$O$23,11,0)*VLOOKUP('Hist Cov matrix (stdev)'!K$2,'Asset Universe'!$C$3:$O$23,11,0)</f>
        <v>8.5286149926847639E-4</v>
      </c>
      <c r="L22" s="44">
        <f ca="1">'Hist Corr matrix'!L22*VLOOKUP('Hist Cov matrix (stdev)'!$B22,'Asset Universe'!$C$3:$O$23,11,0)*VLOOKUP('Hist Cov matrix (stdev)'!L$2,'Asset Universe'!$C$3:$O$23,11,0)</f>
        <v>1.8142330876714445E-3</v>
      </c>
      <c r="M22" s="44">
        <f ca="1">'Hist Corr matrix'!M22*VLOOKUP('Hist Cov matrix (stdev)'!$B22,'Asset Universe'!$C$3:$O$23,11,0)*VLOOKUP('Hist Cov matrix (stdev)'!M$2,'Asset Universe'!$C$3:$O$23,11,0)</f>
        <v>-1.1634032075544169E-3</v>
      </c>
      <c r="N22" s="44">
        <f ca="1">'Hist Corr matrix'!N22*VLOOKUP('Hist Cov matrix (stdev)'!$B22,'Asset Universe'!$C$3:$O$23,11,0)*VLOOKUP('Hist Cov matrix (stdev)'!N$2,'Asset Universe'!$C$3:$O$23,11,0)</f>
        <v>-8.9373924402864023E-4</v>
      </c>
      <c r="O22" s="44">
        <f ca="1">'Hist Corr matrix'!O22*VLOOKUP('Hist Cov matrix (stdev)'!$B22,'Asset Universe'!$C$3:$O$23,11,0)*VLOOKUP('Hist Cov matrix (stdev)'!O$2,'Asset Universe'!$C$3:$O$23,11,0)</f>
        <v>6.7274752284343425E-4</v>
      </c>
      <c r="P22" s="44">
        <f ca="1">'Hist Corr matrix'!P22*VLOOKUP('Hist Cov matrix (stdev)'!$B22,'Asset Universe'!$C$3:$O$23,11,0)*VLOOKUP('Hist Cov matrix (stdev)'!P$2,'Asset Universe'!$C$3:$O$23,11,0)</f>
        <v>6.4527637734644106E-4</v>
      </c>
      <c r="Q22" s="44">
        <f ca="1">'Hist Corr matrix'!Q22*VLOOKUP('Hist Cov matrix (stdev)'!$B22,'Asset Universe'!$C$3:$O$23,11,0)*VLOOKUP('Hist Cov matrix (stdev)'!Q$2,'Asset Universe'!$C$3:$O$23,11,0)</f>
        <v>2.0812744860875098E-3</v>
      </c>
      <c r="R22" s="44">
        <f ca="1">'Hist Corr matrix'!R22*VLOOKUP('Hist Cov matrix (stdev)'!$B22,'Asset Universe'!$C$3:$O$23,11,0)*VLOOKUP('Hist Cov matrix (stdev)'!R$2,'Asset Universe'!$C$3:$O$23,11,0)</f>
        <v>1.6916044794924724E-3</v>
      </c>
      <c r="S22" s="44">
        <f ca="1">'Hist Corr matrix'!S22*VLOOKUP('Hist Cov matrix (stdev)'!$B22,'Asset Universe'!$C$3:$O$23,11,0)*VLOOKUP('Hist Cov matrix (stdev)'!S$2,'Asset Universe'!$C$3:$O$23,11,0)</f>
        <v>-6.7734012207617544E-3</v>
      </c>
      <c r="T22" s="44">
        <f ca="1">'Hist Corr matrix'!T22*VLOOKUP('Hist Cov matrix (stdev)'!$B22,'Asset Universe'!$C$3:$O$23,11,0)*VLOOKUP('Hist Cov matrix (stdev)'!T$2,'Asset Universe'!$C$3:$O$23,11,0)</f>
        <v>-9.9845585294173057E-4</v>
      </c>
      <c r="U22" s="44">
        <f ca="1">'Hist Corr matrix'!U22*VLOOKUP('Hist Cov matrix (stdev)'!$B22,'Asset Universe'!$C$3:$O$23,11,0)*VLOOKUP('Hist Cov matrix (stdev)'!U$2,'Asset Universe'!$C$3:$O$23,11,0)</f>
        <v>1.1096750178586389E-3</v>
      </c>
      <c r="V22" s="44">
        <f ca="1">'Hist Corr matrix'!V22*VLOOKUP('Hist Cov matrix (stdev)'!$B22,'Asset Universe'!$C$3:$O$23,11,0)*VLOOKUP('Hist Cov matrix (stdev)'!V$2,'Asset Universe'!$C$3:$O$23,11,0)</f>
        <v>6.3875526944260075E-2</v>
      </c>
      <c r="W22" s="44">
        <f ca="1">'Hist Corr matrix'!W22*VLOOKUP('Hist Cov matrix (stdev)'!$B22,'Asset Universe'!$C$3:$O$23,11,0)*VLOOKUP('Hist Cov matrix (stdev)'!W$2,'Asset Universe'!$C$3:$O$23,11,0)</f>
        <v>3.1259215712204601E-2</v>
      </c>
    </row>
    <row r="23" spans="2:23" ht="23.5" customHeight="1" x14ac:dyDescent="0.35">
      <c r="B23" s="41" t="s">
        <v>97</v>
      </c>
      <c r="C23" s="44">
        <f ca="1">'Hist Corr matrix'!C23*VLOOKUP('Hist Cov matrix (stdev)'!$B23,'Asset Universe'!$C$3:$O$23,11,0)*VLOOKUP('Hist Cov matrix (stdev)'!C$2,'Asset Universe'!$C$3:$O$23,11,0)</f>
        <v>1.1078216184024937E-4</v>
      </c>
      <c r="D23" s="44">
        <f ca="1">'Hist Corr matrix'!D23*VLOOKUP('Hist Cov matrix (stdev)'!$B23,'Asset Universe'!$C$3:$O$23,11,0)*VLOOKUP('Hist Cov matrix (stdev)'!D$2,'Asset Universe'!$C$3:$O$23,11,0)</f>
        <v>6.4426250709080071E-4</v>
      </c>
      <c r="E23" s="44">
        <f ca="1">'Hist Corr matrix'!E23*VLOOKUP('Hist Cov matrix (stdev)'!$B23,'Asset Universe'!$C$3:$O$23,11,0)*VLOOKUP('Hist Cov matrix (stdev)'!E$2,'Asset Universe'!$C$3:$O$23,11,0)</f>
        <v>3.5110651637178068E-4</v>
      </c>
      <c r="F23" s="44">
        <f ca="1">'Hist Corr matrix'!F23*VLOOKUP('Hist Cov matrix (stdev)'!$B23,'Asset Universe'!$C$3:$O$23,11,0)*VLOOKUP('Hist Cov matrix (stdev)'!F$2,'Asset Universe'!$C$3:$O$23,11,0)</f>
        <v>9.4839975682819576E-5</v>
      </c>
      <c r="G23" s="44">
        <f ca="1">'Hist Corr matrix'!G23*VLOOKUP('Hist Cov matrix (stdev)'!$B23,'Asset Universe'!$C$3:$O$23,11,0)*VLOOKUP('Hist Cov matrix (stdev)'!G$2,'Asset Universe'!$C$3:$O$23,11,0)</f>
        <v>2.5172687930452489E-4</v>
      </c>
      <c r="H23" s="44">
        <f ca="1">'Hist Corr matrix'!H23*VLOOKUP('Hist Cov matrix (stdev)'!$B23,'Asset Universe'!$C$3:$O$23,11,0)*VLOOKUP('Hist Cov matrix (stdev)'!H$2,'Asset Universe'!$C$3:$O$23,11,0)</f>
        <v>5.0116361973872117E-4</v>
      </c>
      <c r="I23" s="44">
        <f ca="1">'Hist Corr matrix'!I23*VLOOKUP('Hist Cov matrix (stdev)'!$B23,'Asset Universe'!$C$3:$O$23,11,0)*VLOOKUP('Hist Cov matrix (stdev)'!I$2,'Asset Universe'!$C$3:$O$23,11,0)</f>
        <v>8.9549059044370151E-4</v>
      </c>
      <c r="J23" s="44">
        <f ca="1">'Hist Corr matrix'!J23*VLOOKUP('Hist Cov matrix (stdev)'!$B23,'Asset Universe'!$C$3:$O$23,11,0)*VLOOKUP('Hist Cov matrix (stdev)'!J$2,'Asset Universe'!$C$3:$O$23,11,0)</f>
        <v>6.1987369318742679E-4</v>
      </c>
      <c r="K23" s="44">
        <f ca="1">'Hist Corr matrix'!K23*VLOOKUP('Hist Cov matrix (stdev)'!$B23,'Asset Universe'!$C$3:$O$23,11,0)*VLOOKUP('Hist Cov matrix (stdev)'!K$2,'Asset Universe'!$C$3:$O$23,11,0)</f>
        <v>2.0608061761605932E-3</v>
      </c>
      <c r="L23" s="44">
        <f ca="1">'Hist Corr matrix'!L23*VLOOKUP('Hist Cov matrix (stdev)'!$B23,'Asset Universe'!$C$3:$O$23,11,0)*VLOOKUP('Hist Cov matrix (stdev)'!L$2,'Asset Universe'!$C$3:$O$23,11,0)</f>
        <v>2.9046679582454358E-3</v>
      </c>
      <c r="M23" s="44">
        <f ca="1">'Hist Corr matrix'!M23*VLOOKUP('Hist Cov matrix (stdev)'!$B23,'Asset Universe'!$C$3:$O$23,11,0)*VLOOKUP('Hist Cov matrix (stdev)'!M$2,'Asset Universe'!$C$3:$O$23,11,0)</f>
        <v>-1.2950609277923052E-3</v>
      </c>
      <c r="N23" s="44">
        <f ca="1">'Hist Corr matrix'!N23*VLOOKUP('Hist Cov matrix (stdev)'!$B23,'Asset Universe'!$C$3:$O$23,11,0)*VLOOKUP('Hist Cov matrix (stdev)'!N$2,'Asset Universe'!$C$3:$O$23,11,0)</f>
        <v>1.6015944793009305E-4</v>
      </c>
      <c r="O23" s="44">
        <f ca="1">'Hist Corr matrix'!O23*VLOOKUP('Hist Cov matrix (stdev)'!$B23,'Asset Universe'!$C$3:$O$23,11,0)*VLOOKUP('Hist Cov matrix (stdev)'!O$2,'Asset Universe'!$C$3:$O$23,11,0)</f>
        <v>2.1682289730022724E-3</v>
      </c>
      <c r="P23" s="44">
        <f ca="1">'Hist Corr matrix'!P23*VLOOKUP('Hist Cov matrix (stdev)'!$B23,'Asset Universe'!$C$3:$O$23,11,0)*VLOOKUP('Hist Cov matrix (stdev)'!P$2,'Asset Universe'!$C$3:$O$23,11,0)</f>
        <v>7.1892154183064803E-4</v>
      </c>
      <c r="Q23" s="44">
        <f ca="1">'Hist Corr matrix'!Q23*VLOOKUP('Hist Cov matrix (stdev)'!$B23,'Asset Universe'!$C$3:$O$23,11,0)*VLOOKUP('Hist Cov matrix (stdev)'!Q$2,'Asset Universe'!$C$3:$O$23,11,0)</f>
        <v>2.0136396943057052E-3</v>
      </c>
      <c r="R23" s="44">
        <f ca="1">'Hist Corr matrix'!R23*VLOOKUP('Hist Cov matrix (stdev)'!$B23,'Asset Universe'!$C$3:$O$23,11,0)*VLOOKUP('Hist Cov matrix (stdev)'!R$2,'Asset Universe'!$C$3:$O$23,11,0)</f>
        <v>1.7976729406497889E-3</v>
      </c>
      <c r="S23" s="44">
        <f ca="1">'Hist Corr matrix'!S23*VLOOKUP('Hist Cov matrix (stdev)'!$B23,'Asset Universe'!$C$3:$O$23,11,0)*VLOOKUP('Hist Cov matrix (stdev)'!S$2,'Asset Universe'!$C$3:$O$23,11,0)</f>
        <v>-4.1039858231246961E-3</v>
      </c>
      <c r="T23" s="44">
        <f ca="1">'Hist Corr matrix'!T23*VLOOKUP('Hist Cov matrix (stdev)'!$B23,'Asset Universe'!$C$3:$O$23,11,0)*VLOOKUP('Hist Cov matrix (stdev)'!T$2,'Asset Universe'!$C$3:$O$23,11,0)</f>
        <v>-3.9495451385594915E-4</v>
      </c>
      <c r="U23" s="44">
        <f ca="1">'Hist Corr matrix'!U23*VLOOKUP('Hist Cov matrix (stdev)'!$B23,'Asset Universe'!$C$3:$O$23,11,0)*VLOOKUP('Hist Cov matrix (stdev)'!U$2,'Asset Universe'!$C$3:$O$23,11,0)</f>
        <v>3.4823817883698808E-3</v>
      </c>
      <c r="V23" s="44">
        <f ca="1">'Hist Corr matrix'!V23*VLOOKUP('Hist Cov matrix (stdev)'!$B23,'Asset Universe'!$C$3:$O$23,11,0)*VLOOKUP('Hist Cov matrix (stdev)'!V$2,'Asset Universe'!$C$3:$O$23,11,0)</f>
        <v>3.1259215712204601E-2</v>
      </c>
      <c r="W23" s="44">
        <f ca="1">'Hist Corr matrix'!W23*VLOOKUP('Hist Cov matrix (stdev)'!$B23,'Asset Universe'!$C$3:$O$23,11,0)*VLOOKUP('Hist Cov matrix (stdev)'!W$2,'Asset Universe'!$C$3:$O$23,11,0)</f>
        <v>3.0485132094648804E-2</v>
      </c>
    </row>
  </sheetData>
  <conditionalFormatting sqref="C3:W23">
    <cfRule type="colorScale" priority="1">
      <colorScale>
        <cfvo type="min"/>
        <cfvo type="percentile" val="50"/>
        <cfvo type="max"/>
        <color rgb="FF097B9F"/>
        <color rgb="FFFCFCFF"/>
        <color rgb="FFC75959"/>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Timeseries</vt:lpstr>
      <vt:lpstr>PerStock</vt:lpstr>
      <vt:lpstr>Summary</vt:lpstr>
      <vt:lpstr>JPM Corr</vt:lpstr>
      <vt:lpstr>JPM Cov matrix</vt:lpstr>
      <vt:lpstr>Levels</vt:lpstr>
      <vt:lpstr>Returns</vt:lpstr>
      <vt:lpstr>Asset Universe</vt:lpstr>
      <vt:lpstr>Hist Corr matrix</vt:lpstr>
      <vt:lpstr>Hist Cov matrix</vt:lpstr>
      <vt:lpstr>Hist Cov matrix (stdev)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Giga Nozadze</cp:lastModifiedBy>
  <dcterms:created xsi:type="dcterms:W3CDTF">2025-09-08T19:56:02Z</dcterms:created>
  <dcterms:modified xsi:type="dcterms:W3CDTF">2025-12-08T17:59:17Z</dcterms:modified>
</cp:coreProperties>
</file>
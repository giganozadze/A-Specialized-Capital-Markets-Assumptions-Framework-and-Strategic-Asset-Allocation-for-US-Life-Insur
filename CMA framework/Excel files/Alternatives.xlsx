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gigan\OneDrive\Desktop\NYU\Fall 2025\Capstone\CMA framework\Excel files\"/>
    </mc:Choice>
  </mc:AlternateContent>
  <xr:revisionPtr revIDLastSave="0" documentId="13_ncr:1_{44ECC814-71CB-4BB9-9D46-7C6BB301BE83}" xr6:coauthVersionLast="47" xr6:coauthVersionMax="47" xr10:uidLastSave="{00000000-0000-0000-0000-000000000000}"/>
  <bookViews>
    <workbookView xWindow="-110" yWindow="-110" windowWidth="19420" windowHeight="11500" tabRatio="761" xr2:uid="{00000000-000D-0000-FFFF-FFFF00000000}"/>
  </bookViews>
  <sheets>
    <sheet name="private_equity" sheetId="1" r:id="rId1"/>
    <sheet name="ma_deal_list" sheetId="2" r:id="rId2"/>
    <sheet name="cost_of_debt" sheetId="3" r:id="rId3"/>
    <sheet name="real_estate" sheetId="4" r:id="rId4"/>
    <sheet name="private_credit" sheetId="5" r:id="rId5"/>
    <sheet name="cash"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8" i="1" l="1"/>
  <c r="C6" i="5"/>
  <c r="C8" i="5"/>
  <c r="C7" i="5"/>
  <c r="G14" i="4"/>
  <c r="D14" i="4"/>
  <c r="F308" i="6"/>
  <c r="B280" i="3"/>
  <c r="G18" i="1"/>
  <c r="I18" i="1"/>
  <c r="N18" i="1"/>
  <c r="C7" i="4"/>
  <c r="I14" i="4" s="1"/>
  <c r="C9" i="5"/>
  <c r="C3" i="5" l="1"/>
  <c r="E308" i="6"/>
  <c r="C4" i="5" l="1"/>
  <c r="C10" i="5" l="1"/>
  <c r="C46" i="5"/>
  <c r="C42" i="5"/>
  <c r="C43" i="5" s="1"/>
  <c r="C50" i="5" s="1"/>
  <c r="C38" i="5"/>
  <c r="C31" i="5"/>
  <c r="C30" i="5" a="1"/>
  <c r="C30" i="5"/>
  <c r="C29" i="5"/>
  <c r="C45" i="5" l="1"/>
  <c r="C47" i="5" s="1"/>
  <c r="C49" i="5" s="1"/>
  <c r="C51" i="5" s="1"/>
  <c r="C3" i="4"/>
  <c r="C4" i="4" l="1"/>
  <c r="E14" i="4"/>
  <c r="C12" i="1"/>
  <c r="P18" i="1" s="1"/>
  <c r="C6" i="4" l="1"/>
  <c r="F14" i="4"/>
  <c r="C6" i="1"/>
  <c r="J18" i="1" s="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2" i="2"/>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H14" i="4" l="1"/>
  <c r="C8" i="4"/>
  <c r="J14" i="4" s="1"/>
  <c r="C2" i="1" a="1"/>
  <c r="C2" i="1" s="1"/>
  <c r="C4" i="1" l="1"/>
  <c r="F18" i="1"/>
  <c r="C32" i="5"/>
  <c r="C7" i="1" l="1"/>
  <c r="C9" i="1" s="1"/>
  <c r="H18" i="1"/>
  <c r="K18" i="1"/>
  <c r="C11" i="1" l="1"/>
  <c r="M18" i="1"/>
  <c r="C13" i="1" l="1"/>
  <c r="Q18" i="1" s="1"/>
  <c r="O1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<sst xmlns="http://schemas.openxmlformats.org/spreadsheetml/2006/main" count="6445" uniqueCount="1731">
  <si>
    <t>Income yield</t>
  </si>
  <si>
    <t>Real growth rate</t>
  </si>
  <si>
    <t>Gross real expected return</t>
  </si>
  <si>
    <t>Fees</t>
  </si>
  <si>
    <t>Net expected real return</t>
  </si>
  <si>
    <t xml:space="preserve">Taken from AQR 2025 CMA. For the post-2008 period, we interpolate annual D/E ratios from Pitchbook/Bain. Pre-2008, we assume an aggregate D/E ratio that tapers from 300% in the 1990s to the 150% D/E reported in 2008. Although historical simulations often assume a constant D/E ratio of, say, 200% over time, PE leverage levels have been trending lower despite lower funding costs.30 In principle, higher leverage (D/E) should boost equity returns if operating income is greater
than the interest expense on the debt. In reality, however, Axelson et al. (2013) showed that low funding costs and high leverage tend to coincide with hot, overpriced vintages that have lower future returns. Our usage of PE yield and multiple expansion partly captures this effect. </t>
  </si>
  <si>
    <t>Taken from AQR 2025 CMA. Multiple Expansion: The principle of meanreversion suggests that PE multiple expansion is more likely if it has an initial discount versus the market. Hence, we estimate the return from
multiple expansion as the annualized return if PE multiples converged partly, say 20% of the way, toward the initial public market multiple, over the lifetime of the deal, assumed to be six
years. We f loor this return at zero; that is, we do not allow for multiple compression, as there is evidence that PE GPs delay exits so as to sell at higher multiples.
We assume no multiple expansion in our yieldbased frameworks for passively managed public
equities and fixed income. However, we make an exception for PE due to its active ownership
and some evidence that PE GPs can time deal entries and exits.33 Given the arbitrary nature of
our estimate, our general skepticism around multiple
expansion for any asset class, and the noise in
data on PE purchase multiples, we choose to apply
only a conservative, partial convergence towards
the market multiple.34</t>
  </si>
  <si>
    <t>US M&amp;A deal private equity LBO small cap median LTM EBIT/EV multiple / 2</t>
  </si>
  <si>
    <t xml:space="preserve"> </t>
  </si>
  <si>
    <t>Pending</t>
  </si>
  <si>
    <t>Cash</t>
  </si>
  <si>
    <t>N/A</t>
  </si>
  <si>
    <t>Blackstone Inc</t>
  </si>
  <si>
    <t>TPG Inc</t>
  </si>
  <si>
    <t>IRTH Solutions Inc</t>
  </si>
  <si>
    <t>M&amp;A</t>
  </si>
  <si>
    <t>Advent International Corp</t>
  </si>
  <si>
    <t>GTCR Golder Rauner LLC</t>
  </si>
  <si>
    <t>Zentiva Group AS</t>
  </si>
  <si>
    <t>Rivean Capital BV</t>
  </si>
  <si>
    <t>Platinum Equity LLC</t>
  </si>
  <si>
    <t>Xindao BV</t>
  </si>
  <si>
    <t>Completed</t>
  </si>
  <si>
    <t>Salt Creek Capital Management LLC</t>
  </si>
  <si>
    <t>Infinity Rrgb Ventures Inc</t>
  </si>
  <si>
    <t>Undisclosed</t>
  </si>
  <si>
    <t>Windjammer Capital Investors LLC</t>
  </si>
  <si>
    <t>Engineered Products Co,PDU Cables LLC</t>
  </si>
  <si>
    <t>HIG Capital LLC</t>
  </si>
  <si>
    <t>Doliver Enterprises LLC</t>
  </si>
  <si>
    <t>Sachem Inc</t>
  </si>
  <si>
    <t>Standard Investment Management BV</t>
  </si>
  <si>
    <t>Sachem Europe BV</t>
  </si>
  <si>
    <t>Proposed</t>
  </si>
  <si>
    <t>Sanofi SA</t>
  </si>
  <si>
    <t>GTCR Golder Rauner LLC,TPG Inc</t>
  </si>
  <si>
    <t>Capital One Financial Corp,Hellman &amp; Friedman LLC,HPS Investment Partners LLC,Blue Owl Capital Corp,Eastern Bankshares Inc</t>
  </si>
  <si>
    <t>Simplisafe Inc</t>
  </si>
  <si>
    <t>Xenon Private Equity Ltd</t>
  </si>
  <si>
    <t>PAI Partners SAS</t>
  </si>
  <si>
    <t>Orion Environmental Inc</t>
  </si>
  <si>
    <t>Urelift Gulf Coast LP</t>
  </si>
  <si>
    <t>Groundworks LLC</t>
  </si>
  <si>
    <t>Leveled Concrete Inc</t>
  </si>
  <si>
    <t>KPMG LLP</t>
  </si>
  <si>
    <t>TowerBrook Capital Partners LP</t>
  </si>
  <si>
    <t>Kpmg Esc &amp; GS SELAS</t>
  </si>
  <si>
    <t>Blackrock Inc</t>
  </si>
  <si>
    <t>ElmTree Funds LLC</t>
  </si>
  <si>
    <t>Generational Group Inc</t>
  </si>
  <si>
    <t>Larsen MacColl Partners LP</t>
  </si>
  <si>
    <t>Mactanz Inc</t>
  </si>
  <si>
    <t>Aurora Capital Group/CA</t>
  </si>
  <si>
    <t>FMG Suite LLC</t>
  </si>
  <si>
    <t>Argosy Capital Group Inc</t>
  </si>
  <si>
    <t>Ariel Alternatives LLC</t>
  </si>
  <si>
    <t>Groome Industrial Service Group Inc</t>
  </si>
  <si>
    <t>Trivest Partners LP</t>
  </si>
  <si>
    <t>Vannguard Utility Partners Inc</t>
  </si>
  <si>
    <t>Shoreline Equity Partners LLC (Fund: Shoreline Equity Partners Fund II LP),Trivest Partners LP (Fund: Trivest Recognition Fund LP)</t>
  </si>
  <si>
    <t>British Columbia Investment Management Corp,AEA Investors LP (Fund: AEA Investors Fund VIII LP)</t>
  </si>
  <si>
    <t>Pave America LLC</t>
  </si>
  <si>
    <t>TreeHouse Foods Inc</t>
  </si>
  <si>
    <t>Apheon Management SA</t>
  </si>
  <si>
    <t>Cains Foods LP</t>
  </si>
  <si>
    <t>Anuvu Operations LLC</t>
  </si>
  <si>
    <t>Industrial Opportunity Partners LLC</t>
  </si>
  <si>
    <t>Charcuterie Artisans Holdings LLC</t>
  </si>
  <si>
    <t>SoftBank Corp,Alexandria Real Estate Equities Inc,Wellington Management Group LLP,Founders Fund Management LLC/The,Menlo Ventures Management LP,WI Harper Group Inc,Intel Capital Corp,Laurion Capital Management LP,Logos Capital Management LLC,RA Capital Management LLC,Beijing Zhen Fund Managem...</t>
  </si>
  <si>
    <t>Perceptive Advisors LLC</t>
  </si>
  <si>
    <t>Synthego Corp</t>
  </si>
  <si>
    <t>Advantage Capital Partners/LA</t>
  </si>
  <si>
    <t>Mercato Partners LLC</t>
  </si>
  <si>
    <t>Farmstead Manufacturing LLC</t>
  </si>
  <si>
    <t>Walgreens Boots Alliance Inc</t>
  </si>
  <si>
    <t>Sycamore Partners LLC</t>
  </si>
  <si>
    <t>Shields Health Solutions Holdings LLC</t>
  </si>
  <si>
    <t>Vision Ridge Partners LLC</t>
  </si>
  <si>
    <t>FortisTCI Ltd</t>
  </si>
  <si>
    <t>TriSpan LLP (Fund: TriSpan Opportunities II LP),McWin Capital Partners Ltd</t>
  </si>
  <si>
    <t>FI Holdings Ltd</t>
  </si>
  <si>
    <t>MACSF,Impala SAS,Private Investor,Sagard SAS,Parquest Capital SAS,Weinberg Capital Partners SAS,UI Investissement SAS,Amundi Private Equity Funds SA,Florac SASU,Fonds Strategique De Participations SICAV,Bpifrance Investissement SASU,Stags SAS</t>
  </si>
  <si>
    <t>ADIT SA</t>
  </si>
  <si>
    <t>Hudson Glade LLC</t>
  </si>
  <si>
    <t>Comnet Communications LLC</t>
  </si>
  <si>
    <t>Starbucks Corp</t>
  </si>
  <si>
    <t>Carlyle Group Inc/The,Bain Capital Private Equity LP,Tencent Holdings Ltd,Boyu Capital Advisory Beijing Co Ltd,Primavera Capital Ltd,Hillhouse Investment Management Ltd,EQT AB,KKR &amp; Co Inc,HongShan Capital Hong Kong Ltd</t>
  </si>
  <si>
    <t>China business/Starbucks Corp</t>
  </si>
  <si>
    <t>Catterton Partners Corp (Fund: Catterton Partners VII LP),Littlejohn &amp; Co LLC (Fund: Littlejohn Fund V LP)</t>
  </si>
  <si>
    <t>PatientPoint Inc</t>
  </si>
  <si>
    <t>Mayfield Fund LLC (Fund: Mayfield XIV LP),Rembrandt Venture Management LLC (Fund: Rembrandt Venture Partners Fund Three LP),Insight Venture Partners LP (Fund: InSight Venture Partners IX LP),Silver Lake Management LLC (Fund: Silver Lake Waterman Fund III LP)</t>
  </si>
  <si>
    <t>SAP SE</t>
  </si>
  <si>
    <t>SmartRecruiters Inc</t>
  </si>
  <si>
    <t>Acoustic LP</t>
  </si>
  <si>
    <t>Longshore Capital Management LLC</t>
  </si>
  <si>
    <t>DemandTec Inc</t>
  </si>
  <si>
    <t>Lineage Logistics LLC</t>
  </si>
  <si>
    <t>Mutares SE &amp; Co KGaA</t>
  </si>
  <si>
    <t>Transportes Agustin Fuentes E Hijos SL</t>
  </si>
  <si>
    <t>Wilbur-Ellis Holdings II Inc</t>
  </si>
  <si>
    <t>Balmoral Funds LLC</t>
  </si>
  <si>
    <t>Wilbur-Ellis Nutrition LLC</t>
  </si>
  <si>
    <t>Dubin Clark &amp; Co Inc</t>
  </si>
  <si>
    <t>Rumble Pest Solutions LLC</t>
  </si>
  <si>
    <t>Mosaic Co/The</t>
  </si>
  <si>
    <t>Transom Capital Group LLC</t>
  </si>
  <si>
    <t>Walker &amp; Zanger Inc</t>
  </si>
  <si>
    <t>Black Dragon Capital LLC</t>
  </si>
  <si>
    <t>GEN Aspire LLC</t>
  </si>
  <si>
    <t>P2P Staffing Corp</t>
  </si>
  <si>
    <t>Cortec Group Management Services LLC</t>
  </si>
  <si>
    <t>MPLT Healthcare Holdings LP</t>
  </si>
  <si>
    <t>Goldman Sachs Group Inc/The,ClearBridge Investments LLC,Scale Management LLC,Crosslink Capital Inc,Meritech Capital Partners LP,Lightspeed Management Co LLC,EDB Investments Pte Ltd,EPC Virginia 24 LLC,PremjiInvest,Comcast Ventures LLC,Cross Creek Advisors LLC,Rokos Capital Management LLP,OneP...</t>
  </si>
  <si>
    <t>International Business Machine</t>
  </si>
  <si>
    <t>DataStax Inc</t>
  </si>
  <si>
    <t>Five V Capital Pty Ltd</t>
  </si>
  <si>
    <t>Automic Pty Ltd</t>
  </si>
  <si>
    <t>Mountaingate Capital Management LP</t>
  </si>
  <si>
    <t>Beringer Capital Inc</t>
  </si>
  <si>
    <t>Bold Orange Co LLC</t>
  </si>
  <si>
    <t>Arconic Corp</t>
  </si>
  <si>
    <t>Kawneer Europe BV</t>
  </si>
  <si>
    <t>3i Group PLC</t>
  </si>
  <si>
    <t>Deutsche Beteiligungs AG,Management Group</t>
  </si>
  <si>
    <t>MAIT GmbH</t>
  </si>
  <si>
    <t>Platform Ventures LLC</t>
  </si>
  <si>
    <t>Staco Electric Construction Co</t>
  </si>
  <si>
    <t>LivingBridge EP LLP</t>
  </si>
  <si>
    <t>Bain Capital Private Equity LP</t>
  </si>
  <si>
    <t>Jensten Group Ltd</t>
  </si>
  <si>
    <t>Audax Group LP</t>
  </si>
  <si>
    <t>Integrum Holdings LP</t>
  </si>
  <si>
    <t>Stout Risius Ross Inc</t>
  </si>
  <si>
    <t>Novo Holdings A/S</t>
  </si>
  <si>
    <t>Nautic Partners LLC</t>
  </si>
  <si>
    <t>KabaFusion Holdings LLC</t>
  </si>
  <si>
    <t>Snow Phipps Group LLC (Fund: Snow Phipps III LP),TruArc Partners LLC</t>
  </si>
  <si>
    <t>Management Group,Nautic Partners LLC (Fund: Nautic Partners XI LP)</t>
  </si>
  <si>
    <t>Ideal Tridon Holdings Inc</t>
  </si>
  <si>
    <t>SVB Capital Partners,Dawn Capital LLP (Fund: Dawn Capital II Venture Capital Fund),Insight Venture Partners LP (Fund: InSight Venture Partners IX LP),Hummingbird Ventures (Fund: Humming Ventures II),Korelya Capital SAS (Fund: K Fund 1)</t>
  </si>
  <si>
    <t>VC Corp</t>
  </si>
  <si>
    <t>Showpad NV</t>
  </si>
  <si>
    <t>Withdrawn</t>
  </si>
  <si>
    <t>KKR &amp; Co Inc</t>
  </si>
  <si>
    <t>ASMPT Ltd</t>
  </si>
  <si>
    <t>Bregal Investments Inc</t>
  </si>
  <si>
    <t>Novem Group SA</t>
  </si>
  <si>
    <t>Access Holdings Management Co LLC</t>
  </si>
  <si>
    <t>CVC Capital Partners PLC</t>
  </si>
  <si>
    <t>American Student Transportation Partners Inc</t>
  </si>
  <si>
    <t>Blackstone Inc,JA Mitsui Leasing Ltd,CVC Capital Partners PLC,Brookfield Asset Management Inc Manager</t>
  </si>
  <si>
    <t>Ayvens SA</t>
  </si>
  <si>
    <t>GAW Capital Advisors Ltd</t>
  </si>
  <si>
    <t>Omega Capital Management Inc</t>
  </si>
  <si>
    <t>Hospes Hoteles SL</t>
  </si>
  <si>
    <t>Marlin Equity Partners LLC</t>
  </si>
  <si>
    <t>TIQQE AB</t>
  </si>
  <si>
    <t>CBRE Global Investors LLC</t>
  </si>
  <si>
    <t>Cleargen LLC</t>
  </si>
  <si>
    <t>Tide Rock Holdings LLC</t>
  </si>
  <si>
    <t>Cogenuity Partners LLC</t>
  </si>
  <si>
    <t>Interconnect Solutions Co LLC</t>
  </si>
  <si>
    <t>Coca-Cola Co/The</t>
  </si>
  <si>
    <t>TDR Capital LLP</t>
  </si>
  <si>
    <t>Costa Coffee Ltd</t>
  </si>
  <si>
    <t>Peak Rock Capital LLC</t>
  </si>
  <si>
    <t>Aegis Industrial Software Corp</t>
  </si>
  <si>
    <t>Urban-Gro Inc</t>
  </si>
  <si>
    <t>CMP Capital Management-Partners GmbH</t>
  </si>
  <si>
    <t>2wr of Georgia Inc</t>
  </si>
  <si>
    <t>Verde Equity Partners LP</t>
  </si>
  <si>
    <t>English Garden Care Inc</t>
  </si>
  <si>
    <t>Envestnet Inc</t>
  </si>
  <si>
    <t>Symphony Technology Group LLC</t>
  </si>
  <si>
    <t>Yodlee Inc</t>
  </si>
  <si>
    <t>Iberica Capital Partners SL</t>
  </si>
  <si>
    <t>Providence Strategic Growth Capital Partners LLC</t>
  </si>
  <si>
    <t>Emotion Mobility Group SA</t>
  </si>
  <si>
    <t>Northlane Capital Partners LLC</t>
  </si>
  <si>
    <t>Stone Point Capital LLC</t>
  </si>
  <si>
    <t>Difference Card/The</t>
  </si>
  <si>
    <t>GEF Capital Partners LLC</t>
  </si>
  <si>
    <t>Xylem Inc/NY</t>
  </si>
  <si>
    <t>EnviroMix Inc</t>
  </si>
  <si>
    <t>SI Private Capital Management LLC</t>
  </si>
  <si>
    <t>Sutters Quality Foods</t>
  </si>
  <si>
    <t>TSG Consumer Partners LLC</t>
  </si>
  <si>
    <t>Phlur Inc</t>
  </si>
  <si>
    <t>Elliott Management Corp,CVC Capital Partners PLC</t>
  </si>
  <si>
    <t>Vue International Holdco Ltd</t>
  </si>
  <si>
    <t>FalconPoint Capital Partners LLC</t>
  </si>
  <si>
    <t>Scrap Metal Services LLC</t>
  </si>
  <si>
    <t>Rotunda Capital Partners LLC</t>
  </si>
  <si>
    <t>Airpro Diagnostics LLC</t>
  </si>
  <si>
    <t>Creo Capital Partners LLC</t>
  </si>
  <si>
    <t>Bova Fresh LLC</t>
  </si>
  <si>
    <t>Fundamental Advisors LP</t>
  </si>
  <si>
    <t>Trans Aero Ltd</t>
  </si>
  <si>
    <t>Evraz Group SA</t>
  </si>
  <si>
    <t>Atlas Holdings LLC</t>
  </si>
  <si>
    <t>Evraz Inc NA</t>
  </si>
  <si>
    <t>Tate &amp; Lyle PLC</t>
  </si>
  <si>
    <t>Cinven Ltd</t>
  </si>
  <si>
    <t>Alteri Partners LLP</t>
  </si>
  <si>
    <t>Kurt Geiger Shoes Ltd</t>
  </si>
  <si>
    <t>Riverside Co/ The</t>
  </si>
  <si>
    <t>Warburg Pincus LLC</t>
  </si>
  <si>
    <t>FlavorSum LLC</t>
  </si>
  <si>
    <t>SK Telecom Co Ltd,SoftBank Group Corp,Amazon.com Inc,NVIDIA Corp,Institutional Venture Partners,Accel Partners LP,New Enterprise Associates Inc,Deer Management Co LLC,Wayra Deutschland GmbH,Kindred Ventures Inc,Factorial Funds Mangement LLC,Databricks Ventures</t>
  </si>
  <si>
    <t>Apple Inc</t>
  </si>
  <si>
    <t>Perplexity AI Inc</t>
  </si>
  <si>
    <t>Caltius Capital Management LP</t>
  </si>
  <si>
    <t>Gauge Capital LLC</t>
  </si>
  <si>
    <t>Aphix LLC</t>
  </si>
  <si>
    <t>Private Investor,Swander Pace Capital LLC (Fund: SPC Partners VII LP)</t>
  </si>
  <si>
    <t>Maple Donuts Inc</t>
  </si>
  <si>
    <t>Alcentra Group Ltd,Bridgepoint Advisers Group Ltd,EQT Partners AB (Fund: EQT Ventures II SCSp)</t>
  </si>
  <si>
    <t>One Equity Partners LLC</t>
  </si>
  <si>
    <t>BARTEC Top Holding GmbH</t>
  </si>
  <si>
    <t>Fruition Partners</t>
  </si>
  <si>
    <t>Memory Co LLC/The</t>
  </si>
  <si>
    <t>Macquarie Infrastructure &amp; Real Assets Europe Ltd,PSP Investments Credit USA LLC</t>
  </si>
  <si>
    <t>AirTrunk Operating Pty Ltd</t>
  </si>
  <si>
    <t>Brightwell Payments Inc</t>
  </si>
  <si>
    <t>Investindustrial Advisors SpA</t>
  </si>
  <si>
    <t>Idaho Steel Products Inc,Reyco Systems Inc,Kiremko Group BV</t>
  </si>
  <si>
    <t>Boots UK Ltd</t>
  </si>
  <si>
    <t>Goldman Sachs Group Inc/The</t>
  </si>
  <si>
    <t>Liquid Environmental Solutions Corp</t>
  </si>
  <si>
    <t>Akn Holdings LLC</t>
  </si>
  <si>
    <t>Tikehau Capital SCA</t>
  </si>
  <si>
    <t>ScioTeq BVBA</t>
  </si>
  <si>
    <t>ANZ Specialist Asset Management Ltd,Trustees of The Ontario Public Service Employees Union Pension Plan Trust Fund,Pacific Equity Partners Pty Ltd (Fund: Pacific Equity Partners Fund VI LP)</t>
  </si>
  <si>
    <t>Zenith Energy Ltd/AU</t>
  </si>
  <si>
    <t>Soma Capital Partners LLC,1984 Ventures Management LLC (Fund: 1984 Ventures II LP),Lightspeed Management Co LLC (Fund: Lightspeed Opportunity Fund II LP),Y Combinator Inc (Fund: YC ESP22 LP)</t>
  </si>
  <si>
    <t>Salesforce Inc</t>
  </si>
  <si>
    <t>Inspo Labs Inc</t>
  </si>
  <si>
    <t>Hillcrest Management LLC,Battery Ventures LP (Fund: Battery Ventures VIII Side Fund LP),Emergence Capital Partners SBIC LP (Fund: Emergence Capital Partners II LP),Pinnacle Ventures LLC (Fund: Pinnacle Ventures Equity Fund II LP),Sozo Ventures LLC (Fund: Sozo Ventures - TrueBridge Fund I LP),...</t>
  </si>
  <si>
    <t>Publicis Groupe SA</t>
  </si>
  <si>
    <t>Lotame Solutions Inc</t>
  </si>
  <si>
    <t>Royal Bank of Canada,Open Text Corp,Business Development Bank of Canada,National Research Council/Canada,Warburg Pincus LLC,Volition Capital LLC,Greenspring Associates Inc,BDC Venture Capital,OpenText Enterprise Applications Venture Fund</t>
  </si>
  <si>
    <t>Blackstone Inc,Vista Equity Partners LLC</t>
  </si>
  <si>
    <t>Assent Inc</t>
  </si>
  <si>
    <t>Guild Capital LLC</t>
  </si>
  <si>
    <t>RJ Investimentos Ltda</t>
  </si>
  <si>
    <t>DFW Capital Partners Inc</t>
  </si>
  <si>
    <t>IVH Logistics Solutions LLC</t>
  </si>
  <si>
    <t>Warburg Pincus LLC (Fund: Warburg Pincus Private Equity XII LP),Carlyle Group Inc/The (Fund: Carlyle Partners Growth LP)</t>
  </si>
  <si>
    <t>Canada Pension Plan Investment Board,EQT AB</t>
  </si>
  <si>
    <t>NEOGOV Inc</t>
  </si>
  <si>
    <t>General Motors Co,Bruckmann Rosser Sherrill &amp; Co LLC (Fund: Bruckmann Rosser Sherrill &amp; Co III LP),Performance Equity Management LLC (Fund: Performance Venture Capital III LP)</t>
  </si>
  <si>
    <t>Eos Fitness Holdings LLC</t>
  </si>
  <si>
    <t>4finance Group SA</t>
  </si>
  <si>
    <t>TBI Bank EAD</t>
  </si>
  <si>
    <t>Barclays PLC</t>
  </si>
  <si>
    <t>Carlyle Group Inc/The</t>
  </si>
  <si>
    <t>Very Group Ltd/The</t>
  </si>
  <si>
    <t>Shore Capital Partners LLC</t>
  </si>
  <si>
    <t>Winter Haven Oral Surgery PA</t>
  </si>
  <si>
    <t>Century Capital Partners LP,Penfund</t>
  </si>
  <si>
    <t>White Mountains Insurance Group Ltd,Ontario Teachers' Pension Plan Board,British Columbia Investment Management Corp,Ethos Capital LP</t>
  </si>
  <si>
    <t>BroadStreet Partners Inc</t>
  </si>
  <si>
    <t>Dubin Research &amp; Consulting,Trivest Partners LP (Fund: Trivest Recognition Fund LP)</t>
  </si>
  <si>
    <t>Immersion Legal LLC</t>
  </si>
  <si>
    <t>Shopify Inc,Salesforce Ventures LLC (Fund: Salesforce Impact Fund II),Balderton Capital UK LLP (Fund: Balderton Capital Growth II SLP)</t>
  </si>
  <si>
    <t>Convergence Labs Ltd</t>
  </si>
  <si>
    <t>Mubadala Investment Co PJSC,Advent International Corp (Fund: Advent International GPE X LP)</t>
  </si>
  <si>
    <t>Prosper Link International Ltd</t>
  </si>
  <si>
    <t>Energy Capital Partners LLC</t>
  </si>
  <si>
    <t>Strategic Value Partners LLC</t>
  </si>
  <si>
    <t>Red Oak Power LLC</t>
  </si>
  <si>
    <t>EQT AB</t>
  </si>
  <si>
    <t>Avalt,Northleaf Capital Partners Ltd (Fund: Northleaf Growth Fund LP)</t>
  </si>
  <si>
    <t>Wash Multifamily Holdings Inc</t>
  </si>
  <si>
    <t>Investcorp Holdings BSC</t>
  </si>
  <si>
    <t>Barings LLC</t>
  </si>
  <si>
    <t>Artemis Real Estate Partners LLC</t>
  </si>
  <si>
    <t>Greenbelt Capital Management LP</t>
  </si>
  <si>
    <t>Brush Group</t>
  </si>
  <si>
    <t>Admiral Group PLC</t>
  </si>
  <si>
    <t>JC Flowers &amp; Co LLC</t>
  </si>
  <si>
    <t>Elephant Insurance Co,Elephant Insurance Services LLC</t>
  </si>
  <si>
    <t>Help/Systems LLC</t>
  </si>
  <si>
    <t>2ndWave Software,PSG Equity LLC (Fund: PSG VI LP)</t>
  </si>
  <si>
    <t>Judicial Arbitration &amp; Mediation Services Inc</t>
  </si>
  <si>
    <t>Thoma Bravo LLC</t>
  </si>
  <si>
    <t>Francisco Partners Management LLC</t>
  </si>
  <si>
    <t>Quorum Business Solutions Inc</t>
  </si>
  <si>
    <t>Partners Group Holding AG</t>
  </si>
  <si>
    <t>Empira AG</t>
  </si>
  <si>
    <t>Next Alt Sarl,Abu Dhabi Development Holding Co PJSC</t>
  </si>
  <si>
    <t>Sotheby's</t>
  </si>
  <si>
    <t>Accelerate Resources Holdings LLC</t>
  </si>
  <si>
    <t>Tailwater Capital LLC</t>
  </si>
  <si>
    <t>Upstream oil &amp; gas assets/Permian Basin</t>
  </si>
  <si>
    <t>FUJIFILM Holdings Corp</t>
  </si>
  <si>
    <t>Astorg Partners SAS</t>
  </si>
  <si>
    <t>Medical media business unit/Fujifilm Irvine Scientific Inc</t>
  </si>
  <si>
    <t>ACON Investments LLC</t>
  </si>
  <si>
    <t>Food Brands Industria De Produtos Alimenticios S/A</t>
  </si>
  <si>
    <t>GVQ Investment Management Ltd,Battery Ventures LP (Fund: Battery Ventures XII LP),Matrix Partners Management Services LP (Fund: Matrix Partners XI LP),New Mountain Capital LLC (Fund: New Mountain Partners VII LP),Ardan Equity Partners LLC (Fund: Ardan Investment Co VI LLC),Eir Partners LLC (F...</t>
  </si>
  <si>
    <t>Machinify Inc</t>
  </si>
  <si>
    <t>Scale Microgrids Solutions LLC</t>
  </si>
  <si>
    <t>Velocity Holdco LLC</t>
  </si>
  <si>
    <t>Factory Mutual Insurance Co</t>
  </si>
  <si>
    <t>Velocity Specialty Insurance Co</t>
  </si>
  <si>
    <t>Apollo Global Management Inc</t>
  </si>
  <si>
    <t>Argo Infrastructure Partners LLC</t>
  </si>
  <si>
    <t>Security Growth Partners LLC,ION Investment Group Ltd,Goldman Sachs Group Inc/The (Fund: Petershill II LP),TPG Growth LLC (Fund: TPG Growth Equity III LP),Liquidity Capital Corp,Claridge Israel Investment Inc Ltd (Fund: Claridge Israel II LP)</t>
  </si>
  <si>
    <t>Lenovo Group Ltd</t>
  </si>
  <si>
    <t>Infinidat Ltd</t>
  </si>
  <si>
    <t>Launch Angels Management Co LLC,Comcast Ventures LLC (Fund: Comcast Ventures Catalyst Fund),Eniac Ventures Management LLC (Fund: Eniac Ventures IV LP),RiverPark Ventures LP (Fund: RiverPark Ventures III LP),Flatiron Investors LLC (Fund: Supernode Ventures I LP),Union Square Ventures LLC (Fund...</t>
  </si>
  <si>
    <t>Institutional Capital Network Inc</t>
  </si>
  <si>
    <t>Parallel Markets Inc</t>
  </si>
  <si>
    <t>Ginko International Co Ltd</t>
  </si>
  <si>
    <t>Shanghai Hydron Contact Lens Optics Co Ltd</t>
  </si>
  <si>
    <t>Dawsongroup International Ltd</t>
  </si>
  <si>
    <t>Resonac Holdings Corp</t>
  </si>
  <si>
    <t>Altaris Capital Partners LLC</t>
  </si>
  <si>
    <t>apceth Biopharma GmbH,Minaris Regenerative Medicine LLC,Minaris Regenerative Medicine Co Ltd</t>
  </si>
  <si>
    <t>LISI</t>
  </si>
  <si>
    <t>SK Capital Partners LP</t>
  </si>
  <si>
    <t>LISI Medical Remmele Inc</t>
  </si>
  <si>
    <t>Frazier Management LLC</t>
  </si>
  <si>
    <t>Parthenon Capital LLC (Fund: Parthenon Investors VII LP),Audax Group LP (Fund: Audax Private Equity Solutions Fund LP)</t>
  </si>
  <si>
    <t>Elevate Patient Financial Solutions Inc</t>
  </si>
  <si>
    <t>TrussPoint Equity Partners</t>
  </si>
  <si>
    <t>Mario'S Construction &amp; Roofing Inc</t>
  </si>
  <si>
    <t>TPG Capital LP/US</t>
  </si>
  <si>
    <t>Elite Inc</t>
  </si>
  <si>
    <t>Citigroup Inc</t>
  </si>
  <si>
    <t>Citi Global Alternatives LLC</t>
  </si>
  <si>
    <t>JM Texas Cos LLC</t>
  </si>
  <si>
    <t>EQT Partners AB</t>
  </si>
  <si>
    <t>Eagle Railcar Services LP</t>
  </si>
  <si>
    <t>ITE Management LP</t>
  </si>
  <si>
    <t>Thora Capital LLC</t>
  </si>
  <si>
    <t>Leavitt Partners LLC</t>
  </si>
  <si>
    <t>Pediatrics Plus Therapy Services LLC</t>
  </si>
  <si>
    <t>Generation Investment Management LLP,Advent International Corp (Fund: Advent International GPE X LP)</t>
  </si>
  <si>
    <t>FSN Capital Partners AS</t>
  </si>
  <si>
    <t>Volue ASA</t>
  </si>
  <si>
    <t>Bharti Enterprises Holding Pvt Ltd</t>
  </si>
  <si>
    <t>IIFL Asset Management Ltd</t>
  </si>
  <si>
    <t>Unnamed Target</t>
  </si>
  <si>
    <t>CIC Partners LP</t>
  </si>
  <si>
    <t>CraftMark Bakery LLC</t>
  </si>
  <si>
    <t>S2 Capital LLC</t>
  </si>
  <si>
    <t>Fort Capital Partners LLC</t>
  </si>
  <si>
    <t>Potomac Energy Center LLC</t>
  </si>
  <si>
    <t>TRG Management LP</t>
  </si>
  <si>
    <t>Fremman Capital Ltd</t>
  </si>
  <si>
    <t>Amethyst Radiotherapy Group BV</t>
  </si>
  <si>
    <t>Leonard Green &amp; Partners LP</t>
  </si>
  <si>
    <t>GeoStabilization International LLC</t>
  </si>
  <si>
    <t>Superstruct Holding Sarl</t>
  </si>
  <si>
    <t>GenNx360 Capital Partners LP</t>
  </si>
  <si>
    <t>Coalesce Capital Management LLC</t>
  </si>
  <si>
    <t>Miller Environmental Group Inc</t>
  </si>
  <si>
    <t>Amundi Private Equity Funds SA (Fund: Amundi Megatrends AV FCPR),Ersel Asset Management Sgr SpA (Fund: Ersel Fondaco Fund)</t>
  </si>
  <si>
    <t>Deenova Srl</t>
  </si>
  <si>
    <t>Evergy Ventures Inc,Updater Inc,Techstars Central LLC (Fund: Techstars Ventures 2017 LP),Powerhouse Ventures LLC (Fund: Powerhouse Ventures Fund I LP),Fort Ventures I LLC,Avesta Fund LP</t>
  </si>
  <si>
    <t>Schneider Electric SE</t>
  </si>
  <si>
    <t>WattBuy</t>
  </si>
  <si>
    <t>EQT Corp</t>
  </si>
  <si>
    <t>Adamantem Capital Holdings Pty Ltd</t>
  </si>
  <si>
    <t>Nexon Asia Pacific Pty Ltd</t>
  </si>
  <si>
    <t>Management Group,Chiltern Capital LLP</t>
  </si>
  <si>
    <t>Train'd Up Railway Resourcing Ltd</t>
  </si>
  <si>
    <t>Butterfly Equity LLC (Fund: Butterfly Fund III LP),Platinum Equity LLC (Fund: Platinum Equity Capital Partners VI LP)</t>
  </si>
  <si>
    <t>Viking Baked Goods Acquisition Corp</t>
  </si>
  <si>
    <t>New Water Capital LP</t>
  </si>
  <si>
    <t>Dutch Gold Honey Inc</t>
  </si>
  <si>
    <t>Cash and Stock</t>
  </si>
  <si>
    <t>Vertex Ventures Israel (Fund: Vertex Israel Fund IV LP),Okta Ventures,Insight Venture Partners LP (Fund: Insight Venture Partners XII LP),Blackstone Inc (Fund: Blackstone Growth Fund II)</t>
  </si>
  <si>
    <t>Crowdstrike Holdings Inc</t>
  </si>
  <si>
    <t>AS Adaptive Shield LTD</t>
  </si>
  <si>
    <t>Pepper Global Assets Singapore Pte Ltd</t>
  </si>
  <si>
    <t>Pepper Advantage Technologies Ltd</t>
  </si>
  <si>
    <t>KSL Advisors LLC</t>
  </si>
  <si>
    <t>Davidson Hotel Co LLC</t>
  </si>
  <si>
    <t>Riverside Europe Partners LLC</t>
  </si>
  <si>
    <t>Miura Private Equity SA SGEIC</t>
  </si>
  <si>
    <t>Healthtech Bioactives US Inc</t>
  </si>
  <si>
    <t>Thoma Bravo LLC (Fund: Thoma Bravo Fund XVI LP),HIG Capital LLC (Fund: HIG Capital Partners VII LP)</t>
  </si>
  <si>
    <t>Computing Technology Industry Association Inc/The</t>
  </si>
  <si>
    <t>Quinbrook Infrastructure Partners LLC</t>
  </si>
  <si>
    <t>Private Investor,Palisade Investment Partners Ltd</t>
  </si>
  <si>
    <t>Energy Locals Pty Ltd</t>
  </si>
  <si>
    <t>Ritholtz Wealth Management,Motley Fool Ventures Management LLC (Fund: Motley Fool Ventures II LP),Broadhaven Ventures LLC</t>
  </si>
  <si>
    <t>AltExchange LLC</t>
  </si>
  <si>
    <t>Human Co Srl,Clessidra Private Equity SGR SPA (Fund: Clessidra Capital Partners IV),Apollo Global Management Inc (Fund: Apollo Investment Fund X)</t>
  </si>
  <si>
    <t>HU Holding Srl</t>
  </si>
  <si>
    <t>Mitsui &amp; Co Ltd,PATRIZIA SE (Fund: Sustainable Future Ventures)</t>
  </si>
  <si>
    <t>Alternative Energy Sources Technologies Inc</t>
  </si>
  <si>
    <t>Macquarie Infrastructure &amp; Real Assets Europe Ltd</t>
  </si>
  <si>
    <t>Air Liquide SA,Brookfield Corp,Stonepeak Partners LP</t>
  </si>
  <si>
    <t>Daesung Industrial Gases Co Ltd</t>
  </si>
  <si>
    <t>Alpine Investors LP</t>
  </si>
  <si>
    <t>Walter &amp; Shuffain P C</t>
  </si>
  <si>
    <t>Sixth Street Partners LLC</t>
  </si>
  <si>
    <t>Achmea Pensioen-EN Levensverzekeringen NV</t>
  </si>
  <si>
    <t>Lifetri Groep BV</t>
  </si>
  <si>
    <t>ArcLight Capital Partners LLC,Blackstone Inc (Fund: Blackstone Strategic Capital Holdings LP)</t>
  </si>
  <si>
    <t>Lightstone Generation LLC</t>
  </si>
  <si>
    <t>Morgan Stanley Private Equity</t>
  </si>
  <si>
    <t>Thermogenics Inc</t>
  </si>
  <si>
    <t>Atlantic Street Capital Management LLC</t>
  </si>
  <si>
    <t>Prescotts Inc</t>
  </si>
  <si>
    <t>Vinci Partners Investimentos Ltda (Fund: Vinci Capital Partners IV LP),GEF Capital Partners LLC (Fund: GEF LatAm Climate Solutions Fund III LP)</t>
  </si>
  <si>
    <t>Produtos Veterinarios Ltda</t>
  </si>
  <si>
    <t>Bain Capital Credit LP,Pine Island Capital Partners LLC,Compass Partners Capital LLC</t>
  </si>
  <si>
    <t>Centerbridge Partners LP</t>
  </si>
  <si>
    <t>Precinmac Precision Machining</t>
  </si>
  <si>
    <t>21 Invest SpA</t>
  </si>
  <si>
    <t>Blue Wolf Capital Partners LLC</t>
  </si>
  <si>
    <t>Groupe Synerlab SAS</t>
  </si>
  <si>
    <t>Harbert Management Corp,Clear Height Properties</t>
  </si>
  <si>
    <t>500 Industrial Drive/Bensenville</t>
  </si>
  <si>
    <t>Ardian SAS</t>
  </si>
  <si>
    <t>Hill Top Energy Center LLC</t>
  </si>
  <si>
    <t>Olympus Partners</t>
  </si>
  <si>
    <t>Butterfly Equity LLC (Fund: Butterfly Fund III LP),Platinum Equity LLC (Fund: Platinum Equity Small Cap Fund II LP)</t>
  </si>
  <si>
    <t>Rise Baking Co</t>
  </si>
  <si>
    <t>Mclarty Capital Partners LLC</t>
  </si>
  <si>
    <t>Blue Point Capital Partners LLC</t>
  </si>
  <si>
    <t>Pinnacle MEP Holdings LLC</t>
  </si>
  <si>
    <t>IRESS Ltd</t>
  </si>
  <si>
    <t>Falfurrias Capital Partners LP</t>
  </si>
  <si>
    <t>Shamrock Capital Advisors Inc</t>
  </si>
  <si>
    <t>Penta Group Inc</t>
  </si>
  <si>
    <t>Nordic Capital Svenska AB</t>
  </si>
  <si>
    <t>Arcadia Solutions LLC</t>
  </si>
  <si>
    <t>Aquiline Capital Partners LLC</t>
  </si>
  <si>
    <t>Gridiron Capital LLC</t>
  </si>
  <si>
    <t>ABC Legal Services LLC</t>
  </si>
  <si>
    <t>American Anchor Bolt Manufacturing LLC</t>
  </si>
  <si>
    <t>Blue Sea Capital LLC</t>
  </si>
  <si>
    <t>MicroCare Holdings LLC</t>
  </si>
  <si>
    <t>Labor Smart Inc</t>
  </si>
  <si>
    <t>Golden Triangle Ventures Inc</t>
  </si>
  <si>
    <t>Go Fast Sports &amp; Beverage Co</t>
  </si>
  <si>
    <t>Graham Partners Inc</t>
  </si>
  <si>
    <t>Smithstown Light Engineering Unltd Co</t>
  </si>
  <si>
    <t>Private Investor,Graham Partners Inc (Fund: Graham Partners VI LP),E Tech Group Inc</t>
  </si>
  <si>
    <t>JSat Automation India Pvt Ltd</t>
  </si>
  <si>
    <t>Stephens Capital Partners LLC,Thomas Investments Inc</t>
  </si>
  <si>
    <t>CCMP Growth Advisors LP</t>
  </si>
  <si>
    <t>Airo Mechanical LLC</t>
  </si>
  <si>
    <t>Montagu Private Equity LLP</t>
  </si>
  <si>
    <t>Tyber Medical LLC</t>
  </si>
  <si>
    <t>Levine Leichtman Capital Partners Inc</t>
  </si>
  <si>
    <t>Shipley Do-Nut Flour &amp; Supply Co Inc</t>
  </si>
  <si>
    <t>Riata Capital Group</t>
  </si>
  <si>
    <t>Greenix Pest Control Inc</t>
  </si>
  <si>
    <t>Charger Investment Partners LP</t>
  </si>
  <si>
    <t>Ameripolish LLC</t>
  </si>
  <si>
    <t>Revel Partners (Fund: Revel Venture Fund II LP),RZC Investments LLC,Drive Capital LLC (Fund: Drive Capital Fund III LP),Revolution Ventures (Fund: Rise of the Rest Seed Fund II LP),Narya Capital Management LLC (Fund: Narya Capital Fund I LP),Jump Capital LLC (Fund: JCDP-7 LLC),Anthemis Group ...</t>
  </si>
  <si>
    <t>Proterra Investment Partners LP</t>
  </si>
  <si>
    <t>AcreTrader Inc</t>
  </si>
  <si>
    <t>Halma Holdings Inc</t>
  </si>
  <si>
    <t>Saothair Capital Partners LLC</t>
  </si>
  <si>
    <t>Apollo America Inc</t>
  </si>
  <si>
    <t>ArcLight Capital Partners LLC</t>
  </si>
  <si>
    <t>Advanced Power AG</t>
  </si>
  <si>
    <t>Crossplane Capital Management LP</t>
  </si>
  <si>
    <t>Mooring Recovery Services Inc</t>
  </si>
  <si>
    <t>Etsy Inc</t>
  </si>
  <si>
    <t>Servco Pacific Inc,Creator Ventures</t>
  </si>
  <si>
    <t>Reverb.com LLC</t>
  </si>
  <si>
    <t>First Manhattan Co</t>
  </si>
  <si>
    <t>Roanoke Asset Management Corp</t>
  </si>
  <si>
    <t>Conviction Investment Partners Ltd,NJP Ventures Ltd,Battery Ventures LP (Fund: Battery Ventures Select Fund II LP)</t>
  </si>
  <si>
    <t>Seek AI Inc</t>
  </si>
  <si>
    <t>Firelight Capital Partners LLC</t>
  </si>
  <si>
    <t>Snif-Snax LLC</t>
  </si>
  <si>
    <t>Craft Work Capital Partners LLC,Aterian Investment Partners LLC (Fund: Aterian Investment Partners IV LP)</t>
  </si>
  <si>
    <t>GHK Capital Partners LP</t>
  </si>
  <si>
    <t>Rogers Mechanical Contractors Inc</t>
  </si>
  <si>
    <t>Document Imaging Mexico SA de CV</t>
  </si>
  <si>
    <t>Willcrest Partners LLC</t>
  </si>
  <si>
    <t>Requordit Inc</t>
  </si>
  <si>
    <t>Private Investor</t>
  </si>
  <si>
    <t>Reeve Wines LLC,MS Wines LLC</t>
  </si>
  <si>
    <t>Carlyle Group Inc/The,Bpifrance SACA</t>
  </si>
  <si>
    <t>Ciril Group SAS</t>
  </si>
  <si>
    <t>Catterton Partners Corp</t>
  </si>
  <si>
    <t>Kisshokichi Holdings KK</t>
  </si>
  <si>
    <t>Bridgepoint Advisers Ltd</t>
  </si>
  <si>
    <t>Kereis SAS</t>
  </si>
  <si>
    <t>New Mountain Capital LLC</t>
  </si>
  <si>
    <t>Truelink Capital LLC</t>
  </si>
  <si>
    <t>Zep Inc</t>
  </si>
  <si>
    <t>HFMC Capital LLC</t>
  </si>
  <si>
    <t>Community of Nevada Diagnostics LLC</t>
  </si>
  <si>
    <t>JamJar Investments LLP,Brookfield Corp (Fund: Brookfield Technology Partners II LP),Index Ventures SA (Fund: Index Origins)</t>
  </si>
  <si>
    <t>Harlan Capital Partners LLC</t>
  </si>
  <si>
    <t>Immersive Group Gaming Ltd</t>
  </si>
  <si>
    <t>UBS Group AG</t>
  </si>
  <si>
    <t>Potential Target</t>
  </si>
  <si>
    <t>National Safety Apparel Inc,Blue Point Capital Partners LLC (Fund: Blue Point Capital Partners V LP)</t>
  </si>
  <si>
    <t>Bashlin Industries Inc</t>
  </si>
  <si>
    <t>Singapore Technologies Telemedia Pte Ltd</t>
  </si>
  <si>
    <t>STT Global Data Centres India Pvt Ltd</t>
  </si>
  <si>
    <t>Battery Ventures LP</t>
  </si>
  <si>
    <t>PageUp People Ltd</t>
  </si>
  <si>
    <t>GPI SpA</t>
  </si>
  <si>
    <t>Permira Holdings LLP</t>
  </si>
  <si>
    <t>Encore Holdings LLC</t>
  </si>
  <si>
    <t>Avista Capital Holdings LP</t>
  </si>
  <si>
    <t>AGIC Partners GmbH</t>
  </si>
  <si>
    <t>SolmeteX LLC</t>
  </si>
  <si>
    <t>Interpublic Group of Cos Inc/The</t>
  </si>
  <si>
    <t>R/GA Media Group Inc</t>
  </si>
  <si>
    <t>TA Associates Management LP</t>
  </si>
  <si>
    <t>Kx Systems Inc</t>
  </si>
  <si>
    <t>Corbel Management LLC,Weave Growth Partners LLC,CSGBio LLC</t>
  </si>
  <si>
    <t>New England Fertility Institute LLC</t>
  </si>
  <si>
    <t>Forward Air Corp</t>
  </si>
  <si>
    <t>Clearlake Capital Group LP</t>
  </si>
  <si>
    <t>American Industrial Partners LP</t>
  </si>
  <si>
    <t>Halcyon Wealth Advisors LLC</t>
  </si>
  <si>
    <t>Bencis Capital Partners BV</t>
  </si>
  <si>
    <t>Ampersand Management LLC</t>
  </si>
  <si>
    <t>Curtec Group BV</t>
  </si>
  <si>
    <t>Marcol International Asset Management Ltd,Advent International Corp (Fund: Advent International GPE VI LP)</t>
  </si>
  <si>
    <t>Waterland Private Equity Investments BV</t>
  </si>
  <si>
    <t>MEDIAN Kliniken GmbH</t>
  </si>
  <si>
    <t>Bernhard Capital Partners Management LP</t>
  </si>
  <si>
    <t>Techserv Consulting &amp; Training Ltd</t>
  </si>
  <si>
    <t>NexPhase Capital LP</t>
  </si>
  <si>
    <t>Empower Community Care</t>
  </si>
  <si>
    <t>Management Group,ITO Kogyo Co Ltd,Apollo Global Management Inc,KKR &amp; Co Inc</t>
  </si>
  <si>
    <t>Seven &amp; i Holdings Co Ltd</t>
  </si>
  <si>
    <t>Accessit Group Inc</t>
  </si>
  <si>
    <t>Wilshire Associates Inc</t>
  </si>
  <si>
    <t>Park Lexington Advisors LLC</t>
  </si>
  <si>
    <t>Phillips-Medisize Corp,Bain Capital LP</t>
  </si>
  <si>
    <t>Gerresheimer AG</t>
  </si>
  <si>
    <t>Private Investor,CVC Capital Partners PLC</t>
  </si>
  <si>
    <t>Avolta AG</t>
  </si>
  <si>
    <t>Sterling Group LP/The</t>
  </si>
  <si>
    <t>Frontline Road Safety LLC</t>
  </si>
  <si>
    <t>Hammond Kennedy Whitney &amp; Co Inc</t>
  </si>
  <si>
    <t>Sepratech Holding LLC</t>
  </si>
  <si>
    <t>Bpifrance SACA,Trajan Capital SAS,LT Capital Ventures</t>
  </si>
  <si>
    <t>Management Group,Initiative &amp; Finance Gestion SAS,Latour Capital (Fund: Latour Capital IV FPCI)</t>
  </si>
  <si>
    <t>Rollakin SAS</t>
  </si>
  <si>
    <t>TriSpan LLP</t>
  </si>
  <si>
    <t>Slavic Integrated Administration Inc</t>
  </si>
  <si>
    <t>Otis Ltd</t>
  </si>
  <si>
    <t>Rcapital Partners LLP</t>
  </si>
  <si>
    <t>Liftec Lifts Ltd</t>
  </si>
  <si>
    <t>Accel-KKR Co LLC</t>
  </si>
  <si>
    <t>Aaro Systems AB</t>
  </si>
  <si>
    <t>Tube Methods Inc,Tech Tube Inc</t>
  </si>
  <si>
    <t>Deer Management Co LLC</t>
  </si>
  <si>
    <t>Technical Toolboxes Powertools Ltd</t>
  </si>
  <si>
    <t>Solo Invest SAS</t>
  </si>
  <si>
    <t>Adventurous Journeys LLC</t>
  </si>
  <si>
    <t>Greywalls LLP</t>
  </si>
  <si>
    <t>Peninsula Capital Partners LLC</t>
  </si>
  <si>
    <t>CCR Holdco LLC</t>
  </si>
  <si>
    <t>WP Global Partners Inc (Fund: WP Global Food Water &amp; Agriculture Fund LP),Invus Financial Advisors LLC (Fund: Invus Opportunities Fund III LP),ClearPoint Investment Partners LLC</t>
  </si>
  <si>
    <t>Haveli Investment LP</t>
  </si>
  <si>
    <t>Accommodations Plus International Inc</t>
  </si>
  <si>
    <t>Teleo Capital Management LLC</t>
  </si>
  <si>
    <t>Liberty Hall Capital Partners LP</t>
  </si>
  <si>
    <t>Paxia Inc</t>
  </si>
  <si>
    <t>Procyon Ventures LLC</t>
  </si>
  <si>
    <t>Wooster Corthell Wealth Management Inc</t>
  </si>
  <si>
    <t>Brown Gibbons Lang &amp; Co LLC</t>
  </si>
  <si>
    <t>Valesco Industries Inc</t>
  </si>
  <si>
    <t>Five Lakes Manufacturing Inc</t>
  </si>
  <si>
    <t>AUA Private Equity Partners LLC</t>
  </si>
  <si>
    <t>Monogram Capital Partners LLC</t>
  </si>
  <si>
    <t>Western Smokehouse Partners LLC</t>
  </si>
  <si>
    <t>Achieve Partners Management LLC</t>
  </si>
  <si>
    <t>Sirius Education Solutions LLC</t>
  </si>
  <si>
    <t>Apex Venture Partners LLC</t>
  </si>
  <si>
    <t>Stark Investment Banking SA</t>
  </si>
  <si>
    <t>424 Capital LLC (Fund: 424 Capital Fund II LP),Climate Efficiency Partners LLC</t>
  </si>
  <si>
    <t>TRI-Tech Energy Inc</t>
  </si>
  <si>
    <t>Electric Equipment &amp; Engineering Co</t>
  </si>
  <si>
    <t>Gaw Capital US</t>
  </si>
  <si>
    <t>52 acre Bellefield Office Park/Bellevue</t>
  </si>
  <si>
    <t>Laibe Corp</t>
  </si>
  <si>
    <t>Foundation Investment Partners LLC</t>
  </si>
  <si>
    <t>AAA Industrial Supply Inc</t>
  </si>
  <si>
    <t>HighBAR Ventures</t>
  </si>
  <si>
    <t>Mill Point Capital LLC</t>
  </si>
  <si>
    <t>SS8 Networks Inc</t>
  </si>
  <si>
    <t>Oaktree Capital Management LP</t>
  </si>
  <si>
    <t>Fisher Klingenstein Ventures LLC</t>
  </si>
  <si>
    <t>Tercera LLC (Fund: Tercera Venture Fund I),Lead Edge Capital Management LLC (Fund: Lead Edge Capital VI LP)</t>
  </si>
  <si>
    <t>Hakkoda Inc</t>
  </si>
  <si>
    <t>BrightStar Care</t>
  </si>
  <si>
    <t>SYNERGY Homecare Franchising LLC</t>
  </si>
  <si>
    <t>Behavior Frontiers LLC</t>
  </si>
  <si>
    <t>Bourne Capital Partners LLC,Enhanced Management Co LLC (Fund: Enhanced Healthcare Partners LP)</t>
  </si>
  <si>
    <t>Pharmaceutical Associates Inc</t>
  </si>
  <si>
    <t>Prospect Partners LLC</t>
  </si>
  <si>
    <t>Neighborly Co</t>
  </si>
  <si>
    <t>Protos SpA</t>
  </si>
  <si>
    <t>Y Combinator Inc (Fund: Y Combinator Continuity Fund II),Khosla Ventures LLC (Fund: Khosla Ventures VI LP),Volo Earth Venture Partners LLC</t>
  </si>
  <si>
    <t>ENGIE New Ventures SAS</t>
  </si>
  <si>
    <t>Gaiascope Inc</t>
  </si>
  <si>
    <t>Jordan Co LP/The</t>
  </si>
  <si>
    <t>Wedgewood Hospitality Group Inc</t>
  </si>
  <si>
    <t>Organizacion Cultiba SAB de CV,Castle Harlan Inc,Equity Group Investments LLC,Continental Grain Co</t>
  </si>
  <si>
    <t>Baja Marine Foods SAPI de CV</t>
  </si>
  <si>
    <t>Gemspring Capital Management LLC</t>
  </si>
  <si>
    <t>Appriss Retail Holding Co LP</t>
  </si>
  <si>
    <t>Altor Equity Partners AB (Fund: Altor Fund VI AB),Northleaf Capital Partners Ltd (Fund: Northleaf Growth Fund LP)</t>
  </si>
  <si>
    <t>CCM Hockey US Inc</t>
  </si>
  <si>
    <t>Plaid Inc/CA</t>
  </si>
  <si>
    <t>Inverness Graham Investments Inc</t>
  </si>
  <si>
    <t>Cognito LLC</t>
  </si>
  <si>
    <t>Ares Management LLC (Fund: Ares Corporate Opportunities Fund VI LP),Left Lane Capital LLC (Fund: Left Lane Capital Partners II LP),Atwater Capital LLC/ California (Fund: Atwater Capital Fund I LP),Boardroom Sports Holdings LLC</t>
  </si>
  <si>
    <t>Bolt Ventures Inc,G9 Ventures LLC,Spurs Sports &amp; Entertainment LLC</t>
  </si>
  <si>
    <t>League One Volleyball Inc</t>
  </si>
  <si>
    <t>New Regency Entertainment Inc</t>
  </si>
  <si>
    <t>Genix Holdings LLC</t>
  </si>
  <si>
    <t>Wbe Traffic Control LLC</t>
  </si>
  <si>
    <t>Melita Ltd</t>
  </si>
  <si>
    <t>Stonepeak Partners LP</t>
  </si>
  <si>
    <t>Dupre Logistics LLC</t>
  </si>
  <si>
    <t>HC Private Investments LLC</t>
  </si>
  <si>
    <t>Specialty Bakers LLC,Snackwerks of Michigan LLC</t>
  </si>
  <si>
    <t>Angelo Gordon &amp; Co LP,Terra Firma Capital Partners Ltd (Fund: Terra Firma Capital Partners VI LP)</t>
  </si>
  <si>
    <t>Lovat Parks Ltd</t>
  </si>
  <si>
    <t>Morgenthaler Partners (Fund: MPE Partners IV LP),Delphi Infrastructure Group</t>
  </si>
  <si>
    <t>JMF Underground Inc</t>
  </si>
  <si>
    <t>3 Boomerang Capital LP</t>
  </si>
  <si>
    <t>Pinnaql Inc</t>
  </si>
  <si>
    <t>GI Partners LLC</t>
  </si>
  <si>
    <t>Harrison Street Real Estate Capital LLC,fifteenfortyseven Critical Systems Realty LLC</t>
  </si>
  <si>
    <t>DR Fortress LLC</t>
  </si>
  <si>
    <t>Brightstar Capital Partners LP</t>
  </si>
  <si>
    <t>KZF Design Inc</t>
  </si>
  <si>
    <t>Ridgemont Partners Management LLC</t>
  </si>
  <si>
    <t>Unosquare LLC</t>
  </si>
  <si>
    <t>Brixey &amp; Meyer Capital LLC</t>
  </si>
  <si>
    <t>JTL Holdings Group LLC</t>
  </si>
  <si>
    <t>FinanceApp AG</t>
  </si>
  <si>
    <t>Wefox Mga Srl,Wefox Italy Srl</t>
  </si>
  <si>
    <t>Expertconnect Litigation Support LLC</t>
  </si>
  <si>
    <t>Carlyle Group Inc/The,Triton Advisers Ltd</t>
  </si>
  <si>
    <t>REMA TIP TOP AG</t>
  </si>
  <si>
    <t>Apleona Holding GmbH</t>
  </si>
  <si>
    <t>Thompson Street Capital Partners LLC</t>
  </si>
  <si>
    <t>Bubbakoo's Franchise System LLC</t>
  </si>
  <si>
    <t>Cerberus Capital Management LP</t>
  </si>
  <si>
    <t>Abelo Capital Aviation Management Ltd</t>
  </si>
  <si>
    <t>Milwaukee Capital Partners LLC</t>
  </si>
  <si>
    <t>MPP Group LLC</t>
  </si>
  <si>
    <t>Jadex Inc</t>
  </si>
  <si>
    <t>Nova Capital Management Ltd</t>
  </si>
  <si>
    <t>Shakespeare Co LLC</t>
  </si>
  <si>
    <t>Incline Management Corp</t>
  </si>
  <si>
    <t>Command Investigations LLC</t>
  </si>
  <si>
    <t>Continuim Equity Partners LLC</t>
  </si>
  <si>
    <t>ElectroTech Industries Inc</t>
  </si>
  <si>
    <t>Dunes Point Capital LP</t>
  </si>
  <si>
    <t>Greenwood Industries Inc</t>
  </si>
  <si>
    <t>EXOR NV</t>
  </si>
  <si>
    <t>Antin Infrastructure Partners SASV,CVC Capital Partners SICAV-FIS SA</t>
  </si>
  <si>
    <t>LifeNet Health</t>
  </si>
  <si>
    <t>Morgenthaler Partners</t>
  </si>
  <si>
    <t>Central Coated Products Inc,SUN America LLC</t>
  </si>
  <si>
    <t>Craneware PLC</t>
  </si>
  <si>
    <t>Private Investor,Axcel Management A/S (Fund: Axcel VI K/S),Carlyle Group Inc/The (Fund: Carlyle Partners VIII LP)</t>
  </si>
  <si>
    <t>Superoffice Group AS</t>
  </si>
  <si>
    <t>Estancia Capital Management LLC</t>
  </si>
  <si>
    <t>Reich &amp; Tang Deposit Networks LLC</t>
  </si>
  <si>
    <t>Greybull Stewardship LLC</t>
  </si>
  <si>
    <t>VSSTA Inc</t>
  </si>
  <si>
    <t>Strategic Value Partners LLC,Blantyre Capital Ltd</t>
  </si>
  <si>
    <t>Oxea Corp</t>
  </si>
  <si>
    <t>Saluda Grade Ventures LLC</t>
  </si>
  <si>
    <t>Hillcrest Finance LLC</t>
  </si>
  <si>
    <t>Instrumentum LLC</t>
  </si>
  <si>
    <t>Genesis Innovation Group LLC</t>
  </si>
  <si>
    <t>CPD to Spd LLC</t>
  </si>
  <si>
    <t>175005 Canada Inc</t>
  </si>
  <si>
    <t>Sony Group Corp</t>
  </si>
  <si>
    <t>Hipgnosis Songs Fund Ltd/The Fund</t>
  </si>
  <si>
    <t>Equality Asset Management LP</t>
  </si>
  <si>
    <t>Elation Systems Inc,Rhoads Online Institute Inc</t>
  </si>
  <si>
    <t>Wasson Enterprise LLC,Ascendant Advisory Group LLC</t>
  </si>
  <si>
    <t>Healthcare Horizons LLC</t>
  </si>
  <si>
    <t>ITH Group Ltd</t>
  </si>
  <si>
    <t>Guardian Industries LLC</t>
  </si>
  <si>
    <t>SRG Global Inc</t>
  </si>
  <si>
    <t>Bowmark Capital LLP</t>
  </si>
  <si>
    <t>Providence Equity Partners Inc</t>
  </si>
  <si>
    <t>Tax Systems Ltd</t>
  </si>
  <si>
    <t>REHAU AG + Co</t>
  </si>
  <si>
    <t>United Talent Agency Inc,Oakhouse Partners LLC (Fund: Oakhouse Partners 2013 LP),Launch Fund/The (Fund: Launch Fund I LP),Social+Capital Partnership LLC/The (Fund: Social+Capital Partnership III LP/The),Liquid 2 Ventures LLC,Lone Wolf Partners,Social Starts LLC (Fund: Social Starts 3 LP)</t>
  </si>
  <si>
    <t>Captiv8 Inc</t>
  </si>
  <si>
    <t>Arsenal Capital Partners LP</t>
  </si>
  <si>
    <t>Bertram Capital Management LLC</t>
  </si>
  <si>
    <t>APPLIED Adhesives</t>
  </si>
  <si>
    <t>Roadrunner Charters Inc,Clark Charters &amp; Travel Inc</t>
  </si>
  <si>
    <t>Crux Capital Ltd</t>
  </si>
  <si>
    <t>TZP Group LLC (Fund: TZP Capital Partners IV LP),GCP Capital Partners Holdings LLC (Fund: GCP Capital Partners V LP)</t>
  </si>
  <si>
    <t>Superscapes Inc</t>
  </si>
  <si>
    <t>Core Capital Inc,Atena Equity Partners-Scr SA</t>
  </si>
  <si>
    <t>Plastrofa-Plasticos DA Trofa SA</t>
  </si>
  <si>
    <t>GlobalData PLC</t>
  </si>
  <si>
    <t>Movac Ltd (Fund: Movac Fund 3),K1W1 Ltd</t>
  </si>
  <si>
    <t>Bertelsmann SE &amp; Co KGaA</t>
  </si>
  <si>
    <t>Author-It Software Corp</t>
  </si>
  <si>
    <t>Hellman &amp; Friedman LLC,Advent International Corp,CVC Advisers Ltd,TPG Inc,KKR &amp; Co Inc</t>
  </si>
  <si>
    <t>Bausch + Lomb Corp</t>
  </si>
  <si>
    <t>World Kinect Corp</t>
  </si>
  <si>
    <t>Inspirit Capital Ltd</t>
  </si>
  <si>
    <t>WFL UK Ltd</t>
  </si>
  <si>
    <t>PROUD MOMENTS LICENSED BEHAVIOR ANALYSTS PLLC</t>
  </si>
  <si>
    <t>Integrated Partners</t>
  </si>
  <si>
    <t>Integrated Wealth Concepts LLC</t>
  </si>
  <si>
    <t>Essence Ventures LLC</t>
  </si>
  <si>
    <t>Expectant Media</t>
  </si>
  <si>
    <t>Colony Capital LLC</t>
  </si>
  <si>
    <t>Mercuria Energy Asset Management BV,26north Partners LP</t>
  </si>
  <si>
    <t>Digital Bridge Holdings LLC</t>
  </si>
  <si>
    <t>Trilogy International Ltd</t>
  </si>
  <si>
    <t>West Lane Capital Partners LLC</t>
  </si>
  <si>
    <t>Lanocorp New Zealand Ltd</t>
  </si>
  <si>
    <t>Main Capital Partners BV</t>
  </si>
  <si>
    <t>Trace One SASU</t>
  </si>
  <si>
    <t>Acorn Ventures Inc</t>
  </si>
  <si>
    <t>Pender Software Holdings Ltd</t>
  </si>
  <si>
    <t>Taiyo Holdings Co Ltd</t>
  </si>
  <si>
    <t>Fourshore Capital LLC</t>
  </si>
  <si>
    <t>Strategic Warehousing LLC</t>
  </si>
  <si>
    <t>O2 Investment Partners LLC</t>
  </si>
  <si>
    <t>Northstar Pool Co LLC</t>
  </si>
  <si>
    <t>MiddleGround Capital LLC</t>
  </si>
  <si>
    <t>Zoerkler Gears GmbH &amp; Co KG</t>
  </si>
  <si>
    <t>Corinthian Capital Group LLC (Fund: Corinthian Equity Fund II LP),Valesco Industries Inc (Fund: Valesco Fund III LP)</t>
  </si>
  <si>
    <t>Illumination Enterprises Inc</t>
  </si>
  <si>
    <t>Caymus Equity Partners LLC</t>
  </si>
  <si>
    <t>Valley Lighting LLC</t>
  </si>
  <si>
    <t>Lone Star Global Acquisitions Ltd</t>
  </si>
  <si>
    <t>Radici Partecipazioni SpA</t>
  </si>
  <si>
    <t>Vantedge Partners LP,Avalt</t>
  </si>
  <si>
    <t>Optimum Building Systems &amp; Management Inc</t>
  </si>
  <si>
    <t>Coatue Management LLC (Fund: Coatue Early Stage Fund LP),Afore Capital Management LLC (Fund: Afore Capital II LP),First Round Capital (Fund: Dorm Room Fund IV LP)</t>
  </si>
  <si>
    <t>Stackwatch Inc</t>
  </si>
  <si>
    <t>Auxo Investment Partners LLC</t>
  </si>
  <si>
    <t>Bay Cast Inc,BAY Cast Technologies Inc</t>
  </si>
  <si>
    <t>Future Positive Capital SARL (Fund: Future Positive Fund I),Hive LLC/The (Fund: Hive IV LLC),Lobby Conference LLC/The (Fund: Lobby Capital LP),Common Metal</t>
  </si>
  <si>
    <t>Shopify Inc</t>
  </si>
  <si>
    <t>Vantage Discovery Inc</t>
  </si>
  <si>
    <t>Blue Point Capital Partners LLC (Fund: Blue Point Capital Partners V LP),Andreessen Horowitz (Fund: CLF Partners III LP),E-3 Tech LLC</t>
  </si>
  <si>
    <t>Sylvan Inc/MI</t>
  </si>
  <si>
    <t>Anderton Machining LLC</t>
  </si>
  <si>
    <t>WindRose Health Investors LLC (Fund: WindRose Health Investors VI LP),Court Square Capital Partners LP (Fund: Court Square Capital Partners V LP)</t>
  </si>
  <si>
    <t>Soleo Health Holdings Inc</t>
  </si>
  <si>
    <t>Vance Brothers Inc</t>
  </si>
  <si>
    <t>Epic Ventures Inc,Gaingels LLC,Loup Ventures Management LLC,Buckley Ventures Ltd,Prosperity7 Ventures LLC</t>
  </si>
  <si>
    <t>OpenAI LLC</t>
  </si>
  <si>
    <t>Rain Neuromorphics Inc</t>
  </si>
  <si>
    <t>Aster Capital Partners SAS (Fund: SEV1),Demeter Ventures SADIR (Fund: Emertec 4)</t>
  </si>
  <si>
    <t>QUALCOMM Inc</t>
  </si>
  <si>
    <t>Tiempo SAS</t>
  </si>
  <si>
    <t>Lynx Equity Ltd</t>
  </si>
  <si>
    <t>Mnm Group Inc</t>
  </si>
  <si>
    <t>1848 Capital Partners LLC</t>
  </si>
  <si>
    <t>Stead Inc</t>
  </si>
  <si>
    <t>Quansight Futures Inc</t>
  </si>
  <si>
    <t>Cobalt Speech &amp; Language Inc</t>
  </si>
  <si>
    <t>Fulcrum Equity Partners Inc</t>
  </si>
  <si>
    <t>Management Group,MSouth Equity Partners LLC (Fund: MSouth Equity Partners IV LP),Wellspring Capital Management LLC (Fund: Wellspring Capital Partners VII LP)</t>
  </si>
  <si>
    <t>Summit Spine &amp; Joint Centers</t>
  </si>
  <si>
    <t>Management Group,Centerfield Capital Partners,Altus Capital Partners Inc (Fund: Altus Capital Partners III LP)</t>
  </si>
  <si>
    <t>Alm Positioners Inc</t>
  </si>
  <si>
    <t>Trident Maritime Systems LLC</t>
  </si>
  <si>
    <t>Branford Castle Inc</t>
  </si>
  <si>
    <t>Hoffman Engineering Corp</t>
  </si>
  <si>
    <t>Gladstone Investment Corp</t>
  </si>
  <si>
    <t>Calera Capital Advisors LP</t>
  </si>
  <si>
    <t>Nocturne Luxury Villas Inc</t>
  </si>
  <si>
    <t>Argand Partners LLC</t>
  </si>
  <si>
    <t>Ballet Makers Inc</t>
  </si>
  <si>
    <t>Eurazeo Investment Manager - EIM SA</t>
  </si>
  <si>
    <t>Kurma Partners</t>
  </si>
  <si>
    <t>Cadex Solutions Corp,Trivest Partners LP (Fund: Trivest Recognition Fund LP)</t>
  </si>
  <si>
    <t>Insurance Recovery Group Inc</t>
  </si>
  <si>
    <t>Testek LLC</t>
  </si>
  <si>
    <t>Gladstone Capital Corp</t>
  </si>
  <si>
    <t>OceanSound Partners LP</t>
  </si>
  <si>
    <t>Antenna Research Associates Inc</t>
  </si>
  <si>
    <t>Private Investor,Bain Capital Private Equity LP (Fund: Bain Capital Fund XIII LP),BlueWater Marinas LLC</t>
  </si>
  <si>
    <t>Boat House Marine Protections Inc</t>
  </si>
  <si>
    <t>Spell Capital Partners LLC</t>
  </si>
  <si>
    <t>Littlejohn Capital LLC</t>
  </si>
  <si>
    <t>3P Processing Inc</t>
  </si>
  <si>
    <t>Hero MotoCorp Ltd,Centrum Capital Ltd,Mayfield Fund LLC,Micromax Informatics Ltd,BP Ventures Inc,Mumbai Angels,Responsability Investments AG,LetsVenture Online Pte Ltd,Venture Catalysts Pvt Ltd,Alteria Capital Advisors LLP,JITO Incubation &amp; Innovation Foundation,Survam Partners LLP,Inflection...</t>
  </si>
  <si>
    <t>EverSource Capital</t>
  </si>
  <si>
    <t>Blu-Smart Mobility Pvt Ltd</t>
  </si>
  <si>
    <t>HCI Equity Partners LLC</t>
  </si>
  <si>
    <t>Nonantum Capital Partners</t>
  </si>
  <si>
    <t>MSI Express Inc</t>
  </si>
  <si>
    <t>Mubadala Investment Co PJSC</t>
  </si>
  <si>
    <t>CVC Advisers Ltd</t>
  </si>
  <si>
    <t>Fortress Investment Group LLC</t>
  </si>
  <si>
    <t>TXNM Energy Inc</t>
  </si>
  <si>
    <t>LFM Capital LLC</t>
  </si>
  <si>
    <t>Accelevation LLC</t>
  </si>
  <si>
    <t>Somel Investments Inc,Innospark Ventures Inc,Point Judith Management Co LLC (Fund: PJC Fund V LP),BDC Venture Capital (Fund: Industrial Innovation Venture Fund),Desjardins Venture Capital LP (Fund: Desjardins FinTech Fund),Differential Venture Partners LLC (Fund: Differential Venture Capital ...</t>
  </si>
  <si>
    <t>STMicroelectronics NV</t>
  </si>
  <si>
    <t>Deeplite Inc</t>
  </si>
  <si>
    <t>Guardian Capital Partners</t>
  </si>
  <si>
    <t>Linx Multimedia LLLP</t>
  </si>
  <si>
    <t>Avem Partners</t>
  </si>
  <si>
    <t>Dynamic Aerostructures LLC</t>
  </si>
  <si>
    <t>Burtek Enterprises Inc</t>
  </si>
  <si>
    <t>Votaw Precision Technologies Inc</t>
  </si>
  <si>
    <t>Jimmy Beans Wool Inc</t>
  </si>
  <si>
    <t>LongueVue Capital LLC</t>
  </si>
  <si>
    <t>Daedalus Industrial LLC</t>
  </si>
  <si>
    <t>Havencrest Capital Management LLC</t>
  </si>
  <si>
    <t>Home Care Angels LLC,Avid Health At Home Michigan LLC</t>
  </si>
  <si>
    <t>Azure Capital Partners Inc</t>
  </si>
  <si>
    <t>S &amp; E Renovations Inc</t>
  </si>
  <si>
    <t>XPV Capital Corp</t>
  </si>
  <si>
    <t>Atlas SSI Holdings LLC</t>
  </si>
  <si>
    <t>Whitson's Food Service Corp</t>
  </si>
  <si>
    <t>Glendale Dining Services Inc</t>
  </si>
  <si>
    <t>Khosla Ventures LLC (Fund: Khosla Ventures V LP),Sageview Capital LP (Fund: Sageview Capital Partners II LP),Cisco Investments Ltd (Fund: Cisco Spark Innovation Fund),Honeywell Venture Capital LLC (Fund: Honeywell Venture Capital Fund I)</t>
  </si>
  <si>
    <t>Motorola Solutions Inc</t>
  </si>
  <si>
    <t>Theatro Labs Inc</t>
  </si>
  <si>
    <t>American Healthcare,Salt Ventures</t>
  </si>
  <si>
    <t>Faith Academy Inc</t>
  </si>
  <si>
    <t>Sciens Capital Management LLC</t>
  </si>
  <si>
    <t>Frontenac Co LLC</t>
  </si>
  <si>
    <t>Crom Corp/The</t>
  </si>
  <si>
    <t>Connection Capital LLP,HSBC UK Bank PLC</t>
  </si>
  <si>
    <t>23.5 Degrees Ltd</t>
  </si>
  <si>
    <t>Pollen Street Group Ltd</t>
  </si>
  <si>
    <t>HipoGes Iberia SL</t>
  </si>
  <si>
    <t>Permira Holdings LLP,HPS Investment Partners LLC</t>
  </si>
  <si>
    <t>Aria Resorts Ltd</t>
  </si>
  <si>
    <t>IQGEO Group PLC,Swisscom Ventures AG,Alven Capital Partners SA (Fund: FCPR Alven Capital IV),Hi Inov SAS (Fund: Hi Inov Fund),EnBW New Ventures GmbH,Orbia Ventures Inc</t>
  </si>
  <si>
    <t>Deepomatic SAS</t>
  </si>
  <si>
    <t>Altor Equity Partners AB</t>
  </si>
  <si>
    <t>JF Lehman &amp; Co LLC</t>
  </si>
  <si>
    <t>WSS Holding A/S</t>
  </si>
  <si>
    <t>BV Ppt Holdings Ltd</t>
  </si>
  <si>
    <t>Shorehill Capital LLC</t>
  </si>
  <si>
    <t>Estex Manufacturing Co Inc</t>
  </si>
  <si>
    <t>Agellus Capital LLC</t>
  </si>
  <si>
    <t>Orcus Fire &amp; Risk LLC</t>
  </si>
  <si>
    <t>Dollar Tree Inc</t>
  </si>
  <si>
    <t>Sycamore Partners LLC,Apollo Global Management Inc</t>
  </si>
  <si>
    <t>Family Dollar Stores Inc</t>
  </si>
  <si>
    <t>Stephens Group LLC/The</t>
  </si>
  <si>
    <t>Astro Pak Corp</t>
  </si>
  <si>
    <t>US Foods Holding Corp</t>
  </si>
  <si>
    <t>Red Arts Capital LLC</t>
  </si>
  <si>
    <t>Fresh Unlimited Inc</t>
  </si>
  <si>
    <t>Crescendo Capital Partners LLC</t>
  </si>
  <si>
    <t>AE Industrial Partners LLC</t>
  </si>
  <si>
    <t>United Building Solutions LLC</t>
  </si>
  <si>
    <t>EPC Virginia 24 LLC,Voyager Capital LLC (Fund: Voyager Capital Fund IV LP),Rembrandt Venture Management LLC (Fund: Rembrandt Venture Partners Fund Three LP),Comcast Ventures LLC (Fund: Comcast Ventures Catalyst Fund),JMI Management Inc (Fund: JMI Equity Fund IX LP),Two Sigma Ventures LLC (Fun...</t>
  </si>
  <si>
    <t>Contentstack LLC</t>
  </si>
  <si>
    <t>Lytics Inc</t>
  </si>
  <si>
    <t>Immutable Pty Ltd,Dragonfly Capital Partners,StarkWare Industries Ltd,Circle Ventures LLC,DRB Panama Inc,Selini Capital Ltd,Chorus One AG,Paxos Inc,Polygon Ventures LLC,Breed VC LLC</t>
  </si>
  <si>
    <t>FalconX Inc</t>
  </si>
  <si>
    <t>Arbelos Markets Inc/US</t>
  </si>
  <si>
    <t>Pelican Energy Partners LP</t>
  </si>
  <si>
    <t>Skolnik Industries Inc</t>
  </si>
  <si>
    <t>Creek Pipe Co LLC</t>
  </si>
  <si>
    <t>Forward Consumer Partners LLC</t>
  </si>
  <si>
    <t>Servaas Laboratories Inc</t>
  </si>
  <si>
    <t>Mountain Nazca LLC</t>
  </si>
  <si>
    <t>Bridge Latam LLC</t>
  </si>
  <si>
    <t>Zeppelin-Stiftung Ferdinand gGmbH</t>
  </si>
  <si>
    <t>American Industrial Partners LP,FountainVest Partners Co Ltd,Adient PLC</t>
  </si>
  <si>
    <t>ZF Airbag Germany GmbH/Germany</t>
  </si>
  <si>
    <t>Weinberg Capital Group Inc</t>
  </si>
  <si>
    <t>Gavitt Wire &amp; Cable Co Inc</t>
  </si>
  <si>
    <t>Oath Inc</t>
  </si>
  <si>
    <t>Regent LP</t>
  </si>
  <si>
    <t>TechCrunch Inc</t>
  </si>
  <si>
    <t>International Data Group Inc</t>
  </si>
  <si>
    <t>IDG Communications Inc</t>
  </si>
  <si>
    <t>Hart Energy Publishing LLLP</t>
  </si>
  <si>
    <t>Yellow Point Equity Partners</t>
  </si>
  <si>
    <t>Rextag Strategies Corp</t>
  </si>
  <si>
    <t>Silver Lake Management LLC</t>
  </si>
  <si>
    <t>Revere CRE Inc</t>
  </si>
  <si>
    <t>Upland Software Inc</t>
  </si>
  <si>
    <t>Gallant Capital Partners LLC</t>
  </si>
  <si>
    <t>Altify Ltd</t>
  </si>
  <si>
    <t>Henry's Carpet &amp; Interiors Inc</t>
  </si>
  <si>
    <t>Kinderhook Industries LLC</t>
  </si>
  <si>
    <t>US Anchors Group Inc</t>
  </si>
  <si>
    <t>MMF Capital Management LLC,WILsquare Capital LLC (Fund: WILsquare Capital Partners Fund I LP),New MainStream Capital (Fund: NMS Fund III LP)</t>
  </si>
  <si>
    <t>True Wind Capital Management LP (Fund: True Wind Capital II LP),Aldaron Partners LLC</t>
  </si>
  <si>
    <t>DCM Services LLC</t>
  </si>
  <si>
    <t>Best Version Media LLC</t>
  </si>
  <si>
    <t>ComVest Group Inc</t>
  </si>
  <si>
    <t>Management Group,JF Lehman &amp; Co LLC (Fund: JFL Equity Investors VI LP)</t>
  </si>
  <si>
    <t>Atomic Transport LLC</t>
  </si>
  <si>
    <t>TPG Capital LP/US,Blackstone Inc,General Atlantic LP,Hillhouse Investment Management Ltd</t>
  </si>
  <si>
    <t>RCM Co</t>
  </si>
  <si>
    <t>Hidden Harbor Capital Partners LLC</t>
  </si>
  <si>
    <t>Quaker Valley Foods LLC</t>
  </si>
  <si>
    <t>ICV Capital Partners LLC</t>
  </si>
  <si>
    <t>Environmental Remedies LLC</t>
  </si>
  <si>
    <t>United Services Group</t>
  </si>
  <si>
    <t>Luther King Capital Management Corp</t>
  </si>
  <si>
    <t>Renovo Capital LLC</t>
  </si>
  <si>
    <t>Pavement Maintenance Group LLC</t>
  </si>
  <si>
    <t>Freeman Spogli &amp; Co Inc</t>
  </si>
  <si>
    <t>Brozelco Inc</t>
  </si>
  <si>
    <t>Birch Group LLC/The</t>
  </si>
  <si>
    <t>Blue Devils Spielbetriebs GmbH</t>
  </si>
  <si>
    <t>Protos Soc Di Controlli Tecnici E Finanziari SpA</t>
  </si>
  <si>
    <t>Wynnchurch Capital Ltd</t>
  </si>
  <si>
    <t>Graycliff Partners LP</t>
  </si>
  <si>
    <t>Boss Industries LLC</t>
  </si>
  <si>
    <t>WW Williams Co LLC/The</t>
  </si>
  <si>
    <t>Palm Coast Sales Inc</t>
  </si>
  <si>
    <t>Court Square Capital Partners LP</t>
  </si>
  <si>
    <t>Secured Network Solutions Inc</t>
  </si>
  <si>
    <t>Gryphon Investors Inc</t>
  </si>
  <si>
    <t>L Squared Capital Management LP</t>
  </si>
  <si>
    <t>Kano Laboratories Inc</t>
  </si>
  <si>
    <t>Arsenal Capital Partners LP (Fund: Arsenal Capital Partners VI LP),Headwall Group LLC</t>
  </si>
  <si>
    <t>EVK DI Kerschhaggl GmbH</t>
  </si>
  <si>
    <t>American Securities LLC</t>
  </si>
  <si>
    <t>Integrated Global Services Inc</t>
  </si>
  <si>
    <t>Novacap Investments Inc</t>
  </si>
  <si>
    <t>Crestview Partners LP/NY</t>
  </si>
  <si>
    <t>Smyth Cos LLC</t>
  </si>
  <si>
    <t>Bluestone Capital Partners LLC</t>
  </si>
  <si>
    <t>cBEYONData Inc</t>
  </si>
  <si>
    <t>Landmark Structures I LP</t>
  </si>
  <si>
    <t>Bionical Ltd</t>
  </si>
  <si>
    <t>Private Investor,Kester Capital LLP (Fund: Kester Capital III LP)</t>
  </si>
  <si>
    <t>Emas Pharma Ltd</t>
  </si>
  <si>
    <t>TELUS Corp</t>
  </si>
  <si>
    <t>Softrax Corp</t>
  </si>
  <si>
    <t>Renovus Capital Partners</t>
  </si>
  <si>
    <t>Superior Health Holdings Inc</t>
  </si>
  <si>
    <t>Bain Capital LP</t>
  </si>
  <si>
    <t>T-Gaia Corp</t>
  </si>
  <si>
    <t>Brightstar Group Holdings Inc</t>
  </si>
  <si>
    <t>Vancouver City Savings Credit Union</t>
  </si>
  <si>
    <t>First Credit Union</t>
  </si>
  <si>
    <t>Arcline Investment Management LP</t>
  </si>
  <si>
    <t>Rotating Machinery Services Inc</t>
  </si>
  <si>
    <t>Platte River Ventures LLC</t>
  </si>
  <si>
    <t>Building Controls &amp; Solutions/US</t>
  </si>
  <si>
    <t>Argonaut Private Equity LLC</t>
  </si>
  <si>
    <t>Pryer Aerospace LLC</t>
  </si>
  <si>
    <t>Lancs Industries Inc</t>
  </si>
  <si>
    <t>Mobvista Inc</t>
  </si>
  <si>
    <t>Mintegral Pte Ltd</t>
  </si>
  <si>
    <t>Tonka Bay Equity Partners LLC</t>
  </si>
  <si>
    <t>Lightmart Inc</t>
  </si>
  <si>
    <t>Bunzl PLC</t>
  </si>
  <si>
    <t>R3 Safety LLC</t>
  </si>
  <si>
    <t>Mason Wells Inc</t>
  </si>
  <si>
    <t>Strato Inc</t>
  </si>
  <si>
    <t>Sycamore Partners LLC,RONA Inc</t>
  </si>
  <si>
    <t>All-Fab Building Components Inc</t>
  </si>
  <si>
    <t>Deerfield Management Co LP</t>
  </si>
  <si>
    <t>Singular Genomics Systems Inc</t>
  </si>
  <si>
    <t>Monomoy Capital Partners LLC</t>
  </si>
  <si>
    <t>Management Group,Wynnchurch Capital Ltd (Fund: Wynnchurch Capital Partners VI LP)</t>
  </si>
  <si>
    <t>Astro Shapes LLC</t>
  </si>
  <si>
    <t>Stonepeak Partners LP,I Squared Capital Advisors US LLC,Apollo Global Management Inc</t>
  </si>
  <si>
    <t>Goodpack Pte Ltd</t>
  </si>
  <si>
    <t>Roebling Capital Partners</t>
  </si>
  <si>
    <t>Sprayez Equipment &amp; Coatings LLC</t>
  </si>
  <si>
    <t>CompassMSP LLC</t>
  </si>
  <si>
    <t>Tata Communications Ltd</t>
  </si>
  <si>
    <t>Flexis Capital LLC</t>
  </si>
  <si>
    <t>Campaign Registry Inc/The</t>
  </si>
  <si>
    <t>Grovecourt Capital Partners LLC</t>
  </si>
  <si>
    <t>IMRIS Inc/US</t>
  </si>
  <si>
    <t>HgCapital LLP</t>
  </si>
  <si>
    <t>Carlyle Group Inc/The,TA Associates Management LP,Thoma Bravo LLC</t>
  </si>
  <si>
    <t>SmartTrade Technologies SAS</t>
  </si>
  <si>
    <t>DLE Inc,Pegasus Tech Ventures Inc (Fund: Startup World Cup Fund)</t>
  </si>
  <si>
    <t>Creative Labs Inc</t>
  </si>
  <si>
    <t>Riverside Partners LLC</t>
  </si>
  <si>
    <t>SEALS Franchising LLC/The</t>
  </si>
  <si>
    <t>MCB Real Estate LLC</t>
  </si>
  <si>
    <t>Pinkard Properties LLC</t>
  </si>
  <si>
    <t>Combined Caterers Inc</t>
  </si>
  <si>
    <t>Bilbao Bizkaia Kutxa Aurrezki Kutxa eta Bahitetxea,Vital Financial LLC,Clerbil SL/Spain,Finkatze Kapitala Finkatuz SA</t>
  </si>
  <si>
    <t>Talgo SA</t>
  </si>
  <si>
    <t>Radial Equity Partners LP</t>
  </si>
  <si>
    <t>Premier Dental Products Co</t>
  </si>
  <si>
    <t>Balance Point Capital Advisors LLC (Fund: Balance Point Capital Partners III LP),Enhanced Management Co LLC (Fund: Enhanced Healthcare Partners LP),Balance Point Capital Advisors LLC (Fund: Balance Point Capital Partners IV LP),Balance Point Capital Advisors LLC (Fund: Balance Point Capital P...</t>
  </si>
  <si>
    <t>General Atlantic LP</t>
  </si>
  <si>
    <t>Eventus Wholehealth PLLC</t>
  </si>
  <si>
    <t>Nordic Environment Finance Corp</t>
  </si>
  <si>
    <t>Unistructural Support Systems Ltd</t>
  </si>
  <si>
    <t>Marauder Capital LLC</t>
  </si>
  <si>
    <t>Makolift SAS</t>
  </si>
  <si>
    <t>Spray Equipment of Oklahoma Inc</t>
  </si>
  <si>
    <t>Management Group,Gen Cap America Inc (Fund: Southvest Fund VII LP)</t>
  </si>
  <si>
    <t>Tech Lighting LLC</t>
  </si>
  <si>
    <t>Arlington Capital Partners LP</t>
  </si>
  <si>
    <t>Team Technologies Inc</t>
  </si>
  <si>
    <t>Koch Enterprises Inc</t>
  </si>
  <si>
    <t>Architect Equity LLC</t>
  </si>
  <si>
    <t>Gibbs Die Casting Corp</t>
  </si>
  <si>
    <t>American Databank LLC</t>
  </si>
  <si>
    <t>Vance Street Management LLC</t>
  </si>
  <si>
    <t>Fumex Inc</t>
  </si>
  <si>
    <t>Electricity Generating PCL,Carlyle Group Inc/The (Fund: Abingworth Bioventures 9 LP)</t>
  </si>
  <si>
    <t>Shell PLC</t>
  </si>
  <si>
    <t>RISEC Holdings LLC</t>
  </si>
  <si>
    <t>Sound Growth Management LP</t>
  </si>
  <si>
    <t>LPi Digital LLC</t>
  </si>
  <si>
    <t>Stellex Capital Management LP</t>
  </si>
  <si>
    <t>ICS Holdings LLC</t>
  </si>
  <si>
    <t>Gainline Capital Partners LP</t>
  </si>
  <si>
    <t>M&amp;M International LLC</t>
  </si>
  <si>
    <t>Southeast Vegetation Management LLC</t>
  </si>
  <si>
    <t>Pearl Energy Investments</t>
  </si>
  <si>
    <t>Eagle Mountain Energy Partners LLC</t>
  </si>
  <si>
    <t>Blackford Capital LLC</t>
  </si>
  <si>
    <t>Security Fire Electrical Systems Corp</t>
  </si>
  <si>
    <t>Esmay Electric Inc</t>
  </si>
  <si>
    <t>Horizon Capital LLP</t>
  </si>
  <si>
    <t>Management Group,IK Investment Partners Ltd (Fund: IK X Fund Scsp)</t>
  </si>
  <si>
    <t>Dains Accountants Ltd</t>
  </si>
  <si>
    <t>JMH Capital LLC</t>
  </si>
  <si>
    <t>All4 LLC</t>
  </si>
  <si>
    <t>Goode Partners LLC</t>
  </si>
  <si>
    <t>Mark Dennard Enterprises Inc</t>
  </si>
  <si>
    <t>Willis Towers Watson PLC,Metalico Inc</t>
  </si>
  <si>
    <t>Tranzact Corp</t>
  </si>
  <si>
    <t>Sun Capital Partners Inc</t>
  </si>
  <si>
    <t>Latite Roofing and Sheet Metal LLC</t>
  </si>
  <si>
    <t>GGV Capital LLC,GSR Ventures Management Co Ltd,Shenzhen Tiantu Equity Investment and Management LP</t>
  </si>
  <si>
    <t>Sequoia Capital Operations LLC,Tencent Holdings Ltd,Hillhouse Investment Management Ltd</t>
  </si>
  <si>
    <t>Xiaohongshu Technology Co Ltd</t>
  </si>
  <si>
    <t>Boundary Street Capital LP</t>
  </si>
  <si>
    <t>Align Capital Partners LLC</t>
  </si>
  <si>
    <t>MKB Co LLC</t>
  </si>
  <si>
    <t>Leeds Equity Advisors Inc</t>
  </si>
  <si>
    <t>Learnosity Holdings Ltd</t>
  </si>
  <si>
    <t>MAI Capital Management LLC</t>
  </si>
  <si>
    <t>Concentric Wealth Management LLC</t>
  </si>
  <si>
    <t>Acadia Woods Partners LLC,Bain Capital LP</t>
  </si>
  <si>
    <t>Cuadrilla Capital LLC</t>
  </si>
  <si>
    <t>Gluware Inc</t>
  </si>
  <si>
    <t>Chula Vista Landscaping Inc</t>
  </si>
  <si>
    <t>Greyrock Capital Group LLC</t>
  </si>
  <si>
    <t>Aterian Investment Partners LLC</t>
  </si>
  <si>
    <t>Backyard Leisure Holdings Inc</t>
  </si>
  <si>
    <t>Staple Street Capital LLC</t>
  </si>
  <si>
    <t>Eastern Dental Holdings LLC</t>
  </si>
  <si>
    <t>OMERS Private Equity Inc</t>
  </si>
  <si>
    <t>Deutsche Post AG</t>
  </si>
  <si>
    <t>Inmar Inc</t>
  </si>
  <si>
    <t>CenterGate Capital LP</t>
  </si>
  <si>
    <t>Zyloware Corp</t>
  </si>
  <si>
    <t>Texas Hydraulics Inc</t>
  </si>
  <si>
    <t>Sentinel Capital Partners LLC</t>
  </si>
  <si>
    <t>Clarion Capital Partners LLC</t>
  </si>
  <si>
    <t>MarketPlace Events LLC</t>
  </si>
  <si>
    <t>Warren Equipment Co</t>
  </si>
  <si>
    <t>Lion Equity Partners LLC</t>
  </si>
  <si>
    <t>Weatherford Global Compression Services</t>
  </si>
  <si>
    <t>Management Group,Kian Capital Partners LLC (Fund: KCP Enduring Value I LP)</t>
  </si>
  <si>
    <t>Eden Brothers LLC</t>
  </si>
  <si>
    <t>Artemis Capital Partners LLC</t>
  </si>
  <si>
    <t>Richland Glass Co Inc</t>
  </si>
  <si>
    <t>MSD Partners LP</t>
  </si>
  <si>
    <t>Marcy Venture Partners LLC</t>
  </si>
  <si>
    <t>Pendulum Holdings LLC</t>
  </si>
  <si>
    <t>Garrison Asset Management LLC</t>
  </si>
  <si>
    <t>Waud Capital Partners LLC</t>
  </si>
  <si>
    <t>Hallbell Inc</t>
  </si>
  <si>
    <t>MP Acquisition LLC</t>
  </si>
  <si>
    <t>Ironbridge Equity Partners</t>
  </si>
  <si>
    <t>Castle Harlan Inc</t>
  </si>
  <si>
    <t>Alumni Educational Solutions</t>
  </si>
  <si>
    <t>Turn/River Capital</t>
  </si>
  <si>
    <t>Alta Mensa LLC</t>
  </si>
  <si>
    <t>Jack Doheny Cos Inc</t>
  </si>
  <si>
    <t>Osceola Capital Management LLC</t>
  </si>
  <si>
    <t>Bakers' Signs &amp; Manufacturing LLC</t>
  </si>
  <si>
    <t>Insulite Glass Co Inc</t>
  </si>
  <si>
    <t>Soccer Womens Team Co LLC</t>
  </si>
  <si>
    <t>Lighteum LLC</t>
  </si>
  <si>
    <t>May River Capital LLC</t>
  </si>
  <si>
    <t>Ndsl Group Ltd</t>
  </si>
  <si>
    <t>New MainStream Capital</t>
  </si>
  <si>
    <t>Center for Social Dynamics LLC</t>
  </si>
  <si>
    <t>Arthur Murray International Inc</t>
  </si>
  <si>
    <t>Odyssey Investment Partners LLC</t>
  </si>
  <si>
    <t>NSi Industries LLC</t>
  </si>
  <si>
    <t>Kravet Inc</t>
  </si>
  <si>
    <t>Seacoast Capital Managers LLC</t>
  </si>
  <si>
    <t>SkinCure Oncology LLC</t>
  </si>
  <si>
    <t>Miramis Mining Corp</t>
  </si>
  <si>
    <t>Altus Capital Partners Inc</t>
  </si>
  <si>
    <t>AIR Innovations Inc</t>
  </si>
  <si>
    <t>Mid-Ocean Partners LP</t>
  </si>
  <si>
    <t>Arnott Inc</t>
  </si>
  <si>
    <t>GV Management Co LLC (Fund: Gradient Ventures),Pelion Inc (Fund: Pelion Ventures VII LP),GGV Capital LLC (Fund: GGV Capital VIII),Neythri Futures Fund Management LLC (Fund: Neythri Futures Fund I LP)</t>
  </si>
  <si>
    <t>HubSpot Ventures</t>
  </si>
  <si>
    <t>Cacheflow Inc</t>
  </si>
  <si>
    <t>DirectMed Parts &amp; Service LLC</t>
  </si>
  <si>
    <t>Catalyst Investors LLC</t>
  </si>
  <si>
    <t>Periscope Equity LLC</t>
  </si>
  <si>
    <t>Reputation Institute Inc</t>
  </si>
  <si>
    <t>Infuse Venture Inc</t>
  </si>
  <si>
    <t>CCE Partners LLC</t>
  </si>
  <si>
    <t>AEA Investors LP</t>
  </si>
  <si>
    <t>Huge LLC</t>
  </si>
  <si>
    <t>Consumer Crusaders LLC</t>
  </si>
  <si>
    <t>Ashworth &amp; Parker Ltd</t>
  </si>
  <si>
    <t>Northwest Pump &amp; Equipment Co</t>
  </si>
  <si>
    <t>Heavy Equipment Training-North Carolina LLC</t>
  </si>
  <si>
    <t>Prince Sterilization Services LLC</t>
  </si>
  <si>
    <t>American Louver Co</t>
  </si>
  <si>
    <t>Total PowerGen Solutions</t>
  </si>
  <si>
    <t>Carlson Private Capital Partners</t>
  </si>
  <si>
    <t>Quantum Design International Inc</t>
  </si>
  <si>
    <t>MARS Advertising Inc</t>
  </si>
  <si>
    <t>Fleet Equipment LLC</t>
  </si>
  <si>
    <t>Ridgewood Infrastructure LLC</t>
  </si>
  <si>
    <t>Valley Cold Storage Inc</t>
  </si>
  <si>
    <t>GV Management Co LLC (Fund: Gradient Ventures),Oak HCFT Partners Management Co LLC (Fund: Oak HC/FT Partners III LP)</t>
  </si>
  <si>
    <t>Elevance Health Inc</t>
  </si>
  <si>
    <t>CareBridge Medical Group Inc</t>
  </si>
  <si>
    <t>Champlain Financial Corp Inc,Novacap Investments Inc (Fund: Novacap Industries IV LP)</t>
  </si>
  <si>
    <t>Turnspire Capital Partners LLC</t>
  </si>
  <si>
    <t>GHP Group Inc</t>
  </si>
  <si>
    <t>BV Investment Partners LLC</t>
  </si>
  <si>
    <t>Broad Sky Partners LLC</t>
  </si>
  <si>
    <t>Frontline Managed Services Inc</t>
  </si>
  <si>
    <t>Canadian Imperial Bank of Commerce,First Analysis Corp,Level Equity Management LLC (Fund: Level Equity Growth Partners IV LP),Sixth Street Partners LLC</t>
  </si>
  <si>
    <t>VisiQuate Inc</t>
  </si>
  <si>
    <t>Compass Diversified Holdings</t>
  </si>
  <si>
    <t>Highlander Partners LP</t>
  </si>
  <si>
    <t>ERGO Baby Carrier Inc/The</t>
  </si>
  <si>
    <t>ISPN LLC</t>
  </si>
  <si>
    <t>Spectrum Brands Holdings Inc (Fund: Spectrum Equity VIII LP),Ten Eleven Ventures LLC (Fund: Ten Eleven Growth Fund II LP)</t>
  </si>
  <si>
    <t>Offsec Services Ltd</t>
  </si>
  <si>
    <t>Traffic &amp; Parking Control Co Inc</t>
  </si>
  <si>
    <t>PK2 Co Ltd</t>
  </si>
  <si>
    <t>Square Mile Capital Management LLC</t>
  </si>
  <si>
    <t>Mountpark Properties Ltd</t>
  </si>
  <si>
    <t>Northern Wholesale Supply Inc</t>
  </si>
  <si>
    <t>Halpern Financial Inc</t>
  </si>
  <si>
    <t>Novo Mercado</t>
  </si>
  <si>
    <t>New Harbor Capital Management LLC</t>
  </si>
  <si>
    <t>Superior Specialty Pharmacy of Montana LLC,Big Sky Pharmacy Management Inc</t>
  </si>
  <si>
    <t>Sole Source Capital LLC</t>
  </si>
  <si>
    <t>Graymar Environmental Services Inc</t>
  </si>
  <si>
    <t>Spectra Confectionery Ltd</t>
  </si>
  <si>
    <t>CapitalWorks LLC (Fund: CapitalWorks Fund IV LP),Pine Grove Holdings LLC,Mill Point Capital LLC (Fund: Mill Point Capital Partners III LP)</t>
  </si>
  <si>
    <t>KKSP Precision Machining LLC</t>
  </si>
  <si>
    <t>WILsquare Capital LLC</t>
  </si>
  <si>
    <t>Paint Works Inc/The</t>
  </si>
  <si>
    <t>Alcura France SAS</t>
  </si>
  <si>
    <t>Paragon Partners GmbH</t>
  </si>
  <si>
    <t>Atalante SAS</t>
  </si>
  <si>
    <t>Primed Halberstadt Medizintechnik GmbH</t>
  </si>
  <si>
    <t>Amicus Capital LP</t>
  </si>
  <si>
    <t>Compass case management Inc</t>
  </si>
  <si>
    <t>Principal Industries Inc</t>
  </si>
  <si>
    <t>Raja Software LLC</t>
  </si>
  <si>
    <t>Potential Buyer</t>
  </si>
  <si>
    <t>Worldline SA/France</t>
  </si>
  <si>
    <t>River Associates Investments LLC</t>
  </si>
  <si>
    <t>ID Label Inc</t>
  </si>
  <si>
    <t>ZeroFox Holdings Inc</t>
  </si>
  <si>
    <t>Kingswood Capital Management LLC</t>
  </si>
  <si>
    <t>Identity Theft Guard Solutions Inc</t>
  </si>
  <si>
    <t>Wind Point Partners LP</t>
  </si>
  <si>
    <t>FoodScience Corp</t>
  </si>
  <si>
    <t>Unity Medical Properties LLC</t>
  </si>
  <si>
    <t>Varde Partners LP</t>
  </si>
  <si>
    <t>Unity Investment Management LLC</t>
  </si>
  <si>
    <t>Outlook Group Holdings LLC</t>
  </si>
  <si>
    <t>General Mediterranean Holding SA Spf</t>
  </si>
  <si>
    <t>Stoneweg US LLC,Lopesan Hotel Management SL</t>
  </si>
  <si>
    <t>Hotel Miguel Angel SA</t>
  </si>
  <si>
    <t>Growth Catalyst Partners LLC</t>
  </si>
  <si>
    <t>Inspired Minds Media Ltd</t>
  </si>
  <si>
    <t>Stichting Pensioenfonds ABP,Ardian SAS,PGGM Cooperatie UA</t>
  </si>
  <si>
    <t>Mitsui OSK Lines Ltd,VIP Terminals Holding BV,KKR &amp; Co Inc</t>
  </si>
  <si>
    <t>LBC Tank Terminals Jersey Ltd</t>
  </si>
  <si>
    <t>Platform Partners Investment Co LLC</t>
  </si>
  <si>
    <t>Progressive Pipeline Management LLC</t>
  </si>
  <si>
    <t>Gores Group LLC/The</t>
  </si>
  <si>
    <t>Snow Peak Capital LLC</t>
  </si>
  <si>
    <t>TurbineAero Inc</t>
  </si>
  <si>
    <t>Southfield Capital Advisors LLC,Kelvin Group Inc (Fund: Southfield Capital IV LP)</t>
  </si>
  <si>
    <t>JS Compliance LLC</t>
  </si>
  <si>
    <t>Paine Schwartz Partners LLC</t>
  </si>
  <si>
    <t>Promix Nutrition Inc</t>
  </si>
  <si>
    <t>Curalinc LLC,Lightyear Capital LLC (Fund: Lightyear Fund V LP)</t>
  </si>
  <si>
    <t>Marquee Health LLC</t>
  </si>
  <si>
    <t>KPS Capital Partners LP</t>
  </si>
  <si>
    <t>Catalyst Acoustics Group Inc</t>
  </si>
  <si>
    <t>Ray Anam Inc</t>
  </si>
  <si>
    <t>Total Care Pharmacy XI Inc</t>
  </si>
  <si>
    <t>Smith Equipment Solutions LLC</t>
  </si>
  <si>
    <t>American Spool &amp; Packaging</t>
  </si>
  <si>
    <t>Greenbriar Equity Group LLC</t>
  </si>
  <si>
    <t>Chicago Switchboard Co Inc</t>
  </si>
  <si>
    <t>Branding Iron Holdings Inc</t>
  </si>
  <si>
    <t>Diamond Antenna and Microwave Corp</t>
  </si>
  <si>
    <t>HBM Holdings Co</t>
  </si>
  <si>
    <t>Calcium Products Inc</t>
  </si>
  <si>
    <t>Cashco Inc</t>
  </si>
  <si>
    <t>Spire Capital Partners LLC</t>
  </si>
  <si>
    <t>Sterling Investment Partners LLC</t>
  </si>
  <si>
    <t>Protect LLC</t>
  </si>
  <si>
    <t>Craft KK/Tokyo</t>
  </si>
  <si>
    <t>Kyoden Co Ltd</t>
  </si>
  <si>
    <t>Dominion Enterprises</t>
  </si>
  <si>
    <t>Alliant Cooperative Data Solutions LLC</t>
  </si>
  <si>
    <t>Oliver Packaging and Equipment Co</t>
  </si>
  <si>
    <t>Godspeed Capital Management LP</t>
  </si>
  <si>
    <t>Mason Blau and Associates Inc</t>
  </si>
  <si>
    <t>STS Aviation Group Inc</t>
  </si>
  <si>
    <t>EMP Management LLC</t>
  </si>
  <si>
    <t>AYA Medical Spa</t>
  </si>
  <si>
    <t>Aeritek Global Holdings LLC</t>
  </si>
  <si>
    <t>MSouth Equity Partners LLC</t>
  </si>
  <si>
    <t>Littlejohn &amp; Co LLC</t>
  </si>
  <si>
    <t>Sunbelt Modular Inc</t>
  </si>
  <si>
    <t>Consello Management LP</t>
  </si>
  <si>
    <t>Lanyon Communications Ltd,Blue Lake High Performance Partners</t>
  </si>
  <si>
    <t>Whipp in Holdings LLC</t>
  </si>
  <si>
    <t>Peoria Tube Forming Corp</t>
  </si>
  <si>
    <t>Professional Maintenance &amp; Equipment Inc</t>
  </si>
  <si>
    <t>Delos Capital LLC</t>
  </si>
  <si>
    <t>26north Partners LP</t>
  </si>
  <si>
    <t>US Fitness Inc</t>
  </si>
  <si>
    <t>Hyperion Partners LLC</t>
  </si>
  <si>
    <t>Chicago Parts &amp; Sound LLC</t>
  </si>
  <si>
    <t>Hines Interests LP</t>
  </si>
  <si>
    <t>Modern core logistics building</t>
  </si>
  <si>
    <t>National Fire &amp; Safety Inc</t>
  </si>
  <si>
    <t>Commercial Fire Protection Inc</t>
  </si>
  <si>
    <t>Rainham Industrial Services Ltd</t>
  </si>
  <si>
    <t>Thrive Capital Management LLC</t>
  </si>
  <si>
    <t>Safety Net Solutions Inc</t>
  </si>
  <si>
    <t>NewSpring Holdings LLC</t>
  </si>
  <si>
    <t>Xpect Solutions Inc</t>
  </si>
  <si>
    <t>Empire Distributing Inc</t>
  </si>
  <si>
    <t>Scott-Mcrae Automotive Group Inc</t>
  </si>
  <si>
    <t>Dana Safety Supply Inc</t>
  </si>
  <si>
    <t>Foundation Capital Partners LLC</t>
  </si>
  <si>
    <t>Brean Leisure Park Ltd,Unity Farm Holiday Centre Ltd</t>
  </si>
  <si>
    <t>XG Ventures LLC,Union Square Ventures LLC (Fund: Union Square Ventures 2012 LP),Crosslink Capital Inc (Fund: Crosslink Crossover Fund VI LP),Lerer Hippeau Ventures Management LLC (Fund: Lerer Ventures III LP),O'Reilly AlphaTech Ventures LLC (Fund: OATV III LP),Maverick Capital Ltd (Fund: Mave...</t>
  </si>
  <si>
    <t>Science Exchange Inc</t>
  </si>
  <si>
    <t>Atwater Capital LLC/ California</t>
  </si>
  <si>
    <t>RDC Controle Ltee</t>
  </si>
  <si>
    <t>Spectrum Equity Investors LP</t>
  </si>
  <si>
    <t>Expert Institute Group LLC/The</t>
  </si>
  <si>
    <t>Pfingsten Partners LLC</t>
  </si>
  <si>
    <t>Engineered Specialties LLC</t>
  </si>
  <si>
    <t>Tulkoff Food Products Inc</t>
  </si>
  <si>
    <t>Anderson Group LLC/The</t>
  </si>
  <si>
    <t>Double B Foods Inc</t>
  </si>
  <si>
    <t>Mumbai Angels,LetsVenture Online Pte Ltd,Venture Catalysts Pvt Ltd (Fund: 9Unicorns Fund),Inflection Point Ventures LLP</t>
  </si>
  <si>
    <t>Prescinto Technologies Pvt Ltd</t>
  </si>
  <si>
    <t>Green Courte Partners LLC</t>
  </si>
  <si>
    <t>Parking Spot/The</t>
  </si>
  <si>
    <t>Gen Cap America Inc</t>
  </si>
  <si>
    <t>DA Schoggin Inc</t>
  </si>
  <si>
    <t>Private Investor,Capitala Group,Brookside Mezzanine Partners Management LLC,Sound Growth Management LP (Fund: Sound Growth Partners Fund I LP)</t>
  </si>
  <si>
    <t>Stueve Construction Co</t>
  </si>
  <si>
    <t>NewSpring Capital Inc</t>
  </si>
  <si>
    <t>C Speed LLC</t>
  </si>
  <si>
    <t>CM Equity Partners LP</t>
  </si>
  <si>
    <t>Sabre Systems Inc</t>
  </si>
  <si>
    <t>Onex Corp (Fund: Onex Partners IV LP),Vista Equity Partners LLC (Fund: Vista Equity Partners Fund V LP)</t>
  </si>
  <si>
    <t>PowerSchool Group LLC</t>
  </si>
  <si>
    <t>Brightwood Capital Advisors LLC,Wacona Capital LLC</t>
  </si>
  <si>
    <t>MID-Atlantic Power Specialists Inc</t>
  </si>
  <si>
    <t>LWO LLC</t>
  </si>
  <si>
    <t>Cypress Rail Solutions LLC</t>
  </si>
  <si>
    <t>Stonelake Capital Partners LLC</t>
  </si>
  <si>
    <t>21605 N Central Avenue/Phoenix,22200 N 7th Ave/Phoenix</t>
  </si>
  <si>
    <t>Gurobi Optimization LLC</t>
  </si>
  <si>
    <t>Tower Arch Capital LLC (Fund: Tower Arch Partners III LP),HardRock Infrastructure Services LLC</t>
  </si>
  <si>
    <t>HDW Construction &amp; Drilling LLC</t>
  </si>
  <si>
    <t>NVP Associates LLC,Bow River Capital Partners LLC</t>
  </si>
  <si>
    <t>Luminate Capital Partners</t>
  </si>
  <si>
    <t>AbsenceSoft</t>
  </si>
  <si>
    <t>Venture One Real Estate LLC</t>
  </si>
  <si>
    <t>59735 sq ft industrial building/Itasca</t>
  </si>
  <si>
    <t>Sandvik AB</t>
  </si>
  <si>
    <t>DWFritz Automation LLC</t>
  </si>
  <si>
    <t>Basalt Infrastructure Partners LLP</t>
  </si>
  <si>
    <t>OnSite Partners LLC</t>
  </si>
  <si>
    <t>Hammond Kennedy Whitney &amp; Co Inc (Fund: HKW Capital Partners IV LP),Capitala Investment Advisors LLC (Fund: CapitalSouth SBIC Fund IV LP)</t>
  </si>
  <si>
    <t>Xirgo Technologies Inc</t>
  </si>
  <si>
    <t>Alexander Gow Inc</t>
  </si>
  <si>
    <t>Bolan Capital Management LLC</t>
  </si>
  <si>
    <t>Ashland Inc</t>
  </si>
  <si>
    <t>Pharmachem Innovations LLC</t>
  </si>
  <si>
    <t>Qualx Corp</t>
  </si>
  <si>
    <t>WuXi AppTec Co Ltd</t>
  </si>
  <si>
    <t>Wuxi Advanced Therapies Inc</t>
  </si>
  <si>
    <t>Founders Capital Partners,Partner Investment SARL</t>
  </si>
  <si>
    <t>Societe Immobiliere Tuniso Seoudienne</t>
  </si>
  <si>
    <t>Lodha Developers Ltd</t>
  </si>
  <si>
    <t>Bellissimo Digital Infrastructure Development Management Pvt Ltd</t>
  </si>
  <si>
    <t>Build Ventures Management Inc (Fund: Build Ventures II),Concrete Ventures,Invest Nova Scotia,AOA Innovation Group LLC</t>
  </si>
  <si>
    <t>3D BioFibr Inc</t>
  </si>
  <si>
    <t>TAKE Solutions Ltd</t>
  </si>
  <si>
    <t>Navitas International Corp,HIG Capital LLC (Fund: HIG Capital Partners VII LP)</t>
  </si>
  <si>
    <t>Ecron Acunova Ltd/India</t>
  </si>
  <si>
    <t>Beijing Never Give Up Technology Co Ltd,Changsha Lazy Bear Robotics Technology LP,Hunan Huaidao Technology Co Ltd</t>
  </si>
  <si>
    <t>Private Investor,Shanghai Tieda Electronic and Information Technology Co Ltd,Guangdong Boyuan Fund Management Co Ltd</t>
  </si>
  <si>
    <t>Bear AI Co Ltd</t>
  </si>
  <si>
    <t>Stock</t>
  </si>
  <si>
    <t>GOAT Industries Ltd</t>
  </si>
  <si>
    <t>7rcc Global Inc</t>
  </si>
  <si>
    <t>Bellissimo in City FC Mumbai 1 Pvt Ltd</t>
  </si>
  <si>
    <t>TelevisaUnivision Inc,Searchlight Capital Partners UK LLP (Fund: Searchlight Capital IV LP)</t>
  </si>
  <si>
    <t>Hemisphere Media Group Inc</t>
  </si>
  <si>
    <t>Oceanpine Capital,Crystal Peak Holdings Inc</t>
  </si>
  <si>
    <t>LakeShore Biopharma Co Ltd</t>
  </si>
  <si>
    <t>Florida Opportunity Fund Inc,DeepWork Capital LLC (Fund: DeepWork Parallel Fund I LP),TTV Capital LLC (Fund: TTV Fund VI LP),Ingeborg Investments LLC,Florida Funders LLC (Fund: Florida Funders Fund 3 LP)</t>
  </si>
  <si>
    <t>Worth AI Inc</t>
  </si>
  <si>
    <t>Palava Induslogic 4 Pvt Ltd</t>
  </si>
  <si>
    <t>Sonae SGPS SA</t>
  </si>
  <si>
    <t>Private Investor,Oxy Capital - SCR SA (Fund: Oxy Capital II)</t>
  </si>
  <si>
    <t>Modalfa-Comercio e Servicos SA,Zippy - Comercio e Distribuicao SA</t>
  </si>
  <si>
    <t>John Wood Group PLC</t>
  </si>
  <si>
    <t>Strength Capital Partners LLC</t>
  </si>
  <si>
    <t>Kelchner Inc</t>
  </si>
  <si>
    <t>Riverwood Capital LLC</t>
  </si>
  <si>
    <t>Quicklizard Ltd</t>
  </si>
  <si>
    <t>Babcock &amp; Wilcox Enterprises Inc</t>
  </si>
  <si>
    <t>Auctus Capital Partners AG</t>
  </si>
  <si>
    <t>Gotaverken Miljo AB,SPIG SpA</t>
  </si>
  <si>
    <t>Celenian Capital LLC</t>
  </si>
  <si>
    <t>Stonebridge Capital Inc</t>
  </si>
  <si>
    <t>Polypia Co Ltd</t>
  </si>
  <si>
    <t>Ferrovial SE</t>
  </si>
  <si>
    <t>Scale Capital ApS</t>
  </si>
  <si>
    <t>Veltis SPA</t>
  </si>
  <si>
    <t>Tata Group,Mayo Clinic Ventures,Endiya Partners Ltd (Fund: Endiya Fund II),Rakuten Medical Inc</t>
  </si>
  <si>
    <t>Reliance Industries Ltd</t>
  </si>
  <si>
    <t>Karkinos Healthcare Pvt Ltd</t>
  </si>
  <si>
    <t>Provident Pioneer Partners LP</t>
  </si>
  <si>
    <t>Pioneer Custom Electrical Products Corp</t>
  </si>
  <si>
    <t>Olympus Corp,Revival Healthcare Capital LLC (Fund: Revival Healthcare Capital III)</t>
  </si>
  <si>
    <t>Swan EndoSurgical Inc</t>
  </si>
  <si>
    <t>Krispy Kreme Inc</t>
  </si>
  <si>
    <t>Verlinvest SA,Mistral Equity Partners (Fund: Mistral Equity Partners QP LP)</t>
  </si>
  <si>
    <t>Insomnia Cookies LLC</t>
  </si>
  <si>
    <t>Eastham Capital Inc (Fund: Eastham Capital Fund VI LP),Bender Cos</t>
  </si>
  <si>
    <t>550 unit apartment community/Chicago</t>
  </si>
  <si>
    <t>SigmaTron International Inc</t>
  </si>
  <si>
    <t>Private Investor,EQT Partners AB (Fund: EQT Future),TCMI Inc (Fund: TCV XII LP)</t>
  </si>
  <si>
    <t>Believe SA</t>
  </si>
  <si>
    <t>Veritone Inc</t>
  </si>
  <si>
    <t>Insignia Capital Group LLC</t>
  </si>
  <si>
    <t>Veritone One Inc</t>
  </si>
  <si>
    <t>Stonepeak Partners LP,KKR &amp; Co Inc</t>
  </si>
  <si>
    <t>Assura PLC</t>
  </si>
  <si>
    <t>Azimut Holding SpA</t>
  </si>
  <si>
    <t>North Square Investments LLC</t>
  </si>
  <si>
    <t>B Riley Financial Inc</t>
  </si>
  <si>
    <t>Torquest Partners Inc</t>
  </si>
  <si>
    <t>GlassRatner Advisory &amp; Capital Group LLC,B Riley Farber Advisory Inc</t>
  </si>
  <si>
    <t>Solistica SA de CV</t>
  </si>
  <si>
    <t>Vinci Compass Investments Ltd,GEF Capital Partners LLC (Fund: GEF UCO Partners LP)</t>
  </si>
  <si>
    <t>AGV Logistica SA</t>
  </si>
  <si>
    <t>Quisitive Technology Solutions Inc</t>
  </si>
  <si>
    <t>Invesco Ltd</t>
  </si>
  <si>
    <t>IntelliFlo Ltd</t>
  </si>
  <si>
    <t>VSE Corp</t>
  </si>
  <si>
    <t>Wheeler Bros Inc</t>
  </si>
  <si>
    <t>Velan Inc</t>
  </si>
  <si>
    <t>Global Risk Capital LLC</t>
  </si>
  <si>
    <t>Asbestos related liabilities/Velan Inc</t>
  </si>
  <si>
    <t>KAMUR Private Equity</t>
  </si>
  <si>
    <t>JJTools Co Ltd</t>
  </si>
  <si>
    <t>Summit Partners LP (Fund: Summit Partners Venture Capital Fund III LP),Tuesday Capital (Fund: Tuesday Capital II LP),Cowboy Capital LLC (Fund: Cowboy Ventures Fund II LLC),TPG Growth LLC (Fund: TPG Growth Equity III LP)</t>
  </si>
  <si>
    <t>Philz Coffee Inc</t>
  </si>
  <si>
    <t>Touchstone Innovations Ltd,Nesta,Cambridge Angels Ltd,Cambridge Capital Group,Invoke Capital Partners (Fund: Invoke Capital Partners Fund),IP Group PLC (Fund: IP Venture Fund II),Highland Europe UK LLP (Fund: Highland Europe Technology Growth II LP),TTV Capital LLC (Fund: TTV Fund IV LP),Worl...</t>
  </si>
  <si>
    <t>Visa Inc</t>
  </si>
  <si>
    <t>Featurespace Ltd</t>
  </si>
  <si>
    <t>SNP Schneider-Neureither &amp; Partner SE</t>
  </si>
  <si>
    <t>Claranova SE</t>
  </si>
  <si>
    <t>Management Group,General Atlantic LP (Fund: General Atlantic Investment Partners 2022 LP)</t>
  </si>
  <si>
    <t>Planetart LLC</t>
  </si>
  <si>
    <t>Jamco Corp</t>
  </si>
  <si>
    <t>Franchise Group Inc</t>
  </si>
  <si>
    <t>Kingswood Capital Management LLC (Fund: Kingswood Capital Opportunities Fund III LP),Performance Investment Partners LLC</t>
  </si>
  <si>
    <t>Vitamin Shoppe Inc</t>
  </si>
  <si>
    <t>Close Brothers Group PLC</t>
  </si>
  <si>
    <t>Close Brothers Asset Management Ltd</t>
  </si>
  <si>
    <t>CryoPort Inc</t>
  </si>
  <si>
    <t>CRYO International SA</t>
  </si>
  <si>
    <t>Management Group,NGP Energy Capital Management LLC (Fund: NGP Energy Transition IV LP)</t>
  </si>
  <si>
    <t>Greenlake Energy II LLC</t>
  </si>
  <si>
    <t>Horizons Ventures Ltd,Aleph (Fund: Aleph LP),XL Innovate LLC</t>
  </si>
  <si>
    <t>FTV Management Co LP</t>
  </si>
  <si>
    <t>Windward Ltd</t>
  </si>
  <si>
    <t>Hyundai Steel Co</t>
  </si>
  <si>
    <t>Mirae Asset Private Equity,Pine Tree Equity Partners LP,Woori Private Equity Asset Management Co Ltd,Bailey Private Equity Inc</t>
  </si>
  <si>
    <t>Hyundai Integrated Forging Co Ltd</t>
  </si>
  <si>
    <t>Nagarro SE</t>
  </si>
  <si>
    <t>Kaonavi Inc</t>
  </si>
  <si>
    <t>Nu Skin Enterprises Inc</t>
  </si>
  <si>
    <t>Summit Partners LP</t>
  </si>
  <si>
    <t>MyFavoriteThings Inc</t>
  </si>
  <si>
    <t>Sona Group/The</t>
  </si>
  <si>
    <t>VEE Healthtek Pvt Ltd</t>
  </si>
  <si>
    <t>HGGC LLC</t>
  </si>
  <si>
    <t>Inspired PLC</t>
  </si>
  <si>
    <t>REZIL Inc</t>
  </si>
  <si>
    <t>Finning International Inc</t>
  </si>
  <si>
    <t>4Refuel Canada LP</t>
  </si>
  <si>
    <t>Axel Springer SE</t>
  </si>
  <si>
    <t>Private Investor,Inflexion Private Equity Partners LLP (Fund: Inflexion Buyout Fund VI LP)</t>
  </si>
  <si>
    <t>finanzen.net GmbH</t>
  </si>
  <si>
    <t>Carlyle Group Inc/The (Fund: Carlyle Partners VIII LP),SK Capital Partners LP (Fund: SKCP Catalyst Fund II LP)</t>
  </si>
  <si>
    <t>Bluebird Bio Inc</t>
  </si>
  <si>
    <t>One Equity Partners LLC,Buckthorn Partners LLP</t>
  </si>
  <si>
    <t>Renold PLC</t>
  </si>
  <si>
    <t>Sigma Cos International Corp</t>
  </si>
  <si>
    <t>4Refuel Holdings Ltd,Midnight Holding Inc</t>
  </si>
  <si>
    <t>JC Flowers &amp; Co LLC (Fund: JC Flowers V LP),TowerBrook Capital Partners LP (Fund: Towerbrook Investors VI LP),Embedded Finance Ltd</t>
  </si>
  <si>
    <t>Equals Group PLC</t>
  </si>
  <si>
    <t>WithSecure Oyj</t>
  </si>
  <si>
    <t>Proprium Capital Partners LP,Avid Property Group Australia Pty Ltd</t>
  </si>
  <si>
    <t>AVJennings Ltd</t>
  </si>
  <si>
    <t>Trancom Co Ltd</t>
  </si>
  <si>
    <t>New Enterprise Associates Inc</t>
  </si>
  <si>
    <t>NeueHealth Inc</t>
  </si>
  <si>
    <t>Infomedia Ltd</t>
  </si>
  <si>
    <t>Team Internet Group PLC</t>
  </si>
  <si>
    <t>Bayview Asset Management LLC</t>
  </si>
  <si>
    <t>Guild Holdings Co</t>
  </si>
  <si>
    <t>LKQ Corp</t>
  </si>
  <si>
    <t>Pacific Avenue Capital Partners LLC</t>
  </si>
  <si>
    <t>Pick-Your-Part Auto Wrecking</t>
  </si>
  <si>
    <t>EQT AB,KKR &amp; Co Inc</t>
  </si>
  <si>
    <t>Topcon Corp</t>
  </si>
  <si>
    <t>Clayton Dubilier &amp; Rice LLC (Fund: CD&amp;R Wolf Equity Holdings LP),Permira Holdings LLP (Fund: Permira Growth Opportunities II LP)</t>
  </si>
  <si>
    <t>Exclusive Networks SA</t>
  </si>
  <si>
    <t>Clanwilliam Headquarters Ltd</t>
  </si>
  <si>
    <t>Viola Group Inc (Fund: Viola Growth III LP),Deer Management Co LLC (Fund: Bessemer Venture Partners Century Fund LP),General Atlantic LP (Fund: General Atlantic Investment Partners 2021 LP)</t>
  </si>
  <si>
    <t>Zoomin Software Inc</t>
  </si>
  <si>
    <t>Rentokil Initial PLC</t>
  </si>
  <si>
    <t>French workwear business/Rentokil Initial PLC</t>
  </si>
  <si>
    <t>De La Rue PLC</t>
  </si>
  <si>
    <t>Accel Partners LP,Glynn Capital Management LLC,New Enterprise Associates Inc,Insight Venture Partners LP,Hercules Capital Inc,Dell Ventures LP,Rev Venture Partners Ltd,First Round Capital,Khosla Ventures LLC,GV Management Co LLC,SV Angel Management LLC,Anchorage Capital Group LLC,Y Combinator...</t>
  </si>
  <si>
    <t>Vector Capital Management LP</t>
  </si>
  <si>
    <t>SingleStore Inc</t>
  </si>
  <si>
    <t>Paragon Solutions Ltd/Israel</t>
  </si>
  <si>
    <t>Samhwa Co Ltd</t>
  </si>
  <si>
    <t>Pursuit Attractions and Hospit</t>
  </si>
  <si>
    <t>Global Experience Specialists Inc</t>
  </si>
  <si>
    <t>MPM Products Ltd</t>
  </si>
  <si>
    <t>Berry Global Group Inc</t>
  </si>
  <si>
    <t>Berry Specialty Tapes LLC</t>
  </si>
  <si>
    <t>Infratil Ltd,New Zealand Superannuation Fund Nominees Ltd</t>
  </si>
  <si>
    <t>INVESCO Real Estate</t>
  </si>
  <si>
    <t>Retire Australia Holdings Pty Ltd</t>
  </si>
  <si>
    <t>Reliant Wealth Planning LLC</t>
  </si>
  <si>
    <t>Siris Capital Group LLC</t>
  </si>
  <si>
    <t>Seiko Epson Corp</t>
  </si>
  <si>
    <t>Fiery LLC</t>
  </si>
  <si>
    <t>Willis Towers Watson PLC</t>
  </si>
  <si>
    <t>Recognize Partners LP (Fund: Recognize Partners I LP),GTCR Golder Rauner LLC (Fund: GTCR Fund XIV LP)</t>
  </si>
  <si>
    <t>TZ Insurance Solutions LLC</t>
  </si>
  <si>
    <t>Loungers Ltd</t>
  </si>
  <si>
    <t>Advantage Partners LLP</t>
  </si>
  <si>
    <t>FormFactor Inc,MBK Partners Ltd (Fund: MBK Partners Fund VI LP)</t>
  </si>
  <si>
    <t>FICT Ltd</t>
  </si>
  <si>
    <t>Estacionamientos y Servicios SA</t>
  </si>
  <si>
    <t>Advent International Corp (Fund: Advent International GPE X LP),Nextalia Sgr SpA</t>
  </si>
  <si>
    <t>Tinexta Spa</t>
  </si>
  <si>
    <t>Datagroup SE</t>
  </si>
  <si>
    <t>GreenSquareDC Pty Ltd</t>
  </si>
  <si>
    <t>FD Technologies PLC</t>
  </si>
  <si>
    <t>STORY3 Capital Partners LLC</t>
  </si>
  <si>
    <t>Figs Inc</t>
  </si>
  <si>
    <t>Solum Partners LP</t>
  </si>
  <si>
    <t>Greenyard NV</t>
  </si>
  <si>
    <t>TPG Growth LLC</t>
  </si>
  <si>
    <t>Altus Power Inc</t>
  </si>
  <si>
    <t>Nissin Corp</t>
  </si>
  <si>
    <t>Phillips 66</t>
  </si>
  <si>
    <t>DCP GCX Pipeline LLC</t>
  </si>
  <si>
    <t>Converge Technology Solutions Corp</t>
  </si>
  <si>
    <t>Plymouth Industrial REIT Inc</t>
  </si>
  <si>
    <t>Ampersand Management LLC (Fund: Ampersand 2022 LP),GHO Capital Partners LLP (Fund: GHO Capital IV LP)</t>
  </si>
  <si>
    <t>Avid Bioservices Inc</t>
  </si>
  <si>
    <t>Sunrise Medical AG</t>
  </si>
  <si>
    <t>UST Holdings Ltd</t>
  </si>
  <si>
    <t>UST Healthproof Inc</t>
  </si>
  <si>
    <t>Vermont Information Processing Inc</t>
  </si>
  <si>
    <t>Cash and Debt</t>
  </si>
  <si>
    <t>Yukon Partners Management LLC,CapitalSpring LLC,Valor Equity Management LLC (Fund: Valor Equity Partners LP)</t>
  </si>
  <si>
    <t>Sizzling Platter LLC</t>
  </si>
  <si>
    <t>Kantar Global Holdings SARL</t>
  </si>
  <si>
    <t>Kantar Media UK Ltd</t>
  </si>
  <si>
    <t>Rock Springs Capital Management LP,Blackstone Multi-Asset Advisors LLC,Commodore Capital LP,Nextech Invest AG (Fund: Nextech VII Oncology Scsp),Andreessen Horowitz (Fund: AH Bio Fund IV LP),Casdin Capital LLC (Fund: Casdin Private Growth Equity Fund II LP),Forge Life Science Partners,RA Capit...</t>
  </si>
  <si>
    <t>GSK PLC</t>
  </si>
  <si>
    <t>IDRx Inc</t>
  </si>
  <si>
    <t>Biotage AB</t>
  </si>
  <si>
    <t>Brigade Capital Management LP,Macellum Capital Management LLC</t>
  </si>
  <si>
    <t>I Squared Capital Advisors US LLC</t>
  </si>
  <si>
    <t>HKBN Ltd</t>
  </si>
  <si>
    <t>Learning Technologies Group PLC</t>
  </si>
  <si>
    <t>XPLR Infrastructure LP,Meade Pipeline Investment LLC,Redwood Meade Midstream MPC LLC</t>
  </si>
  <si>
    <t>Ares Management LLC</t>
  </si>
  <si>
    <t>Meade Pipeline Co LLC</t>
  </si>
  <si>
    <t>Sabre Corp</t>
  </si>
  <si>
    <t>SynXis Corp</t>
  </si>
  <si>
    <t>Global Payments Inc</t>
  </si>
  <si>
    <t>ADP AdvancedMD Inc</t>
  </si>
  <si>
    <t>Avoro Ventures LLC,UniQuest Ltd,Medicxi Ventures UK LLP (Fund: Medicxi IV LP),Goldman Sachs Group Inc/The (Fund: West Street Life Sciences I LP),TCG Crossover Management LLC (Fund: TCG Crossover Fund II LP),venBio Partners LLC (Fund: venBio Global Strategic Fund V LP)</t>
  </si>
  <si>
    <t>Sanofi</t>
  </si>
  <si>
    <t>Vicebio Ltd</t>
  </si>
  <si>
    <t>Vista Outdoor Products SpinCo</t>
  </si>
  <si>
    <t>u-blox Holding AG</t>
  </si>
  <si>
    <t>Couchbase Inc</t>
  </si>
  <si>
    <t>Nexus AG</t>
  </si>
  <si>
    <t>SK ecoplant Co Ltd</t>
  </si>
  <si>
    <t>Jinju Industry Co Ltd,Renewus Co Ltd,DaewonGreenEnergy Co Ltd</t>
  </si>
  <si>
    <t>Aware Super Pty Ltd</t>
  </si>
  <si>
    <t>Proten Pty Ltd</t>
  </si>
  <si>
    <t>WindRose Health Investors LLC,Altaris Capital Partners LLC,EQT AB</t>
  </si>
  <si>
    <t>AGS Health</t>
  </si>
  <si>
    <t>Digital Bridge Holdings LLC,Crestview Partners LP/NY (Fund: Crestview Partners IV LP)</t>
  </si>
  <si>
    <t>WideOpenWest Inc</t>
  </si>
  <si>
    <t>GIC Pte Ltd,Silver Lake Management LLC (Fund: Silver Lake Partners VII LP)</t>
  </si>
  <si>
    <t>Zuora Inc</t>
  </si>
  <si>
    <t>Chemring Group PLC</t>
  </si>
  <si>
    <t>Olo Inc</t>
  </si>
  <si>
    <t>Verint Systems Inc</t>
  </si>
  <si>
    <t>International Paper Co</t>
  </si>
  <si>
    <t>International Paper Global Cellulose Fibers Holdings Sarl</t>
  </si>
  <si>
    <t>Sauer Brands Inc</t>
  </si>
  <si>
    <t>Legal &amp; General Group PLC</t>
  </si>
  <si>
    <t>Patron Capital Advisers LLP,Sixth Street Partners LLC (Fund: Sixth Street Mid-Stage Growth Partners LP)</t>
  </si>
  <si>
    <t>Cala Group Ltd</t>
  </si>
  <si>
    <t>Forgital Group SpA</t>
  </si>
  <si>
    <t>Shermco Industries Inc</t>
  </si>
  <si>
    <t>Summit Partners LP,HLM Investments LLC,Echo Health Ventures LLC</t>
  </si>
  <si>
    <t>VaxCare Corp</t>
  </si>
  <si>
    <t>Ageas SA/NV</t>
  </si>
  <si>
    <t>esure Group PLC</t>
  </si>
  <si>
    <t>Bohai Leasing Co Ltd</t>
  </si>
  <si>
    <t>Global Sea Containers Ltd</t>
  </si>
  <si>
    <t>Corpay Inc,TPG Capital LP/US (Fund: TPG LSI Equity LP)</t>
  </si>
  <si>
    <t>AvidXchange Holdings Inc</t>
  </si>
  <si>
    <t>INEOS Ltd</t>
  </si>
  <si>
    <t>INEOS AG</t>
  </si>
  <si>
    <t>MeridianLink Inc</t>
  </si>
  <si>
    <t>Butterfly Equity LLC</t>
  </si>
  <si>
    <t>Duckhorn Portfolio Inc/The</t>
  </si>
  <si>
    <t>Birch Hill Equity Partners Management Inc (Fund: Birch Hill Equity Partners VI LP),Brookfield Corp (Fund: Brookfield Capital Partners VI LP)</t>
  </si>
  <si>
    <t>First National Financial Corp</t>
  </si>
  <si>
    <t>Darden Restaurants Inc</t>
  </si>
  <si>
    <t>Golden Gate Capital LP</t>
  </si>
  <si>
    <t>RED Lobster Hospitality LLC</t>
  </si>
  <si>
    <t>One Investment Administration Ltd,CC Capital Management LLC</t>
  </si>
  <si>
    <t>Insignia Financial Ltd</t>
  </si>
  <si>
    <t>Yinson Holdings BHD</t>
  </si>
  <si>
    <t>Bain Capital Private Equity LP,Pacific Investment Management Co LLC,KKR &amp; Co Inc</t>
  </si>
  <si>
    <t>New Day</t>
  </si>
  <si>
    <t>Honeywell International Inc</t>
  </si>
  <si>
    <t>Sundyne Corp</t>
  </si>
  <si>
    <t>Retail Opportunity Investments Corp</t>
  </si>
  <si>
    <t>Sapiens International Corp NV</t>
  </si>
  <si>
    <t>Wellington Management Group LLP,Mass General Brigham Inc,Janus Henderson Group PLC,Willett Advisors LLC,Boxer Capital LLC,Invus Group LLC/The (Fund: IFA PE Fund II LP),Omega Funds Investment Ltd,Logos Capital Partners Sarl (Fund: Logos Global Opportunities I),Woodline Partners LP,EcoR1 Capita...</t>
  </si>
  <si>
    <t>Eli Lilly &amp; Co</t>
  </si>
  <si>
    <t>Scorpion Therapeutics Inc</t>
  </si>
  <si>
    <t>Trinity Investments LLC</t>
  </si>
  <si>
    <t>Sunstone Hotel Investors Inc</t>
  </si>
  <si>
    <t>Aon PLC</t>
  </si>
  <si>
    <t>Madison Dearborn Partners LLC</t>
  </si>
  <si>
    <t>DiMeo Schneider &amp; Associates LLC,Newport Private Wealth Inc,Wealthspire Advisors LP</t>
  </si>
  <si>
    <t>Fuji Soft Inc</t>
  </si>
  <si>
    <t>Karo Pharma AB</t>
  </si>
  <si>
    <t>Comerica Inc,Kleiner Perkins Caufield &amp; Byers LLC,Lightspeed Management Co LLC,Alkeon Capital Management LLC,Tiger Global Management LLC,Bain Capital Venture Partners LLC,Sapphire Ventures LLC,ICONIQ Capital LLC</t>
  </si>
  <si>
    <t>ServiceNow Inc</t>
  </si>
  <si>
    <t>Moveworks Inc</t>
  </si>
  <si>
    <t>Warburg Pincus LLC (Fund: Warburg Pincus Global Growth II),Berkshire Partners LLC (Fund: Berkshire Fund XI LP)</t>
  </si>
  <si>
    <t>Triumph Group Inc</t>
  </si>
  <si>
    <t>Kleiner Perkins Caufield &amp; Byers LLC (Fund: Kleiner Perkins Caufield &amp; Byers XX LLC),Founders Fund Management LLC/The (Fund: Founders Fund Growth II LP),Greenoaks Capital Management LLC (Fund: Greenoaks Capital Opportunities Fund V LP),General Catalyst Partners LLC (Fund: General Catalyst Gro...</t>
  </si>
  <si>
    <t>OpenAI Inc</t>
  </si>
  <si>
    <t>Exafunction Inc</t>
  </si>
  <si>
    <t>S&amp;P Global Inc,CME Group Inc</t>
  </si>
  <si>
    <t>OSTTRA</t>
  </si>
  <si>
    <t>Air Transport Services Group Inc</t>
  </si>
  <si>
    <t>TechnoPro Holdings Inc</t>
  </si>
  <si>
    <t>Mitsubishi Chemical Group Corp</t>
  </si>
  <si>
    <t>Mitsubishi Tanabe Pharma Corp</t>
  </si>
  <si>
    <t>Patient Square Capital LP</t>
  </si>
  <si>
    <t>Patterson Cos Inc</t>
  </si>
  <si>
    <t>Barnes Group Inc</t>
  </si>
  <si>
    <t>Dun &amp; Bradstreet Holdings Inc</t>
  </si>
  <si>
    <t>SolarWinds Corp</t>
  </si>
  <si>
    <t>Terminated</t>
  </si>
  <si>
    <t>Emerson Collective Investments LLC,Maverick Ventures Inc (Fund: Maverick Ventures Evergreen Fund),Sutter Hill Ventures LP (Fund: Bluebird Ventures I LP),SV Angel Management LLC (Fund: SV Angel Growth I LP),Thrive Capital Management LLC (Fund: Thrive Capital Partners XI)</t>
  </si>
  <si>
    <t>IO Products Inc</t>
  </si>
  <si>
    <t>Canada Pension Plan Investment Board,British Columbia Investment Management Corp,Public Sector Pension Investment Board,Searchlight Capital Partners UK LLP (Fund: Searchlight Capital III LP),WaveDivision Capital LLC</t>
  </si>
  <si>
    <t>BCE Inc</t>
  </si>
  <si>
    <t>Northwest Fiber LLC</t>
  </si>
  <si>
    <t>Surgery Partners Inc</t>
  </si>
  <si>
    <t>YORK Holdings Co Ltd</t>
  </si>
  <si>
    <t>Cathexis Holdings LP</t>
  </si>
  <si>
    <t>Caisse de Depot et Placement du Quebec,DigitalBridge Group Inc</t>
  </si>
  <si>
    <t>Yondr Group Ltd</t>
  </si>
  <si>
    <t>Genstar Capital LLC (Fund: Genstar Capital Partners VIII LP),Hellman &amp; Friedman LLC (Fund: Hellman &amp; Friedman Capital Partners X LP)</t>
  </si>
  <si>
    <t>Enverus Inc</t>
  </si>
  <si>
    <t>Spectris PLC</t>
  </si>
  <si>
    <t>Sumitomo Corp,Sumitomo Mitsui Finance &amp; Leasing Co Ltd,Brookfield Corp,Apollo Global Management Inc</t>
  </si>
  <si>
    <t>Air Lease Corp</t>
  </si>
  <si>
    <t>Smartsheet Inc</t>
  </si>
  <si>
    <t>Nippon Life Insurance Co</t>
  </si>
  <si>
    <t>Resolution Life Group Holdings LP</t>
  </si>
  <si>
    <t>Cash or Stock</t>
  </si>
  <si>
    <t>Starwood Capital Group LLC,Warburg Pincus LLC,Qatar Holding LLC,Sixth Street Partners LLC,SSW Partners LP</t>
  </si>
  <si>
    <t>ESR Group Ltd</t>
  </si>
  <si>
    <t>3G Capital Partners LP</t>
  </si>
  <si>
    <t>Skechers USA Inc</t>
  </si>
  <si>
    <t>Dayforce Inc</t>
  </si>
  <si>
    <t>Blackstone Inc,TPG Inc</t>
  </si>
  <si>
    <t>Hologic Inc</t>
  </si>
  <si>
    <t>Altice France SA/France</t>
  </si>
  <si>
    <t>TV/EBIT</t>
  </si>
  <si>
    <t>Deal Status</t>
  </si>
  <si>
    <t>TV/EBITDA</t>
  </si>
  <si>
    <t>Payment Type</t>
  </si>
  <si>
    <t>Announced Total Value (mil.)</t>
  </si>
  <si>
    <t>Seller Name</t>
  </si>
  <si>
    <t>Acquirer Name</t>
  </si>
  <si>
    <t>Target Name</t>
  </si>
  <si>
    <t>Announce Date</t>
  </si>
  <si>
    <t>Deal Type</t>
  </si>
  <si>
    <t>Real cost of debt</t>
  </si>
  <si>
    <t>Real SOFR</t>
  </si>
  <si>
    <t>Expected inflation (US 10Y breakeven)</t>
  </si>
  <si>
    <t>Nominal SOFR</t>
  </si>
  <si>
    <t>Index OAS to Treasury Curve Basis Points</t>
  </si>
  <si>
    <t>Date</t>
  </si>
  <si>
    <t>EBIT/TV</t>
  </si>
  <si>
    <t>As of 06/30/2025</t>
  </si>
  <si>
    <t>Multiple expansion</t>
  </si>
  <si>
    <t>Expected inflation</t>
  </si>
  <si>
    <t>Net expected return</t>
  </si>
  <si>
    <t>NOI yield</t>
  </si>
  <si>
    <t>CapEx</t>
  </si>
  <si>
    <t>Cashflow yield</t>
  </si>
  <si>
    <t>Real growth</t>
  </si>
  <si>
    <t>Unlevered real ER</t>
  </si>
  <si>
    <t>Unlevered nominal ER</t>
  </si>
  <si>
    <t>Leverage</t>
  </si>
  <si>
    <t>Leverage multiplier</t>
  </si>
  <si>
    <t>Expected PC real return (arithmetic average)</t>
  </si>
  <si>
    <t>Expected PC real return (geometric average)</t>
  </si>
  <si>
    <t>Year</t>
  </si>
  <si>
    <t>Return</t>
  </si>
  <si>
    <t>Geometric</t>
  </si>
  <si>
    <t>Arithmetic</t>
  </si>
  <si>
    <t>A - V/2 ~ G</t>
  </si>
  <si>
    <t>Variance/2</t>
  </si>
  <si>
    <t>Geometric VS arithmetic</t>
  </si>
  <si>
    <t>Rfr</t>
  </si>
  <si>
    <t>HY spread</t>
  </si>
  <si>
    <t>Total yield</t>
  </si>
  <si>
    <t>Equity</t>
  </si>
  <si>
    <t>Total investment</t>
  </si>
  <si>
    <t>Total return</t>
  </si>
  <si>
    <t>Pay cash</t>
  </si>
  <si>
    <t>Return to equity</t>
  </si>
  <si>
    <t>Return %</t>
  </si>
  <si>
    <t>Excess return * leverage multiplier</t>
  </si>
  <si>
    <t>HY credit expected real return</t>
  </si>
  <si>
    <t>HY credit excess real return</t>
  </si>
  <si>
    <t>Cash real return</t>
  </si>
  <si>
    <t>Expected PC nominal return (geometric average)</t>
  </si>
  <si>
    <t>from my CMA framework fixed income part, HY intermediate bonds expected return (arithmetic) - expected inflation 2.28%)</t>
  </si>
  <si>
    <t>UST, 3M</t>
  </si>
  <si>
    <t>UST, 10Y</t>
  </si>
  <si>
    <t>Next 10Y Avg. Forecast Short Rate</t>
  </si>
  <si>
    <t>Expected real cash return</t>
  </si>
  <si>
    <t>Variance of levered HY credit return (L^2*Var(HY))</t>
  </si>
  <si>
    <t>&lt;--- HY (intermediate) standard deviation over 1987-2025, based on annual returns</t>
  </si>
  <si>
    <t>Taken from Block et al. 2023</t>
  </si>
  <si>
    <t>add D/E</t>
  </si>
  <si>
    <t>Taken from AQR which itself uses Consensus Economics forecast estimate</t>
  </si>
  <si>
    <t>Debt to Equity</t>
  </si>
  <si>
    <t>D/E</t>
  </si>
  <si>
    <t>m</t>
  </si>
  <si>
    <t>f</t>
  </si>
  <si>
    <t>i</t>
  </si>
  <si>
    <r>
      <t>y</t>
    </r>
    <r>
      <rPr>
        <vertAlign val="subscript"/>
        <sz val="9"/>
        <color theme="1"/>
        <rFont val="Times New Roman"/>
        <family val="1"/>
      </rPr>
      <t>u</t>
    </r>
  </si>
  <si>
    <r>
      <t>g</t>
    </r>
    <r>
      <rPr>
        <vertAlign val="subscript"/>
        <sz val="9"/>
        <color theme="1"/>
        <rFont val="Times New Roman"/>
        <family val="1"/>
      </rPr>
      <t>u</t>
    </r>
  </si>
  <si>
    <r>
      <t>r</t>
    </r>
    <r>
      <rPr>
        <vertAlign val="subscript"/>
        <sz val="9"/>
        <color theme="1"/>
        <rFont val="Times New Roman"/>
        <family val="1"/>
      </rPr>
      <t>u</t>
    </r>
    <r>
      <rPr>
        <sz val="9"/>
        <color theme="1"/>
        <rFont val="Times New Roman"/>
        <family val="1"/>
      </rPr>
      <t xml:space="preserve"> = y</t>
    </r>
    <r>
      <rPr>
        <vertAlign val="subscript"/>
        <sz val="9"/>
        <color theme="1"/>
        <rFont val="Times New Roman"/>
        <family val="1"/>
      </rPr>
      <t>u</t>
    </r>
    <r>
      <rPr>
        <sz val="9"/>
        <color theme="1"/>
        <rFont val="Times New Roman"/>
        <family val="1"/>
      </rPr>
      <t xml:space="preserve"> + g</t>
    </r>
    <r>
      <rPr>
        <vertAlign val="subscript"/>
        <sz val="9"/>
        <color theme="1"/>
        <rFont val="Times New Roman"/>
        <family val="1"/>
      </rPr>
      <t>u</t>
    </r>
  </si>
  <si>
    <r>
      <t>k</t>
    </r>
    <r>
      <rPr>
        <vertAlign val="subscript"/>
        <sz val="9"/>
        <color theme="1"/>
        <rFont val="Times New Roman"/>
        <family val="1"/>
      </rPr>
      <t>d</t>
    </r>
  </si>
  <si>
    <r>
      <t>r</t>
    </r>
    <r>
      <rPr>
        <vertAlign val="subscript"/>
        <sz val="9"/>
        <color theme="1"/>
        <rFont val="Times New Roman"/>
        <family val="1"/>
      </rPr>
      <t>l</t>
    </r>
    <r>
      <rPr>
        <sz val="9"/>
        <color theme="1"/>
        <rFont val="Times New Roman"/>
        <family val="1"/>
      </rPr>
      <t xml:space="preserve"> = r</t>
    </r>
    <r>
      <rPr>
        <vertAlign val="subscript"/>
        <sz val="9"/>
        <color theme="1"/>
        <rFont val="Times New Roman"/>
        <family val="1"/>
      </rPr>
      <t>u</t>
    </r>
    <r>
      <rPr>
        <sz val="9"/>
        <color theme="1"/>
        <rFont val="Times New Roman"/>
        <family val="1"/>
      </rPr>
      <t xml:space="preserve"> + (D/E)*(r</t>
    </r>
    <r>
      <rPr>
        <vertAlign val="subscript"/>
        <sz val="9"/>
        <color theme="1"/>
        <rFont val="Times New Roman"/>
        <family val="1"/>
      </rPr>
      <t>u</t>
    </r>
    <r>
      <rPr>
        <sz val="9"/>
        <color theme="1"/>
        <rFont val="Times New Roman"/>
        <family val="1"/>
      </rPr>
      <t xml:space="preserve"> - k</t>
    </r>
    <r>
      <rPr>
        <vertAlign val="subscript"/>
        <sz val="9"/>
        <color theme="1"/>
        <rFont val="Times New Roman"/>
        <family val="1"/>
      </rPr>
      <t>d</t>
    </r>
    <r>
      <rPr>
        <sz val="9"/>
        <color theme="1"/>
        <rFont val="Times New Roman"/>
        <family val="1"/>
      </rPr>
      <t>)</t>
    </r>
  </si>
  <si>
    <r>
      <t>r</t>
    </r>
    <r>
      <rPr>
        <vertAlign val="subscript"/>
        <sz val="9"/>
        <color theme="1"/>
        <rFont val="Times New Roman"/>
        <family val="1"/>
      </rPr>
      <t>g</t>
    </r>
    <r>
      <rPr>
        <sz val="9"/>
        <color theme="1"/>
        <rFont val="Times New Roman"/>
        <family val="1"/>
      </rPr>
      <t xml:space="preserve"> = r</t>
    </r>
    <r>
      <rPr>
        <vertAlign val="subscript"/>
        <sz val="9"/>
        <color theme="1"/>
        <rFont val="Times New Roman"/>
        <family val="1"/>
      </rPr>
      <t>l</t>
    </r>
    <r>
      <rPr>
        <sz val="9"/>
        <color theme="1"/>
        <rFont val="Times New Roman"/>
        <family val="1"/>
      </rPr>
      <t xml:space="preserve"> + m</t>
    </r>
  </si>
  <si>
    <r>
      <t>r</t>
    </r>
    <r>
      <rPr>
        <vertAlign val="subscript"/>
        <sz val="9"/>
        <color theme="1"/>
        <rFont val="Times New Roman"/>
        <family val="1"/>
      </rPr>
      <t>r</t>
    </r>
    <r>
      <rPr>
        <sz val="9"/>
        <color theme="1"/>
        <rFont val="Times New Roman"/>
        <family val="1"/>
      </rPr>
      <t xml:space="preserve"> = r</t>
    </r>
    <r>
      <rPr>
        <vertAlign val="subscript"/>
        <sz val="9"/>
        <color theme="1"/>
        <rFont val="Times New Roman"/>
        <family val="1"/>
      </rPr>
      <t>g</t>
    </r>
    <r>
      <rPr>
        <sz val="9"/>
        <color theme="1"/>
        <rFont val="Times New Roman"/>
        <family val="1"/>
      </rPr>
      <t xml:space="preserve"> - f</t>
    </r>
  </si>
  <si>
    <r>
      <t>r = r</t>
    </r>
    <r>
      <rPr>
        <vertAlign val="subscript"/>
        <sz val="9"/>
        <color theme="1"/>
        <rFont val="Times New Roman"/>
        <family val="1"/>
      </rPr>
      <t>r</t>
    </r>
    <r>
      <rPr>
        <sz val="9"/>
        <color theme="1"/>
        <rFont val="Times New Roman"/>
        <family val="1"/>
      </rPr>
      <t xml:space="preserve"> + i</t>
    </r>
  </si>
  <si>
    <t>Real unlevered return</t>
  </si>
  <si>
    <t>Real levered return</t>
  </si>
  <si>
    <t>Real Unlevered Return</t>
  </si>
  <si>
    <t>Real Growth Rate</t>
  </si>
  <si>
    <t>Income Yield</t>
  </si>
  <si>
    <t>Real Cost of Debt</t>
  </si>
  <si>
    <t>Real levered Return</t>
  </si>
  <si>
    <t>Multiple Expansion</t>
  </si>
  <si>
    <t>Gross Real Expected Return</t>
  </si>
  <si>
    <t>Expected Inflation</t>
  </si>
  <si>
    <t>Net Expected Return</t>
  </si>
  <si>
    <t>Net Expected Real Return</t>
  </si>
  <si>
    <t>CapEx (~NOI/3)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</si>
</sst>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0.0"/>
    <numFmt numFmtId="165" formatCode="0.0%"/>
  </numFmts>
  <fonts count="9"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b/>
      <sz val="12"/>
      <color theme="1"/>
      <name val="Calibri"/>
      <family val="2"/>
      <scheme val="minor"/>
    </font>
    <font>
      <sz val="9"/>
      <color theme="1"/>
      <name val="Times New Roman"/>
      <family val="1"/>
    </font>
    <font>
      <vertAlign val="subscript"/>
      <sz val="9"/>
      <color theme="1"/>
      <name val="Times New Roman"/>
      <family val="1"/>
    </font>
    <font>
      <b/>
      <sz val="9"/>
      <color theme="1"/>
      <name val="Times New Roman"/>
      <family val="1"/>
    </font>
    <font>
      <b/>
      <sz val="9"/>
      <color rgb="FF27776F"/>
      <name val="Times New Roman"/>
      <family val="1"/>
    </font>
  </fonts>
  <fills count="5">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rgb="FFD9F3F1"/>
        <bgColor indexed="64"/>
      </patternFill>
    </fill>
  </fills>
  <borders count="13">
    <border>
      <left/>
      <right/>
      <top/>
      <bottom/>
      <diagonal/>
    </border>
    <border>
      <left/>
      <right/>
      <top style="medium">
        <color rgb="FF27776F"/>
      </top>
      <bottom style="medium">
        <color rgb="FF27776F"/>
      </bottom>
      <diagonal/>
    </border>
    <border>
      <left style="medium">
        <color rgb="FF27776F"/>
      </left>
      <right style="medium">
        <color rgb="FF27776F"/>
      </right>
      <top style="medium">
        <color rgb="FF27776F"/>
      </top>
      <bottom style="medium">
        <color rgb="FF27776F"/>
      </bottom>
      <diagonal/>
    </border>
    <border>
      <left style="medium">
        <color rgb="FF27776F"/>
      </left>
      <right/>
      <top style="medium">
        <color rgb="FF27776F"/>
      </top>
      <bottom/>
      <diagonal/>
    </border>
    <border>
      <left/>
      <right/>
      <top style="medium">
        <color rgb="FF27776F"/>
      </top>
      <bottom/>
      <diagonal/>
    </border>
    <border>
      <left/>
      <right style="medium">
        <color rgb="FF27776F"/>
      </right>
      <top style="medium">
        <color rgb="FF27776F"/>
      </top>
      <bottom/>
      <diagonal/>
    </border>
    <border>
      <left style="medium">
        <color rgb="FF27776F"/>
      </left>
      <right/>
      <top style="medium">
        <color rgb="FF27776F"/>
      </top>
      <bottom style="medium">
        <color rgb="FF27776F"/>
      </bottom>
      <diagonal/>
    </border>
    <border>
      <left/>
      <right style="medium">
        <color rgb="FF27776F"/>
      </right>
      <top style="medium">
        <color rgb="FF27776F"/>
      </top>
      <bottom style="medium">
        <color rgb="FF27776F"/>
      </bottom>
      <diagonal/>
    </border>
    <border>
      <left style="medium">
        <color rgb="FF27776F"/>
      </left>
      <right/>
      <top/>
      <bottom style="medium">
        <color rgb="FF27776F"/>
      </bottom>
      <diagonal/>
    </border>
    <border>
      <left/>
      <right/>
      <top/>
      <bottom style="medium">
        <color rgb="FF27776F"/>
      </bottom>
      <diagonal/>
    </border>
    <border>
      <left/>
      <right style="medium">
        <color rgb="FF27776F"/>
      </right>
      <top/>
      <bottom style="medium">
        <color rgb="FF27776F"/>
      </bottom>
      <diagonal/>
    </border>
    <border>
      <left style="medium">
        <color rgb="FF27776F"/>
      </left>
      <right style="medium">
        <color rgb="FF27776F"/>
      </right>
      <top style="medium">
        <color rgb="FF27776F"/>
      </top>
      <bottom/>
      <diagonal/>
    </border>
    <border>
      <left style="medium">
        <color rgb="FF27776F"/>
      </left>
      <right style="medium">
        <color rgb="FF27776F"/>
      </right>
      <top/>
      <bottom style="medium">
        <color rgb="FF27776F"/>
      </bottom>
      <diagonal/>
    </border>
  </borders>
  <cellStyleXfs count="3">
    <xf numFmtId="0" fontId="0" fillId="0" borderId="0"/>
    <xf numFmtId="9" fontId="2" fillId="0" borderId="0" applyFont="0" applyFill="0" applyBorder="0" applyAlignment="0" applyProtection="0"/>
    <xf numFmtId="0" fontId="3" fillId="0" borderId="0" applyNumberFormat="0" applyFill="0" applyBorder="0" applyAlignment="0" applyProtection="0"/>
  </cellStyleXfs>
  <cellXfs count="58">
    <xf numFmtId="0" fontId="0" fillId="0" borderId="0" xfId="0"/>
    <xf numFmtId="0" fontId="1" fillId="0" borderId="0" xfId="0" applyFont="1"/>
    <xf numFmtId="10" fontId="0" fillId="0" borderId="0" xfId="0" applyNumberFormat="1"/>
    <xf numFmtId="14" fontId="0" fillId="0" borderId="0" xfId="0" applyNumberFormat="1"/>
    <xf numFmtId="0" fontId="1" fillId="2" borderId="0" xfId="0" applyFont="1" applyFill="1"/>
    <xf numFmtId="10" fontId="1" fillId="2" borderId="0" xfId="1" applyNumberFormat="1" applyFont="1" applyFill="1"/>
    <xf numFmtId="2" fontId="0" fillId="0" borderId="0" xfId="0" applyNumberFormat="1"/>
    <xf numFmtId="164" fontId="0" fillId="0" borderId="0" xfId="0" applyNumberFormat="1"/>
    <xf numFmtId="0" fontId="1" fillId="0" borderId="0" xfId="0" applyFont="1" applyAlignment="1">
      <alignment horizontal="right"/>
    </xf>
    <xf numFmtId="0" fontId="1" fillId="0" borderId="0" xfId="0" applyFont="1" applyAlignment="1">
      <alignment horizontal="right" vertical="center"/>
    </xf>
    <xf numFmtId="4" fontId="0" fillId="0" borderId="0" xfId="0" applyNumberFormat="1"/>
    <xf numFmtId="10" fontId="1" fillId="0" borderId="0" xfId="0" applyNumberFormat="1" applyFont="1"/>
    <xf numFmtId="9" fontId="0" fillId="0" borderId="0" xfId="0" applyNumberFormat="1"/>
    <xf numFmtId="165" fontId="0" fillId="0" borderId="0" xfId="0" applyNumberFormat="1"/>
    <xf numFmtId="0" fontId="0" fillId="0" borderId="0" xfId="0" applyAlignment="1">
      <alignment horizontal="right"/>
    </xf>
    <xf numFmtId="165" fontId="0" fillId="0" borderId="0" xfId="1" applyNumberFormat="1" applyFont="1"/>
    <xf numFmtId="10" fontId="0" fillId="0" borderId="0" xfId="1" applyNumberFormat="1" applyFont="1"/>
    <xf numFmtId="165" fontId="0" fillId="0" borderId="0" xfId="0" applyNumberFormat="1" applyAlignment="1">
      <alignment horizontal="left"/>
    </xf>
    <xf numFmtId="6" fontId="0" fillId="0" borderId="0" xfId="0" applyNumberFormat="1"/>
    <xf numFmtId="8" fontId="0" fillId="0" borderId="0" xfId="0" applyNumberFormat="1"/>
    <xf numFmtId="10" fontId="1" fillId="0" borderId="0" xfId="1" applyNumberFormat="1" applyFont="1"/>
    <xf numFmtId="0" fontId="0" fillId="0" borderId="0" xfId="1" applyNumberFormat="1" applyFont="1"/>
    <xf numFmtId="14" fontId="0" fillId="0" borderId="0" xfId="0" applyNumberFormat="1" applyAlignment="1">
      <alignment horizontal="left"/>
    </xf>
    <xf numFmtId="10" fontId="0" fillId="0" borderId="0" xfId="1" applyNumberFormat="1" applyFont="1" applyBorder="1"/>
    <xf numFmtId="0" fontId="4" fillId="0" borderId="0" xfId="0" applyFont="1"/>
    <xf numFmtId="0" fontId="3" fillId="0" borderId="0" xfId="2"/>
    <xf numFmtId="0" fontId="1" fillId="3" borderId="0" xfId="0" applyFont="1" applyFill="1"/>
    <xf numFmtId="10" fontId="0" fillId="0" borderId="0" xfId="1" applyNumberFormat="1" applyFont="1" applyFill="1" applyBorder="1"/>
    <xf numFmtId="0" fontId="0" fillId="0" borderId="0" xfId="0" applyAlignment="1">
      <alignment horizontal="center"/>
    </xf>
    <xf numFmtId="0" fontId="0" fillId="0" borderId="0" xfId="0" applyAlignment="1">
      <alignment vertical="center"/>
    </xf>
    <xf numFmtId="0" fontId="5" fillId="0" borderId="3" xfId="0" applyFont="1" applyBorder="1" applyAlignment="1">
      <alignment horizontal="center" wrapText="1"/>
    </xf>
    <xf numFmtId="0" fontId="5" fillId="0" borderId="4" xfId="0" applyFont="1" applyBorder="1" applyAlignment="1">
      <alignment horizontal="center" wrapText="1"/>
    </xf>
    <xf numFmtId="0" fontId="5" fillId="0" borderId="5" xfId="0" applyFont="1" applyBorder="1" applyAlignment="1">
      <alignment horizontal="center" wrapText="1"/>
    </xf>
    <xf numFmtId="0" fontId="5" fillId="0" borderId="11" xfId="0" applyFont="1" applyBorder="1" applyAlignment="1">
      <alignment horizontal="center" wrapText="1"/>
    </xf>
    <xf numFmtId="0" fontId="7" fillId="0" borderId="6" xfId="0" applyFont="1" applyBorder="1" applyAlignment="1">
      <alignment horizontal="center" vertical="center" wrapText="1"/>
    </xf>
    <xf numFmtId="0" fontId="7" fillId="0" borderId="1" xfId="0" applyFont="1" applyBorder="1" applyAlignment="1">
      <alignment horizontal="center" vertical="center" wrapText="1"/>
    </xf>
    <xf numFmtId="0" fontId="7" fillId="0" borderId="7" xfId="0" applyFont="1" applyBorder="1" applyAlignment="1">
      <alignment horizontal="center" vertical="center" wrapText="1"/>
    </xf>
    <xf numFmtId="0" fontId="7" fillId="0" borderId="2" xfId="0" applyFont="1" applyBorder="1" applyAlignment="1">
      <alignment horizontal="center" vertical="center" wrapText="1"/>
    </xf>
    <xf numFmtId="165" fontId="5" fillId="0" borderId="8" xfId="1" applyNumberFormat="1" applyFont="1" applyBorder="1" applyAlignment="1">
      <alignment horizontal="center" vertical="center"/>
    </xf>
    <xf numFmtId="165" fontId="5" fillId="0" borderId="9" xfId="1" applyNumberFormat="1" applyFont="1" applyBorder="1" applyAlignment="1">
      <alignment horizontal="center" vertical="center"/>
    </xf>
    <xf numFmtId="165" fontId="5" fillId="0" borderId="10" xfId="1" applyNumberFormat="1" applyFont="1" applyBorder="1" applyAlignment="1">
      <alignment horizontal="center" vertical="center"/>
    </xf>
    <xf numFmtId="165" fontId="5" fillId="0" borderId="12" xfId="1" applyNumberFormat="1" applyFont="1" applyBorder="1" applyAlignment="1">
      <alignment horizontal="center" vertical="center"/>
    </xf>
    <xf numFmtId="0" fontId="5" fillId="4" borderId="11" xfId="0" applyFont="1" applyFill="1" applyBorder="1" applyAlignment="1">
      <alignment horizontal="center"/>
    </xf>
    <xf numFmtId="0" fontId="7" fillId="4" borderId="2" xfId="0" applyFont="1" applyFill="1" applyBorder="1" applyAlignment="1">
      <alignment horizontal="center" vertical="center" wrapText="1"/>
    </xf>
    <xf numFmtId="165" fontId="8" fillId="4" borderId="12" xfId="1" applyNumberFormat="1" applyFont="1" applyFill="1" applyBorder="1" applyAlignment="1">
      <alignment horizontal="center" vertical="center"/>
    </xf>
    <xf numFmtId="0" fontId="5" fillId="0" borderId="4" xfId="0" applyFont="1" applyBorder="1" applyAlignment="1">
      <alignment horizontal="center"/>
    </xf>
    <xf numFmtId="165" fontId="1" fillId="0" borderId="0" xfId="0" applyNumberFormat="1" applyFont="1"/>
    <xf numFmtId="0" fontId="0" fillId="0" borderId="0" xfId="0" applyAlignment="1">
      <alignment horizontal="left" vertical="center" wrapText="1"/>
    </xf>
    <xf numFmtId="0" fontId="5" fillId="0" borderId="0" xfId="0" applyFont="1" applyAlignment="1">
      <alignment horizontal="center"/>
    </xf>
    <xf numFmtId="0" fontId="7" fillId="0" borderId="0" xfId="0" applyFont="1" applyAlignment="1">
      <alignment horizontal="center" vertical="center" wrapText="1"/>
    </xf>
    <xf numFmtId="165" fontId="5" fillId="0" borderId="0" xfId="1" applyNumberFormat="1" applyFont="1" applyFill="1" applyBorder="1" applyAlignment="1">
      <alignment horizontal="center" vertical="center"/>
    </xf>
    <xf numFmtId="165" fontId="8" fillId="0" borderId="0" xfId="1" applyNumberFormat="1" applyFont="1" applyFill="1" applyBorder="1" applyAlignment="1">
      <alignment horizontal="center" vertical="center"/>
    </xf>
    <xf numFmtId="0" fontId="5" fillId="0" borderId="0" xfId="0" applyFont="1" applyAlignment="1">
      <alignment horizontal="center" wrapText="1"/>
    </xf>
    <xf numFmtId="165" fontId="5" fillId="0" borderId="0" xfId="1" applyNumberFormat="1" applyFont="1" applyBorder="1" applyAlignment="1">
      <alignment horizontal="center" vertical="center"/>
    </xf>
    <xf numFmtId="165" fontId="5" fillId="0" borderId="6" xfId="1" applyNumberFormat="1" applyFont="1" applyBorder="1" applyAlignment="1">
      <alignment horizontal="center" vertical="center"/>
    </xf>
    <xf numFmtId="165" fontId="5" fillId="0" borderId="1" xfId="1" applyNumberFormat="1" applyFont="1" applyBorder="1" applyAlignment="1">
      <alignment horizontal="center" vertical="center"/>
    </xf>
    <xf numFmtId="0" fontId="7" fillId="4" borderId="7" xfId="0" applyFont="1" applyFill="1" applyBorder="1" applyAlignment="1">
      <alignment horizontal="center" vertical="center" wrapText="1"/>
    </xf>
    <xf numFmtId="165" fontId="7" fillId="4" borderId="7" xfId="1" applyNumberFormat="1" applyFont="1" applyFill="1" applyBorder="1" applyAlignment="1">
      <alignment horizontal="center" vertical="center"/>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D9F3F1"/>
      <color rgb="FF27776F"/>
      <color rgb="FFC0EAE6"/>
      <color rgb="FF8EDAD3"/>
      <color rgb="FF3163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chrome-extension://efaidnbmnnnibpcajpcglclefindmkaj/https:/www.nber.org/system/files/working_papers/w30868/w3086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sheetPr>
  <dimension ref="A2:Q18"/>
  <sheetViews>
    <sheetView showGridLines="0" tabSelected="1" zoomScale="80" zoomScaleNormal="80" workbookViewId="0">
      <selection activeCell="C13" sqref="C13"/>
    </sheetView>
  </sheetViews>
  <sheetFormatPr defaultRowHeight="14.5" x14ac:dyDescent="0.35"/>
  <cols>
    <col min="2" max="2" width="23.7265625" bestFit="1" customWidth="1"/>
    <col min="3" max="3" width="15.1796875" bestFit="1" customWidth="1"/>
    <col min="4" max="4" width="10" bestFit="1" customWidth="1"/>
    <col min="5" max="5" width="11.36328125" bestFit="1" customWidth="1"/>
    <col min="6" max="6" width="6.08984375" style="29" customWidth="1"/>
    <col min="7" max="7" width="5.7265625" style="29" bestFit="1" customWidth="1"/>
    <col min="8" max="8" width="9" style="29" bestFit="1" customWidth="1"/>
    <col min="9" max="9" width="6.08984375" style="29" bestFit="1" customWidth="1"/>
    <col min="10" max="10" width="9" style="29" customWidth="1"/>
    <col min="11" max="11" width="11.08984375" style="29" customWidth="1"/>
    <col min="12" max="12" width="7.90625" style="29" bestFit="1" customWidth="1"/>
    <col min="13" max="13" width="8" style="29" bestFit="1" customWidth="1"/>
    <col min="14" max="14" width="4.26953125" style="29" bestFit="1" customWidth="1"/>
    <col min="15" max="15" width="9.81640625" style="29" bestFit="1" customWidth="1"/>
    <col min="16" max="16" width="7.1796875" style="29" bestFit="1" customWidth="1"/>
    <col min="17" max="17" width="9.81640625" style="29" customWidth="1"/>
  </cols>
  <sheetData>
    <row r="2" spans="1:17" x14ac:dyDescent="0.35">
      <c r="B2" t="s">
        <v>0</v>
      </c>
      <c r="C2" s="13" cm="1">
        <f t="array" ref="C2">AVERAGE(IF(ISNUMBER(ma_deal_list!K2:K799),ma_deal_list!K2:K799))/2</f>
        <v>3.5948177487291892E-2</v>
      </c>
      <c r="D2" t="s">
        <v>7</v>
      </c>
    </row>
    <row r="3" spans="1:17" x14ac:dyDescent="0.35">
      <c r="B3" t="s">
        <v>1</v>
      </c>
      <c r="C3" s="13">
        <v>0.03</v>
      </c>
    </row>
    <row r="4" spans="1:17" x14ac:dyDescent="0.35">
      <c r="B4" t="s">
        <v>1718</v>
      </c>
      <c r="C4" s="13">
        <f>SUM(C2:C3)</f>
        <v>6.5948177487291898E-2</v>
      </c>
    </row>
    <row r="5" spans="1:17" x14ac:dyDescent="0.35">
      <c r="B5" s="47" t="s">
        <v>1705</v>
      </c>
      <c r="C5" s="13">
        <v>0.52</v>
      </c>
      <c r="D5" t="s">
        <v>5</v>
      </c>
    </row>
    <row r="6" spans="1:17" x14ac:dyDescent="0.35">
      <c r="B6" t="s">
        <v>1653</v>
      </c>
      <c r="C6" s="13">
        <f>cost_of_debt!B280</f>
        <v>3.13792668E-2</v>
      </c>
    </row>
    <row r="7" spans="1:17" x14ac:dyDescent="0.35">
      <c r="B7" t="s">
        <v>1719</v>
      </c>
      <c r="C7" s="13">
        <f>C4+C5*(C4-C6)</f>
        <v>8.3924011044683694E-2</v>
      </c>
    </row>
    <row r="8" spans="1:17" x14ac:dyDescent="0.35">
      <c r="B8" t="s">
        <v>1661</v>
      </c>
      <c r="C8" s="13">
        <v>0.03</v>
      </c>
      <c r="D8" t="s">
        <v>6</v>
      </c>
    </row>
    <row r="9" spans="1:17" x14ac:dyDescent="0.35">
      <c r="B9" t="s">
        <v>2</v>
      </c>
      <c r="C9" s="13">
        <f>C7+C8</f>
        <v>0.11392401104468369</v>
      </c>
    </row>
    <row r="10" spans="1:17" x14ac:dyDescent="0.35">
      <c r="B10" t="s">
        <v>3</v>
      </c>
      <c r="C10" s="13">
        <v>0.04</v>
      </c>
    </row>
    <row r="11" spans="1:17" x14ac:dyDescent="0.35">
      <c r="B11" t="s">
        <v>4</v>
      </c>
      <c r="C11" s="13">
        <f>C9-C10</f>
        <v>7.3924011044683685E-2</v>
      </c>
    </row>
    <row r="12" spans="1:17" x14ac:dyDescent="0.35">
      <c r="B12" t="s">
        <v>1662</v>
      </c>
      <c r="C12" s="13">
        <f>cost_of_debt!D224/100</f>
        <v>2.2839000000000002E-2</v>
      </c>
    </row>
    <row r="13" spans="1:17" x14ac:dyDescent="0.35">
      <c r="B13" s="1" t="s">
        <v>1663</v>
      </c>
      <c r="C13" s="46">
        <f>C11+C12</f>
        <v>9.6763011044683683E-2</v>
      </c>
    </row>
    <row r="15" spans="1:17" ht="15" thickBot="1" x14ac:dyDescent="0.4"/>
    <row r="16" spans="1:17" s="28" customFormat="1" ht="25.5" customHeight="1" thickBot="1" x14ac:dyDescent="0.4">
      <c r="A16"/>
      <c r="B16"/>
      <c r="C16"/>
      <c r="D16"/>
      <c r="E16"/>
      <c r="F16" s="30" t="s">
        <v>1710</v>
      </c>
      <c r="G16" s="31" t="s">
        <v>1711</v>
      </c>
      <c r="H16" s="32" t="s">
        <v>1712</v>
      </c>
      <c r="I16" s="30" t="s">
        <v>1706</v>
      </c>
      <c r="J16" s="32" t="s">
        <v>1713</v>
      </c>
      <c r="K16" s="33" t="s">
        <v>1714</v>
      </c>
      <c r="L16" s="45" t="s">
        <v>1707</v>
      </c>
      <c r="M16" s="45" t="s">
        <v>1715</v>
      </c>
      <c r="N16" s="45" t="s">
        <v>1708</v>
      </c>
      <c r="O16" s="45" t="s">
        <v>1716</v>
      </c>
      <c r="P16" s="45" t="s">
        <v>1709</v>
      </c>
      <c r="Q16" s="42" t="s">
        <v>1717</v>
      </c>
    </row>
    <row r="17" spans="6:17" ht="40" customHeight="1" thickBot="1" x14ac:dyDescent="0.4">
      <c r="F17" s="34" t="s">
        <v>1722</v>
      </c>
      <c r="G17" s="35" t="s">
        <v>1721</v>
      </c>
      <c r="H17" s="36" t="s">
        <v>1720</v>
      </c>
      <c r="I17" s="34" t="s">
        <v>1705</v>
      </c>
      <c r="J17" s="36" t="s">
        <v>1723</v>
      </c>
      <c r="K17" s="37" t="s">
        <v>1724</v>
      </c>
      <c r="L17" s="35" t="s">
        <v>1725</v>
      </c>
      <c r="M17" s="35" t="s">
        <v>1726</v>
      </c>
      <c r="N17" s="35" t="s">
        <v>3</v>
      </c>
      <c r="O17" s="35" t="s">
        <v>1729</v>
      </c>
      <c r="P17" s="35" t="s">
        <v>1727</v>
      </c>
      <c r="Q17" s="43" t="s">
        <v>1728</v>
      </c>
    </row>
    <row r="18" spans="6:17" ht="15" thickBot="1" x14ac:dyDescent="0.4">
      <c r="F18" s="38">
        <f>VLOOKUP(F17,$B$2:$C$13,2,0)</f>
        <v>3.5948177487291892E-2</v>
      </c>
      <c r="G18" s="39">
        <f t="shared" ref="G18:Q18" si="0">VLOOKUP(G17,$B$2:$C$13,2,0)</f>
        <v>0.03</v>
      </c>
      <c r="H18" s="40">
        <f t="shared" si="0"/>
        <v>6.5948177487291898E-2</v>
      </c>
      <c r="I18" s="38">
        <f t="shared" si="0"/>
        <v>0.52</v>
      </c>
      <c r="J18" s="40">
        <f t="shared" si="0"/>
        <v>3.13792668E-2</v>
      </c>
      <c r="K18" s="41">
        <f t="shared" si="0"/>
        <v>8.3924011044683694E-2</v>
      </c>
      <c r="L18" s="39">
        <f>VLOOKUP(L17,$B$2:$C$13,2,0)</f>
        <v>0.03</v>
      </c>
      <c r="M18" s="39">
        <f t="shared" si="0"/>
        <v>0.11392401104468369</v>
      </c>
      <c r="N18" s="39">
        <f t="shared" si="0"/>
        <v>0.04</v>
      </c>
      <c r="O18" s="39">
        <f t="shared" si="0"/>
        <v>7.3924011044683685E-2</v>
      </c>
      <c r="P18" s="39">
        <f t="shared" si="0"/>
        <v>2.2839000000000002E-2</v>
      </c>
      <c r="Q18" s="44">
        <f t="shared" si="0"/>
        <v>9.6763011044683683E-2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86C62-834F-4774-955E-1860D189CFFB}">
  <sheetPr>
    <tabColor theme="4" tint="0.79998168889431442"/>
  </sheetPr>
  <dimension ref="A1:L799"/>
  <sheetViews>
    <sheetView zoomScale="80" zoomScaleNormal="80" workbookViewId="0">
      <pane xSplit="3" ySplit="1" topLeftCell="F2" activePane="bottomRight" state="frozen"/>
      <selection activeCell="E273" sqref="E273"/>
      <selection pane="topRight" activeCell="E273" sqref="E273"/>
      <selection pane="bottomLeft" activeCell="E273" sqref="E273"/>
      <selection pane="bottomRight" activeCell="G17" sqref="G17"/>
    </sheetView>
  </sheetViews>
  <sheetFormatPr defaultRowHeight="14.5" x14ac:dyDescent="0.35"/>
  <cols>
    <col min="1" max="1" width="12.26953125" customWidth="1"/>
    <col min="2" max="2" width="14.453125" bestFit="1" customWidth="1"/>
    <col min="3" max="3" width="31.7265625" customWidth="1"/>
    <col min="4" max="4" width="22" customWidth="1"/>
    <col min="5" max="5" width="20.453125" customWidth="1"/>
    <col min="6" max="6" width="30.26953125" customWidth="1"/>
    <col min="7" max="7" width="23.81640625" customWidth="1"/>
    <col min="8" max="8" width="20.26953125" customWidth="1"/>
    <col min="9" max="9" width="14.26953125" customWidth="1"/>
    <col min="10" max="10" width="13.1796875" customWidth="1"/>
    <col min="11" max="11" width="14.81640625" customWidth="1"/>
  </cols>
  <sheetData>
    <row r="1" spans="1:12" x14ac:dyDescent="0.35">
      <c r="A1" s="1" t="s">
        <v>1652</v>
      </c>
      <c r="B1" s="1" t="s">
        <v>1651</v>
      </c>
      <c r="C1" s="1" t="s">
        <v>1650</v>
      </c>
      <c r="D1" s="1" t="s">
        <v>1649</v>
      </c>
      <c r="E1" s="1" t="s">
        <v>1648</v>
      </c>
      <c r="F1" s="1" t="s">
        <v>1647</v>
      </c>
      <c r="G1" s="1" t="s">
        <v>1646</v>
      </c>
      <c r="H1" s="1" t="s">
        <v>1644</v>
      </c>
      <c r="I1" s="8" t="s">
        <v>1645</v>
      </c>
      <c r="J1" s="8" t="s">
        <v>1643</v>
      </c>
      <c r="K1" s="8" t="s">
        <v>1659</v>
      </c>
      <c r="L1" s="26" t="s">
        <v>1703</v>
      </c>
    </row>
    <row r="2" spans="1:12" x14ac:dyDescent="0.35">
      <c r="A2" t="s">
        <v>15</v>
      </c>
      <c r="B2" s="3">
        <v>45723</v>
      </c>
      <c r="C2" t="s">
        <v>74</v>
      </c>
      <c r="D2" t="s">
        <v>75</v>
      </c>
      <c r="F2">
        <v>39411.56</v>
      </c>
      <c r="G2" t="s">
        <v>10</v>
      </c>
      <c r="H2" t="s">
        <v>22</v>
      </c>
      <c r="I2" s="10" t="s">
        <v>8</v>
      </c>
      <c r="J2">
        <v>16.86</v>
      </c>
      <c r="K2" s="10">
        <f>1/J2</f>
        <v>5.9311981020166077E-2</v>
      </c>
    </row>
    <row r="3" spans="1:12" x14ac:dyDescent="0.35">
      <c r="A3" t="s">
        <v>15</v>
      </c>
      <c r="B3" s="3">
        <v>45845</v>
      </c>
      <c r="C3" t="s">
        <v>1642</v>
      </c>
      <c r="D3" t="s">
        <v>12</v>
      </c>
      <c r="F3">
        <v>36360.730000000003</v>
      </c>
      <c r="G3" t="s">
        <v>25</v>
      </c>
      <c r="H3" t="s">
        <v>33</v>
      </c>
      <c r="I3" s="10">
        <v>6.19</v>
      </c>
      <c r="J3">
        <v>15.67</v>
      </c>
      <c r="K3" s="10">
        <f t="shared" ref="K3:K66" si="0">1/J3</f>
        <v>6.3816209317166556E-2</v>
      </c>
    </row>
    <row r="4" spans="1:12" x14ac:dyDescent="0.35">
      <c r="A4" t="s">
        <v>15</v>
      </c>
      <c r="B4" s="3">
        <v>45804</v>
      </c>
      <c r="C4" t="s">
        <v>1641</v>
      </c>
      <c r="D4" t="s">
        <v>1640</v>
      </c>
      <c r="F4">
        <v>16910</v>
      </c>
      <c r="G4" t="s">
        <v>10</v>
      </c>
      <c r="H4" t="s">
        <v>33</v>
      </c>
      <c r="I4" s="10">
        <v>13.72</v>
      </c>
      <c r="J4">
        <v>19.16</v>
      </c>
      <c r="K4" s="10">
        <f t="shared" si="0"/>
        <v>5.2192066805845511E-2</v>
      </c>
    </row>
    <row r="5" spans="1:12" x14ac:dyDescent="0.35">
      <c r="A5" t="s">
        <v>15</v>
      </c>
      <c r="B5" s="3">
        <v>45796</v>
      </c>
      <c r="C5" t="s">
        <v>808</v>
      </c>
      <c r="D5" t="s">
        <v>12</v>
      </c>
      <c r="F5">
        <v>11811.08</v>
      </c>
      <c r="G5" t="s">
        <v>10</v>
      </c>
      <c r="H5" t="s">
        <v>9</v>
      </c>
      <c r="I5" s="10">
        <v>13.16</v>
      </c>
      <c r="J5">
        <v>26.05</v>
      </c>
      <c r="K5" s="10">
        <f t="shared" si="0"/>
        <v>3.8387715930902108E-2</v>
      </c>
    </row>
    <row r="6" spans="1:12" x14ac:dyDescent="0.35">
      <c r="A6" t="s">
        <v>15</v>
      </c>
      <c r="B6" s="3">
        <v>45890</v>
      </c>
      <c r="C6" t="s">
        <v>1639</v>
      </c>
      <c r="D6" t="s">
        <v>285</v>
      </c>
      <c r="F6">
        <v>11237.21</v>
      </c>
      <c r="G6" t="s">
        <v>10</v>
      </c>
      <c r="H6" t="s">
        <v>9</v>
      </c>
      <c r="I6" s="10">
        <v>35.07</v>
      </c>
      <c r="J6">
        <v>107.95</v>
      </c>
      <c r="K6" s="10">
        <f t="shared" si="0"/>
        <v>9.2635479388605835E-3</v>
      </c>
    </row>
    <row r="7" spans="1:12" x14ac:dyDescent="0.35">
      <c r="A7" t="s">
        <v>15</v>
      </c>
      <c r="B7" s="3">
        <v>45782</v>
      </c>
      <c r="C7" t="s">
        <v>1638</v>
      </c>
      <c r="D7" t="s">
        <v>1637</v>
      </c>
      <c r="F7">
        <v>10479.16</v>
      </c>
      <c r="G7" t="s">
        <v>1634</v>
      </c>
      <c r="H7" t="s">
        <v>9</v>
      </c>
      <c r="I7" s="10">
        <v>6.87</v>
      </c>
      <c r="J7">
        <v>11.59</v>
      </c>
      <c r="K7" s="10">
        <f t="shared" si="0"/>
        <v>8.6281276962899056E-2</v>
      </c>
    </row>
    <row r="8" spans="1:12" x14ac:dyDescent="0.35">
      <c r="A8" t="s">
        <v>15</v>
      </c>
      <c r="B8" s="3">
        <v>45630</v>
      </c>
      <c r="C8" t="s">
        <v>1636</v>
      </c>
      <c r="D8" t="s">
        <v>1635</v>
      </c>
      <c r="F8">
        <v>9381.14</v>
      </c>
      <c r="G8" t="s">
        <v>1634</v>
      </c>
      <c r="H8" t="s">
        <v>22</v>
      </c>
      <c r="I8" s="10">
        <v>18.48</v>
      </c>
      <c r="J8">
        <v>20.010000000000002</v>
      </c>
      <c r="K8" s="10">
        <f t="shared" si="0"/>
        <v>4.9975012493753121E-2</v>
      </c>
    </row>
    <row r="9" spans="1:12" x14ac:dyDescent="0.35">
      <c r="A9" t="s">
        <v>15</v>
      </c>
      <c r="B9" s="3">
        <v>45637</v>
      </c>
      <c r="C9" t="s">
        <v>1633</v>
      </c>
      <c r="D9" t="s">
        <v>1632</v>
      </c>
      <c r="E9" t="s">
        <v>12</v>
      </c>
      <c r="F9">
        <v>8200</v>
      </c>
      <c r="G9" t="s">
        <v>10</v>
      </c>
      <c r="H9" t="s">
        <v>9</v>
      </c>
      <c r="I9" s="10" t="s">
        <v>8</v>
      </c>
      <c r="J9">
        <v>16.170000000000002</v>
      </c>
      <c r="K9" s="10">
        <f t="shared" si="0"/>
        <v>6.1842918985776124E-2</v>
      </c>
    </row>
    <row r="10" spans="1:12" x14ac:dyDescent="0.35">
      <c r="A10" t="s">
        <v>15</v>
      </c>
      <c r="B10" s="3">
        <v>45559</v>
      </c>
      <c r="C10" t="s">
        <v>1631</v>
      </c>
      <c r="D10" t="s">
        <v>241</v>
      </c>
      <c r="F10">
        <v>7298.54</v>
      </c>
      <c r="G10" t="s">
        <v>10</v>
      </c>
      <c r="H10" t="s">
        <v>22</v>
      </c>
      <c r="I10" s="10" t="s">
        <v>8</v>
      </c>
      <c r="J10">
        <v>98.53</v>
      </c>
      <c r="K10" s="10">
        <f t="shared" si="0"/>
        <v>1.0149193139145437E-2</v>
      </c>
    </row>
    <row r="11" spans="1:12" x14ac:dyDescent="0.35">
      <c r="A11" t="s">
        <v>15</v>
      </c>
      <c r="B11" s="3">
        <v>45902</v>
      </c>
      <c r="C11" t="s">
        <v>1630</v>
      </c>
      <c r="D11" t="s">
        <v>1629</v>
      </c>
      <c r="F11">
        <v>7264.73</v>
      </c>
      <c r="G11" t="s">
        <v>10</v>
      </c>
      <c r="H11" t="s">
        <v>9</v>
      </c>
      <c r="I11" s="10">
        <v>2.89</v>
      </c>
      <c r="J11">
        <v>5.3</v>
      </c>
      <c r="K11" s="10">
        <f t="shared" si="0"/>
        <v>0.18867924528301888</v>
      </c>
    </row>
    <row r="12" spans="1:12" x14ac:dyDescent="0.35">
      <c r="A12" t="s">
        <v>15</v>
      </c>
      <c r="B12" s="3">
        <v>45840</v>
      </c>
      <c r="C12" t="s">
        <v>1628</v>
      </c>
      <c r="D12" t="s">
        <v>143</v>
      </c>
      <c r="F12">
        <v>6466.7</v>
      </c>
      <c r="G12" t="s">
        <v>10</v>
      </c>
      <c r="H12" t="s">
        <v>9</v>
      </c>
      <c r="I12" s="10">
        <v>29.91</v>
      </c>
      <c r="J12">
        <v>48.61</v>
      </c>
      <c r="K12" s="10">
        <f t="shared" si="0"/>
        <v>2.0571898786257974E-2</v>
      </c>
    </row>
    <row r="13" spans="1:12" x14ac:dyDescent="0.35">
      <c r="A13" t="s">
        <v>15</v>
      </c>
      <c r="B13" s="3">
        <v>45831</v>
      </c>
      <c r="C13" t="s">
        <v>1628</v>
      </c>
      <c r="D13" t="s">
        <v>16</v>
      </c>
      <c r="F13">
        <v>6298</v>
      </c>
      <c r="G13" t="s">
        <v>10</v>
      </c>
      <c r="H13" t="s">
        <v>1615</v>
      </c>
      <c r="I13" s="10">
        <v>29.43</v>
      </c>
      <c r="J13">
        <v>47.83</v>
      </c>
      <c r="K13" s="10">
        <f t="shared" si="0"/>
        <v>2.0907380305247754E-2</v>
      </c>
    </row>
    <row r="14" spans="1:12" x14ac:dyDescent="0.35">
      <c r="A14" t="s">
        <v>15</v>
      </c>
      <c r="B14" s="3">
        <v>45875</v>
      </c>
      <c r="C14" t="s">
        <v>1627</v>
      </c>
      <c r="D14" t="s">
        <v>12</v>
      </c>
      <c r="E14" t="s">
        <v>1626</v>
      </c>
      <c r="F14">
        <v>6000</v>
      </c>
      <c r="G14" t="s">
        <v>10</v>
      </c>
      <c r="H14" t="s">
        <v>9</v>
      </c>
      <c r="I14" s="10" t="s">
        <v>8</v>
      </c>
      <c r="J14">
        <v>63.6</v>
      </c>
      <c r="K14" s="10">
        <f t="shared" si="0"/>
        <v>1.5723270440251572E-2</v>
      </c>
    </row>
    <row r="15" spans="1:12" x14ac:dyDescent="0.35">
      <c r="A15" t="s">
        <v>15</v>
      </c>
      <c r="B15" s="3">
        <v>45593</v>
      </c>
      <c r="C15" t="s">
        <v>1625</v>
      </c>
      <c r="D15" t="s">
        <v>1624</v>
      </c>
      <c r="E15" t="s">
        <v>1623</v>
      </c>
      <c r="F15">
        <v>5800</v>
      </c>
      <c r="G15" t="s">
        <v>10</v>
      </c>
      <c r="H15" t="s">
        <v>22</v>
      </c>
      <c r="I15" s="10" t="s">
        <v>8</v>
      </c>
      <c r="J15">
        <v>18.260000000000002</v>
      </c>
      <c r="K15" s="10">
        <f t="shared" si="0"/>
        <v>5.4764512595837894E-2</v>
      </c>
    </row>
    <row r="16" spans="1:12" x14ac:dyDescent="0.35">
      <c r="A16" t="s">
        <v>15</v>
      </c>
      <c r="B16" s="3">
        <v>45722</v>
      </c>
      <c r="C16" t="s">
        <v>1622</v>
      </c>
      <c r="D16" t="s">
        <v>128</v>
      </c>
      <c r="E16" t="s">
        <v>533</v>
      </c>
      <c r="F16">
        <v>5507.37</v>
      </c>
      <c r="G16" t="s">
        <v>10</v>
      </c>
      <c r="H16" t="s">
        <v>22</v>
      </c>
      <c r="I16" s="10" t="s">
        <v>8</v>
      </c>
      <c r="J16">
        <v>27.35</v>
      </c>
      <c r="K16" s="10">
        <f t="shared" si="0"/>
        <v>3.6563071297989032E-2</v>
      </c>
    </row>
    <row r="17" spans="1:11" x14ac:dyDescent="0.35">
      <c r="A17" t="s">
        <v>15</v>
      </c>
      <c r="B17" s="3">
        <v>45685</v>
      </c>
      <c r="C17" t="s">
        <v>1621</v>
      </c>
      <c r="D17" t="s">
        <v>128</v>
      </c>
      <c r="F17">
        <v>5156.99</v>
      </c>
      <c r="G17" t="s">
        <v>10</v>
      </c>
      <c r="H17" t="s">
        <v>33</v>
      </c>
      <c r="I17" s="10">
        <v>13.2</v>
      </c>
      <c r="J17">
        <v>20.94</v>
      </c>
      <c r="K17" s="10">
        <f t="shared" si="0"/>
        <v>4.775549188156638E-2</v>
      </c>
    </row>
    <row r="18" spans="1:11" x14ac:dyDescent="0.35">
      <c r="A18" t="s">
        <v>15</v>
      </c>
      <c r="B18" s="3">
        <v>45600</v>
      </c>
      <c r="C18" t="s">
        <v>1620</v>
      </c>
      <c r="D18" t="s">
        <v>1619</v>
      </c>
      <c r="E18" t="s">
        <v>1618</v>
      </c>
      <c r="F18">
        <v>5039.3</v>
      </c>
      <c r="G18" t="s">
        <v>10</v>
      </c>
      <c r="H18" t="s">
        <v>22</v>
      </c>
      <c r="I18" s="10" t="s">
        <v>8</v>
      </c>
      <c r="J18">
        <v>12.87</v>
      </c>
      <c r="K18" s="10">
        <f t="shared" si="0"/>
        <v>7.770007770007771E-2</v>
      </c>
    </row>
    <row r="19" spans="1:11" x14ac:dyDescent="0.35">
      <c r="A19" t="s">
        <v>15</v>
      </c>
      <c r="B19" s="3">
        <v>45798</v>
      </c>
      <c r="C19" t="s">
        <v>1617</v>
      </c>
      <c r="D19" t="s">
        <v>762</v>
      </c>
      <c r="E19" t="s">
        <v>1616</v>
      </c>
      <c r="F19">
        <v>5000</v>
      </c>
      <c r="G19" t="s">
        <v>1327</v>
      </c>
      <c r="H19" t="s">
        <v>22</v>
      </c>
      <c r="I19" s="10" t="s">
        <v>8</v>
      </c>
      <c r="J19">
        <v>12.89</v>
      </c>
      <c r="K19" s="10">
        <f t="shared" si="0"/>
        <v>7.7579519006982151E-2</v>
      </c>
    </row>
    <row r="20" spans="1:11" x14ac:dyDescent="0.35">
      <c r="A20" t="s">
        <v>15</v>
      </c>
      <c r="B20" s="3">
        <v>45577</v>
      </c>
      <c r="C20" t="s">
        <v>1594</v>
      </c>
      <c r="D20" t="s">
        <v>128</v>
      </c>
      <c r="F20">
        <v>4422.4399999999996</v>
      </c>
      <c r="G20" t="s">
        <v>10</v>
      </c>
      <c r="H20" t="s">
        <v>1615</v>
      </c>
      <c r="I20" s="10">
        <v>26.5</v>
      </c>
      <c r="J20">
        <v>31.86</v>
      </c>
      <c r="K20" s="10">
        <f t="shared" si="0"/>
        <v>3.1387319522912745E-2</v>
      </c>
    </row>
    <row r="21" spans="1:11" x14ac:dyDescent="0.35">
      <c r="A21" t="s">
        <v>15</v>
      </c>
      <c r="B21" s="3">
        <v>45695</v>
      </c>
      <c r="C21" t="s">
        <v>1614</v>
      </c>
      <c r="D21" t="s">
        <v>1089</v>
      </c>
      <c r="F21">
        <v>4217.8100000000004</v>
      </c>
      <c r="G21" t="s">
        <v>10</v>
      </c>
      <c r="H21" t="s">
        <v>22</v>
      </c>
      <c r="I21" s="10" t="s">
        <v>8</v>
      </c>
      <c r="J21">
        <v>41.85</v>
      </c>
      <c r="K21" s="10">
        <f t="shared" si="0"/>
        <v>2.3894862604540022E-2</v>
      </c>
    </row>
    <row r="22" spans="1:11" x14ac:dyDescent="0.35">
      <c r="A22" t="s">
        <v>15</v>
      </c>
      <c r="B22" s="3">
        <v>45740</v>
      </c>
      <c r="C22" t="s">
        <v>1613</v>
      </c>
      <c r="D22" t="s">
        <v>519</v>
      </c>
      <c r="F22">
        <v>4039.87</v>
      </c>
      <c r="G22" t="s">
        <v>10</v>
      </c>
      <c r="H22" t="s">
        <v>22</v>
      </c>
      <c r="I22" s="10">
        <v>5.16</v>
      </c>
      <c r="J22">
        <v>20.74</v>
      </c>
      <c r="K22" s="10">
        <f t="shared" si="0"/>
        <v>4.8216007714561235E-2</v>
      </c>
    </row>
    <row r="23" spans="1:11" x14ac:dyDescent="0.35">
      <c r="A23" t="s">
        <v>15</v>
      </c>
      <c r="B23" s="3">
        <v>45572</v>
      </c>
      <c r="C23" t="s">
        <v>1612</v>
      </c>
      <c r="D23" t="s">
        <v>306</v>
      </c>
      <c r="F23">
        <v>3511.94</v>
      </c>
      <c r="G23" t="s">
        <v>10</v>
      </c>
      <c r="H23" t="s">
        <v>22</v>
      </c>
      <c r="I23" s="10">
        <v>17.149999999999999</v>
      </c>
      <c r="J23">
        <v>39.46</v>
      </c>
      <c r="K23" s="10">
        <f t="shared" si="0"/>
        <v>2.5342118601115054E-2</v>
      </c>
    </row>
    <row r="24" spans="1:11" x14ac:dyDescent="0.35">
      <c r="A24" t="s">
        <v>15</v>
      </c>
      <c r="B24" s="3">
        <v>45637</v>
      </c>
      <c r="C24" t="s">
        <v>1611</v>
      </c>
      <c r="D24" t="s">
        <v>1610</v>
      </c>
      <c r="F24">
        <v>3423.33</v>
      </c>
      <c r="G24" t="s">
        <v>10</v>
      </c>
      <c r="H24" t="s">
        <v>22</v>
      </c>
      <c r="I24" s="10">
        <v>9.02</v>
      </c>
      <c r="J24">
        <v>13.54</v>
      </c>
      <c r="K24" s="10">
        <f t="shared" si="0"/>
        <v>7.3855243722304287E-2</v>
      </c>
    </row>
    <row r="25" spans="1:11" x14ac:dyDescent="0.35">
      <c r="A25" t="s">
        <v>15</v>
      </c>
      <c r="B25" s="3">
        <v>45728</v>
      </c>
      <c r="C25" t="s">
        <v>538</v>
      </c>
      <c r="D25" t="s">
        <v>206</v>
      </c>
      <c r="F25">
        <v>3390.55</v>
      </c>
      <c r="G25" t="s">
        <v>10</v>
      </c>
      <c r="H25" t="s">
        <v>142</v>
      </c>
      <c r="I25" s="10">
        <v>7.85</v>
      </c>
      <c r="J25">
        <v>15.74</v>
      </c>
      <c r="K25" s="10">
        <f t="shared" si="0"/>
        <v>6.353240152477764E-2</v>
      </c>
    </row>
    <row r="26" spans="1:11" x14ac:dyDescent="0.35">
      <c r="A26" t="s">
        <v>15</v>
      </c>
      <c r="B26" s="3">
        <v>45695</v>
      </c>
      <c r="C26" t="s">
        <v>1609</v>
      </c>
      <c r="D26" t="s">
        <v>128</v>
      </c>
      <c r="E26" t="s">
        <v>1608</v>
      </c>
      <c r="F26">
        <v>3362.43</v>
      </c>
      <c r="G26" t="s">
        <v>10</v>
      </c>
      <c r="H26" t="s">
        <v>9</v>
      </c>
      <c r="I26" s="10" t="s">
        <v>8</v>
      </c>
      <c r="J26">
        <v>11.33</v>
      </c>
      <c r="K26" s="10">
        <f t="shared" si="0"/>
        <v>8.8261253309797005E-2</v>
      </c>
    </row>
    <row r="27" spans="1:11" x14ac:dyDescent="0.35">
      <c r="A27" t="s">
        <v>15</v>
      </c>
      <c r="B27" s="3">
        <v>45875</v>
      </c>
      <c r="C27" t="s">
        <v>1607</v>
      </c>
      <c r="D27" t="s">
        <v>12</v>
      </c>
      <c r="F27">
        <v>3319.8</v>
      </c>
      <c r="G27" t="s">
        <v>10</v>
      </c>
      <c r="H27" t="s">
        <v>9</v>
      </c>
      <c r="I27" s="10">
        <v>19.420000000000002</v>
      </c>
      <c r="J27">
        <v>22.32</v>
      </c>
      <c r="K27" s="10">
        <f t="shared" si="0"/>
        <v>4.4802867383512544E-2</v>
      </c>
    </row>
    <row r="28" spans="1:11" x14ac:dyDescent="0.35">
      <c r="A28" t="s">
        <v>15</v>
      </c>
      <c r="B28" s="3">
        <v>45599</v>
      </c>
      <c r="C28" t="s">
        <v>1606</v>
      </c>
      <c r="D28" t="s">
        <v>625</v>
      </c>
      <c r="F28">
        <v>3167.19</v>
      </c>
      <c r="G28" t="s">
        <v>10</v>
      </c>
      <c r="H28" t="s">
        <v>22</v>
      </c>
      <c r="I28" s="10">
        <v>5.62</v>
      </c>
      <c r="J28">
        <v>15.85</v>
      </c>
      <c r="K28" s="10">
        <f t="shared" si="0"/>
        <v>6.3091482649842268E-2</v>
      </c>
    </row>
    <row r="29" spans="1:11" x14ac:dyDescent="0.35">
      <c r="A29" t="s">
        <v>15</v>
      </c>
      <c r="B29" s="3">
        <v>45761</v>
      </c>
      <c r="C29" t="s">
        <v>1605</v>
      </c>
      <c r="D29" t="s">
        <v>143</v>
      </c>
      <c r="E29" t="s">
        <v>1604</v>
      </c>
      <c r="F29">
        <v>3100</v>
      </c>
      <c r="G29" t="s">
        <v>10</v>
      </c>
      <c r="H29" t="s">
        <v>9</v>
      </c>
      <c r="I29" s="10" t="s">
        <v>8</v>
      </c>
      <c r="J29">
        <v>12.87</v>
      </c>
      <c r="K29" s="10">
        <f t="shared" si="0"/>
        <v>7.770007770007771E-2</v>
      </c>
    </row>
    <row r="30" spans="1:11" x14ac:dyDescent="0.35">
      <c r="A30" t="s">
        <v>15</v>
      </c>
      <c r="B30" s="3">
        <v>45783</v>
      </c>
      <c r="C30" t="s">
        <v>1603</v>
      </c>
      <c r="D30" t="s">
        <v>1602</v>
      </c>
      <c r="E30" t="s">
        <v>1601</v>
      </c>
      <c r="F30">
        <v>3000</v>
      </c>
      <c r="G30" t="s">
        <v>10</v>
      </c>
      <c r="H30" t="s">
        <v>9</v>
      </c>
      <c r="I30" s="10" t="s">
        <v>8</v>
      </c>
      <c r="J30">
        <v>13.75</v>
      </c>
      <c r="K30" s="10">
        <f t="shared" si="0"/>
        <v>7.2727272727272724E-2</v>
      </c>
    </row>
    <row r="31" spans="1:11" x14ac:dyDescent="0.35">
      <c r="A31" t="s">
        <v>15</v>
      </c>
      <c r="B31" s="3">
        <v>45691</v>
      </c>
      <c r="C31" t="s">
        <v>1600</v>
      </c>
      <c r="D31" t="s">
        <v>1599</v>
      </c>
      <c r="F31">
        <v>2871.96</v>
      </c>
      <c r="G31" t="s">
        <v>10</v>
      </c>
      <c r="H31" t="s">
        <v>22</v>
      </c>
      <c r="I31" s="10">
        <v>22.82</v>
      </c>
      <c r="J31">
        <v>33.22</v>
      </c>
      <c r="K31" s="10">
        <f t="shared" si="0"/>
        <v>3.0102347983142687E-2</v>
      </c>
    </row>
    <row r="32" spans="1:11" x14ac:dyDescent="0.35">
      <c r="A32" t="s">
        <v>15</v>
      </c>
      <c r="B32" s="3">
        <v>45726</v>
      </c>
      <c r="C32" t="s">
        <v>1598</v>
      </c>
      <c r="D32" t="s">
        <v>1597</v>
      </c>
      <c r="E32" t="s">
        <v>1596</v>
      </c>
      <c r="F32">
        <v>2850</v>
      </c>
      <c r="G32" t="s">
        <v>10</v>
      </c>
      <c r="H32" t="s">
        <v>9</v>
      </c>
      <c r="I32" s="10" t="s">
        <v>8</v>
      </c>
      <c r="J32">
        <v>63.6</v>
      </c>
      <c r="K32" s="10">
        <f t="shared" si="0"/>
        <v>1.5723270440251572E-2</v>
      </c>
    </row>
    <row r="33" spans="1:11" x14ac:dyDescent="0.35">
      <c r="A33" t="s">
        <v>15</v>
      </c>
      <c r="B33" s="3">
        <v>45744</v>
      </c>
      <c r="C33" t="s">
        <v>1455</v>
      </c>
      <c r="D33" t="s">
        <v>143</v>
      </c>
      <c r="F33">
        <v>2844.65</v>
      </c>
      <c r="G33" t="s">
        <v>10</v>
      </c>
      <c r="H33" t="s">
        <v>9</v>
      </c>
      <c r="I33" s="10">
        <v>16.739999999999998</v>
      </c>
      <c r="J33">
        <v>38.08</v>
      </c>
      <c r="K33" s="10">
        <f t="shared" si="0"/>
        <v>2.6260504201680673E-2</v>
      </c>
    </row>
    <row r="34" spans="1:11" x14ac:dyDescent="0.35">
      <c r="A34" t="s">
        <v>15</v>
      </c>
      <c r="B34" s="3">
        <v>45756</v>
      </c>
      <c r="C34" t="s">
        <v>1595</v>
      </c>
      <c r="D34" t="s">
        <v>143</v>
      </c>
      <c r="E34" t="s">
        <v>271</v>
      </c>
      <c r="F34">
        <v>2755</v>
      </c>
      <c r="G34" t="s">
        <v>10</v>
      </c>
      <c r="H34" t="s">
        <v>9</v>
      </c>
      <c r="I34" s="10">
        <v>36.17</v>
      </c>
      <c r="J34">
        <v>11.33</v>
      </c>
      <c r="K34" s="10">
        <f t="shared" si="0"/>
        <v>8.8261253309797005E-2</v>
      </c>
    </row>
    <row r="35" spans="1:11" x14ac:dyDescent="0.35">
      <c r="A35" t="s">
        <v>15</v>
      </c>
      <c r="B35" s="3">
        <v>45611</v>
      </c>
      <c r="C35" t="s">
        <v>1594</v>
      </c>
      <c r="D35" t="s">
        <v>143</v>
      </c>
      <c r="F35">
        <v>2736.03</v>
      </c>
      <c r="G35" t="s">
        <v>10</v>
      </c>
      <c r="H35" t="s">
        <v>22</v>
      </c>
      <c r="I35" s="10">
        <v>25.74</v>
      </c>
      <c r="J35">
        <v>30.95</v>
      </c>
      <c r="K35" s="10">
        <f t="shared" si="0"/>
        <v>3.2310177705977383E-2</v>
      </c>
    </row>
    <row r="36" spans="1:11" x14ac:dyDescent="0.35">
      <c r="A36" t="s">
        <v>15</v>
      </c>
      <c r="B36" s="3">
        <v>45903</v>
      </c>
      <c r="C36" t="s">
        <v>1593</v>
      </c>
      <c r="D36" t="s">
        <v>1592</v>
      </c>
      <c r="E36" t="s">
        <v>1591</v>
      </c>
      <c r="F36">
        <v>2700</v>
      </c>
      <c r="G36" t="s">
        <v>10</v>
      </c>
      <c r="H36" t="s">
        <v>9</v>
      </c>
      <c r="I36" s="10" t="s">
        <v>8</v>
      </c>
      <c r="J36" t="s">
        <v>8</v>
      </c>
      <c r="K36" s="10" t="e">
        <f t="shared" si="0"/>
        <v>#VALUE!</v>
      </c>
    </row>
    <row r="37" spans="1:11" x14ac:dyDescent="0.35">
      <c r="A37" t="s">
        <v>15</v>
      </c>
      <c r="B37" s="3">
        <v>45628</v>
      </c>
      <c r="C37" t="s">
        <v>1590</v>
      </c>
      <c r="D37" t="s">
        <v>1589</v>
      </c>
      <c r="F37">
        <v>2611.7199999999998</v>
      </c>
      <c r="G37" t="s">
        <v>10</v>
      </c>
      <c r="H37" t="s">
        <v>33</v>
      </c>
      <c r="I37" s="10">
        <v>10.02</v>
      </c>
      <c r="J37">
        <v>22.01</v>
      </c>
      <c r="K37" s="10">
        <f t="shared" si="0"/>
        <v>4.5433893684688774E-2</v>
      </c>
    </row>
    <row r="38" spans="1:11" x14ac:dyDescent="0.35">
      <c r="A38" t="s">
        <v>15</v>
      </c>
      <c r="B38" s="3">
        <v>45670</v>
      </c>
      <c r="C38" t="s">
        <v>1588</v>
      </c>
      <c r="D38" t="s">
        <v>1587</v>
      </c>
      <c r="E38" t="s">
        <v>1586</v>
      </c>
      <c r="F38">
        <v>2500</v>
      </c>
      <c r="G38" t="s">
        <v>10</v>
      </c>
      <c r="H38" t="s">
        <v>9</v>
      </c>
      <c r="I38" s="10" t="s">
        <v>8</v>
      </c>
      <c r="J38">
        <v>23.39</v>
      </c>
      <c r="K38" s="10">
        <f t="shared" si="0"/>
        <v>4.2753313381787089E-2</v>
      </c>
    </row>
    <row r="39" spans="1:11" x14ac:dyDescent="0.35">
      <c r="A39" t="s">
        <v>15</v>
      </c>
      <c r="B39" s="3">
        <v>45882</v>
      </c>
      <c r="C39" t="s">
        <v>1585</v>
      </c>
      <c r="D39" t="s">
        <v>16</v>
      </c>
      <c r="F39">
        <v>2283.8200000000002</v>
      </c>
      <c r="G39" t="s">
        <v>10</v>
      </c>
      <c r="H39" t="s">
        <v>9</v>
      </c>
      <c r="I39" s="10">
        <v>20.73</v>
      </c>
      <c r="J39">
        <v>26.6</v>
      </c>
      <c r="K39" s="10">
        <f t="shared" si="0"/>
        <v>3.7593984962406013E-2</v>
      </c>
    </row>
    <row r="40" spans="1:11" x14ac:dyDescent="0.35">
      <c r="A40" t="s">
        <v>15</v>
      </c>
      <c r="B40" s="3">
        <v>45602</v>
      </c>
      <c r="C40" t="s">
        <v>1584</v>
      </c>
      <c r="D40" t="s">
        <v>12</v>
      </c>
      <c r="F40">
        <v>2251.36</v>
      </c>
      <c r="G40" t="s">
        <v>10</v>
      </c>
      <c r="H40" t="s">
        <v>22</v>
      </c>
      <c r="I40" s="10">
        <v>10.44</v>
      </c>
      <c r="J40">
        <v>20.5</v>
      </c>
      <c r="K40" s="10">
        <f t="shared" si="0"/>
        <v>4.878048780487805E-2</v>
      </c>
    </row>
    <row r="41" spans="1:11" x14ac:dyDescent="0.35">
      <c r="A41" t="s">
        <v>15</v>
      </c>
      <c r="B41" s="3">
        <v>45720</v>
      </c>
      <c r="C41" t="s">
        <v>1583</v>
      </c>
      <c r="D41" t="s">
        <v>1582</v>
      </c>
      <c r="E41" t="s">
        <v>206</v>
      </c>
      <c r="F41">
        <v>2160</v>
      </c>
      <c r="G41" t="s">
        <v>10</v>
      </c>
      <c r="H41" t="s">
        <v>22</v>
      </c>
      <c r="I41" s="10" t="s">
        <v>8</v>
      </c>
      <c r="J41">
        <v>8.68</v>
      </c>
      <c r="K41" s="10">
        <f t="shared" si="0"/>
        <v>0.1152073732718894</v>
      </c>
    </row>
    <row r="42" spans="1:11" x14ac:dyDescent="0.35">
      <c r="A42" t="s">
        <v>15</v>
      </c>
      <c r="B42" s="3">
        <v>45638</v>
      </c>
      <c r="C42" t="s">
        <v>1578</v>
      </c>
      <c r="D42" t="s">
        <v>128</v>
      </c>
      <c r="F42">
        <v>2139.62</v>
      </c>
      <c r="G42" t="s">
        <v>10</v>
      </c>
      <c r="H42" t="s">
        <v>142</v>
      </c>
      <c r="I42" s="10" t="s">
        <v>8</v>
      </c>
      <c r="J42">
        <v>8.7899999999999991</v>
      </c>
      <c r="K42" s="10">
        <f t="shared" si="0"/>
        <v>0.11376564277588169</v>
      </c>
    </row>
    <row r="43" spans="1:11" x14ac:dyDescent="0.35">
      <c r="A43" t="s">
        <v>15</v>
      </c>
      <c r="B43" s="3">
        <v>45771</v>
      </c>
      <c r="C43" t="s">
        <v>1581</v>
      </c>
      <c r="D43" t="s">
        <v>1580</v>
      </c>
      <c r="F43">
        <v>2132.64</v>
      </c>
      <c r="G43" t="s">
        <v>10</v>
      </c>
      <c r="H43" t="s">
        <v>33</v>
      </c>
      <c r="I43" s="10" t="s">
        <v>8</v>
      </c>
      <c r="J43">
        <v>12.49</v>
      </c>
      <c r="K43" s="10">
        <f t="shared" si="0"/>
        <v>8.0064051240992792E-2</v>
      </c>
    </row>
    <row r="44" spans="1:11" x14ac:dyDescent="0.35">
      <c r="A44" t="s">
        <v>15</v>
      </c>
      <c r="B44" s="3">
        <v>45814</v>
      </c>
      <c r="C44" t="s">
        <v>1579</v>
      </c>
      <c r="D44" t="s">
        <v>625</v>
      </c>
      <c r="F44">
        <v>2127.6</v>
      </c>
      <c r="G44" t="s">
        <v>10</v>
      </c>
      <c r="H44" t="s">
        <v>33</v>
      </c>
      <c r="I44" s="10">
        <v>3.07</v>
      </c>
      <c r="J44">
        <v>3.48</v>
      </c>
      <c r="K44" s="10">
        <f t="shared" si="0"/>
        <v>0.28735632183908044</v>
      </c>
    </row>
    <row r="45" spans="1:11" x14ac:dyDescent="0.35">
      <c r="A45" t="s">
        <v>15</v>
      </c>
      <c r="B45" s="3">
        <v>45860</v>
      </c>
      <c r="C45" t="s">
        <v>1578</v>
      </c>
      <c r="D45" t="s">
        <v>1577</v>
      </c>
      <c r="F45">
        <v>2109.73</v>
      </c>
      <c r="G45" t="s">
        <v>10</v>
      </c>
      <c r="H45" t="s">
        <v>9</v>
      </c>
      <c r="I45" s="10" t="s">
        <v>8</v>
      </c>
      <c r="J45">
        <v>8.7899999999999991</v>
      </c>
      <c r="K45" s="10">
        <f t="shared" si="0"/>
        <v>0.11376564277588169</v>
      </c>
    </row>
    <row r="46" spans="1:11" x14ac:dyDescent="0.35">
      <c r="A46" t="s">
        <v>15</v>
      </c>
      <c r="B46" s="3">
        <v>45653</v>
      </c>
      <c r="C46" t="s">
        <v>1576</v>
      </c>
      <c r="D46" t="s">
        <v>1575</v>
      </c>
      <c r="E46" t="s">
        <v>1574</v>
      </c>
      <c r="F46">
        <v>2100</v>
      </c>
      <c r="G46" t="s">
        <v>10</v>
      </c>
      <c r="H46" t="s">
        <v>22</v>
      </c>
      <c r="I46" s="10" t="s">
        <v>8</v>
      </c>
      <c r="J46">
        <v>58.57</v>
      </c>
      <c r="K46" s="10">
        <f t="shared" si="0"/>
        <v>1.7073587160662457E-2</v>
      </c>
    </row>
    <row r="47" spans="1:11" x14ac:dyDescent="0.35">
      <c r="A47" t="s">
        <v>15</v>
      </c>
      <c r="B47" s="3">
        <v>45866</v>
      </c>
      <c r="C47" t="s">
        <v>1573</v>
      </c>
      <c r="D47" t="s">
        <v>1572</v>
      </c>
      <c r="F47">
        <v>2098.09</v>
      </c>
      <c r="G47" t="s">
        <v>10</v>
      </c>
      <c r="H47" t="s">
        <v>9</v>
      </c>
      <c r="I47" s="10">
        <v>1.58</v>
      </c>
      <c r="J47">
        <v>10.4</v>
      </c>
      <c r="K47" s="10">
        <f t="shared" si="0"/>
        <v>9.6153846153846145E-2</v>
      </c>
    </row>
    <row r="48" spans="1:11" x14ac:dyDescent="0.35">
      <c r="A48" t="s">
        <v>15</v>
      </c>
      <c r="B48" s="3">
        <v>45572</v>
      </c>
      <c r="C48" t="s">
        <v>1571</v>
      </c>
      <c r="D48" t="s">
        <v>1570</v>
      </c>
      <c r="F48">
        <v>1946.52</v>
      </c>
      <c r="G48" t="s">
        <v>10</v>
      </c>
      <c r="H48" t="s">
        <v>22</v>
      </c>
      <c r="I48" s="10">
        <v>14.11</v>
      </c>
      <c r="J48">
        <v>18.37</v>
      </c>
      <c r="K48" s="10">
        <f t="shared" si="0"/>
        <v>5.4436581382689163E-2</v>
      </c>
    </row>
    <row r="49" spans="1:11" x14ac:dyDescent="0.35">
      <c r="A49" t="s">
        <v>15</v>
      </c>
      <c r="B49" s="3">
        <v>45880</v>
      </c>
      <c r="C49" t="s">
        <v>1569</v>
      </c>
      <c r="D49" t="s">
        <v>412</v>
      </c>
      <c r="F49">
        <v>1905.89</v>
      </c>
      <c r="G49" t="s">
        <v>10</v>
      </c>
      <c r="H49" t="s">
        <v>9</v>
      </c>
      <c r="I49" s="10">
        <v>30.31</v>
      </c>
      <c r="J49">
        <v>411.11</v>
      </c>
      <c r="K49" s="10">
        <f t="shared" si="0"/>
        <v>2.4324390065919095E-3</v>
      </c>
    </row>
    <row r="50" spans="1:11" x14ac:dyDescent="0.35">
      <c r="A50" t="s">
        <v>15</v>
      </c>
      <c r="B50" s="3">
        <v>45694</v>
      </c>
      <c r="C50" t="s">
        <v>508</v>
      </c>
      <c r="D50" t="s">
        <v>507</v>
      </c>
      <c r="F50">
        <v>1800</v>
      </c>
      <c r="G50" t="s">
        <v>10</v>
      </c>
      <c r="H50" t="s">
        <v>33</v>
      </c>
      <c r="I50" s="10" t="s">
        <v>8</v>
      </c>
      <c r="J50">
        <v>53.97</v>
      </c>
      <c r="K50" s="10">
        <f t="shared" si="0"/>
        <v>1.8528812303131369E-2</v>
      </c>
    </row>
    <row r="51" spans="1:11" x14ac:dyDescent="0.35">
      <c r="A51" t="s">
        <v>15</v>
      </c>
      <c r="B51" s="3">
        <v>45629</v>
      </c>
      <c r="C51" t="s">
        <v>1568</v>
      </c>
      <c r="D51" t="s">
        <v>1209</v>
      </c>
      <c r="E51" t="s">
        <v>1567</v>
      </c>
      <c r="F51">
        <v>1789.93</v>
      </c>
      <c r="G51" t="s">
        <v>10</v>
      </c>
      <c r="H51" t="s">
        <v>22</v>
      </c>
      <c r="I51" s="10" t="s">
        <v>8</v>
      </c>
      <c r="J51">
        <v>8.06</v>
      </c>
      <c r="K51" s="10">
        <f t="shared" si="0"/>
        <v>0.12406947890818858</v>
      </c>
    </row>
    <row r="52" spans="1:11" x14ac:dyDescent="0.35">
      <c r="A52" t="s">
        <v>15</v>
      </c>
      <c r="B52" s="3">
        <v>45783</v>
      </c>
      <c r="C52" t="s">
        <v>1566</v>
      </c>
      <c r="D52" t="s">
        <v>1565</v>
      </c>
      <c r="F52">
        <v>1754.75</v>
      </c>
      <c r="G52" t="s">
        <v>10</v>
      </c>
      <c r="H52" t="s">
        <v>9</v>
      </c>
      <c r="I52" s="10">
        <v>49.72</v>
      </c>
      <c r="J52">
        <v>29.76</v>
      </c>
      <c r="K52" s="10">
        <f t="shared" si="0"/>
        <v>3.3602150537634407E-2</v>
      </c>
    </row>
    <row r="53" spans="1:11" x14ac:dyDescent="0.35">
      <c r="A53" t="s">
        <v>15</v>
      </c>
      <c r="B53" s="3">
        <v>45797</v>
      </c>
      <c r="C53" t="s">
        <v>1564</v>
      </c>
      <c r="D53" t="s">
        <v>625</v>
      </c>
      <c r="E53" t="s">
        <v>1563</v>
      </c>
      <c r="F53">
        <v>1750</v>
      </c>
      <c r="G53" t="s">
        <v>10</v>
      </c>
      <c r="H53" t="s">
        <v>9</v>
      </c>
      <c r="I53" s="10" t="s">
        <v>8</v>
      </c>
      <c r="J53">
        <v>9.65</v>
      </c>
      <c r="K53" s="10">
        <f t="shared" si="0"/>
        <v>0.10362694300518134</v>
      </c>
    </row>
    <row r="54" spans="1:11" x14ac:dyDescent="0.35">
      <c r="A54" t="s">
        <v>15</v>
      </c>
      <c r="B54" s="3">
        <v>45761</v>
      </c>
      <c r="C54" t="s">
        <v>1562</v>
      </c>
      <c r="D54" t="s">
        <v>1561</v>
      </c>
      <c r="E54" t="s">
        <v>128</v>
      </c>
      <c r="F54">
        <v>1705.13</v>
      </c>
      <c r="G54" t="s">
        <v>10</v>
      </c>
      <c r="H54" t="s">
        <v>9</v>
      </c>
      <c r="I54" s="10" t="s">
        <v>8</v>
      </c>
      <c r="J54">
        <v>23.64</v>
      </c>
      <c r="K54" s="10">
        <f t="shared" si="0"/>
        <v>4.2301184433164128E-2</v>
      </c>
    </row>
    <row r="55" spans="1:11" x14ac:dyDescent="0.35">
      <c r="A55" t="s">
        <v>15</v>
      </c>
      <c r="B55" s="3">
        <v>45710</v>
      </c>
      <c r="C55" t="s">
        <v>1560</v>
      </c>
      <c r="D55" t="s">
        <v>12</v>
      </c>
      <c r="E55" t="s">
        <v>1559</v>
      </c>
      <c r="F55">
        <v>1700</v>
      </c>
      <c r="G55" t="s">
        <v>10</v>
      </c>
      <c r="H55" t="s">
        <v>33</v>
      </c>
      <c r="I55" s="10" t="s">
        <v>8</v>
      </c>
      <c r="J55">
        <v>7.44</v>
      </c>
      <c r="K55" s="10">
        <f t="shared" si="0"/>
        <v>0.13440860215053763</v>
      </c>
    </row>
    <row r="56" spans="1:11" x14ac:dyDescent="0.35">
      <c r="A56" t="s">
        <v>15</v>
      </c>
      <c r="B56" s="3">
        <v>45890</v>
      </c>
      <c r="C56" t="s">
        <v>1558</v>
      </c>
      <c r="D56" t="s">
        <v>12</v>
      </c>
      <c r="E56" t="s">
        <v>929</v>
      </c>
      <c r="F56">
        <v>1600</v>
      </c>
      <c r="G56" t="s">
        <v>1511</v>
      </c>
      <c r="H56" t="s">
        <v>9</v>
      </c>
      <c r="I56" s="10" t="s">
        <v>8</v>
      </c>
      <c r="J56">
        <v>9.56</v>
      </c>
      <c r="K56" s="10">
        <f t="shared" si="0"/>
        <v>0.10460251046025104</v>
      </c>
    </row>
    <row r="57" spans="1:11" x14ac:dyDescent="0.35">
      <c r="A57" t="s">
        <v>15</v>
      </c>
      <c r="B57" s="3">
        <v>45640</v>
      </c>
      <c r="C57" t="s">
        <v>1557</v>
      </c>
      <c r="D57" t="s">
        <v>625</v>
      </c>
      <c r="E57" t="s">
        <v>255</v>
      </c>
      <c r="F57">
        <v>1574.4</v>
      </c>
      <c r="G57" t="s">
        <v>10</v>
      </c>
      <c r="H57" t="s">
        <v>22</v>
      </c>
      <c r="I57" s="10" t="s">
        <v>8</v>
      </c>
      <c r="J57">
        <v>17.47</v>
      </c>
      <c r="K57" s="10">
        <f t="shared" si="0"/>
        <v>5.7240984544934176E-2</v>
      </c>
    </row>
    <row r="58" spans="1:11" x14ac:dyDescent="0.35">
      <c r="A58" t="s">
        <v>15</v>
      </c>
      <c r="B58" s="3">
        <v>45553</v>
      </c>
      <c r="C58" t="s">
        <v>1556</v>
      </c>
      <c r="D58" t="s">
        <v>1555</v>
      </c>
      <c r="E58" t="s">
        <v>1554</v>
      </c>
      <c r="F58">
        <v>1532.48</v>
      </c>
      <c r="G58" t="s">
        <v>10</v>
      </c>
      <c r="H58" t="s">
        <v>9</v>
      </c>
      <c r="I58" s="10" t="s">
        <v>8</v>
      </c>
      <c r="J58">
        <v>17.41</v>
      </c>
      <c r="K58" s="10">
        <f t="shared" si="0"/>
        <v>5.7438253877082138E-2</v>
      </c>
    </row>
    <row r="59" spans="1:11" x14ac:dyDescent="0.35">
      <c r="A59" t="s">
        <v>15</v>
      </c>
      <c r="B59" s="3">
        <v>45663</v>
      </c>
      <c r="C59" t="s">
        <v>1553</v>
      </c>
      <c r="D59" t="s">
        <v>16</v>
      </c>
      <c r="E59" t="s">
        <v>428</v>
      </c>
      <c r="F59">
        <v>1500</v>
      </c>
      <c r="G59" t="s">
        <v>10</v>
      </c>
      <c r="H59" t="s">
        <v>22</v>
      </c>
      <c r="I59" s="10" t="s">
        <v>8</v>
      </c>
      <c r="J59">
        <v>27.35</v>
      </c>
      <c r="K59" s="10">
        <f t="shared" si="0"/>
        <v>3.6563071297989032E-2</v>
      </c>
    </row>
    <row r="60" spans="1:11" x14ac:dyDescent="0.35">
      <c r="A60" t="s">
        <v>15</v>
      </c>
      <c r="B60" s="3">
        <v>45890</v>
      </c>
      <c r="C60" t="s">
        <v>1552</v>
      </c>
      <c r="D60" t="s">
        <v>520</v>
      </c>
      <c r="E60" t="s">
        <v>1551</v>
      </c>
      <c r="F60">
        <v>1500</v>
      </c>
      <c r="G60" t="s">
        <v>10</v>
      </c>
      <c r="H60" t="s">
        <v>9</v>
      </c>
      <c r="I60" s="10" t="s">
        <v>8</v>
      </c>
      <c r="J60">
        <v>8.9700000000000006</v>
      </c>
      <c r="K60" s="10">
        <f t="shared" si="0"/>
        <v>0.11148272017837234</v>
      </c>
    </row>
    <row r="61" spans="1:11" x14ac:dyDescent="0.35">
      <c r="A61" t="s">
        <v>15</v>
      </c>
      <c r="B61" s="3">
        <v>45894</v>
      </c>
      <c r="C61" t="s">
        <v>1550</v>
      </c>
      <c r="D61" t="s">
        <v>285</v>
      </c>
      <c r="F61">
        <v>1494.05</v>
      </c>
      <c r="G61" t="s">
        <v>10</v>
      </c>
      <c r="H61" t="s">
        <v>9</v>
      </c>
      <c r="I61" s="10">
        <v>9.24</v>
      </c>
      <c r="J61">
        <v>14.04</v>
      </c>
      <c r="K61" s="10">
        <f t="shared" si="0"/>
        <v>7.1225071225071226E-2</v>
      </c>
    </row>
    <row r="62" spans="1:11" x14ac:dyDescent="0.35">
      <c r="A62" t="s">
        <v>15</v>
      </c>
      <c r="B62" s="3">
        <v>45841</v>
      </c>
      <c r="C62" t="s">
        <v>1549</v>
      </c>
      <c r="D62" t="s">
        <v>285</v>
      </c>
      <c r="F62">
        <v>1482.42</v>
      </c>
      <c r="G62" t="s">
        <v>10</v>
      </c>
      <c r="H62" t="s">
        <v>9</v>
      </c>
      <c r="I62" s="10" t="s">
        <v>8</v>
      </c>
      <c r="J62">
        <v>334.45</v>
      </c>
      <c r="K62" s="10">
        <f t="shared" si="0"/>
        <v>2.989983555090447E-3</v>
      </c>
    </row>
    <row r="63" spans="1:11" x14ac:dyDescent="0.35">
      <c r="A63" t="s">
        <v>15</v>
      </c>
      <c r="B63" s="3">
        <v>45712</v>
      </c>
      <c r="C63" t="s">
        <v>1548</v>
      </c>
      <c r="D63" t="s">
        <v>128</v>
      </c>
      <c r="F63">
        <v>1412.93</v>
      </c>
      <c r="G63" t="s">
        <v>10</v>
      </c>
      <c r="H63" t="s">
        <v>33</v>
      </c>
      <c r="I63" s="10">
        <v>13.47</v>
      </c>
      <c r="J63">
        <v>19.14</v>
      </c>
      <c r="K63" s="10">
        <f t="shared" si="0"/>
        <v>5.2246603970741899E-2</v>
      </c>
    </row>
    <row r="64" spans="1:11" x14ac:dyDescent="0.35">
      <c r="A64" t="s">
        <v>15</v>
      </c>
      <c r="B64" s="3">
        <v>45582</v>
      </c>
      <c r="C64" t="s">
        <v>1547</v>
      </c>
      <c r="D64" t="s">
        <v>1546</v>
      </c>
      <c r="F64">
        <v>1390.33</v>
      </c>
      <c r="G64" t="s">
        <v>10</v>
      </c>
      <c r="H64" t="s">
        <v>22</v>
      </c>
      <c r="I64" s="10" t="s">
        <v>8</v>
      </c>
      <c r="J64">
        <v>36.65</v>
      </c>
      <c r="K64" s="10">
        <f t="shared" si="0"/>
        <v>2.7285129604365622E-2</v>
      </c>
    </row>
    <row r="65" spans="1:11" x14ac:dyDescent="0.35">
      <c r="A65" t="s">
        <v>15</v>
      </c>
      <c r="B65" s="3">
        <v>45880</v>
      </c>
      <c r="C65" t="s">
        <v>1545</v>
      </c>
      <c r="D65" t="s">
        <v>1544</v>
      </c>
      <c r="F65">
        <v>1302.27</v>
      </c>
      <c r="G65" t="s">
        <v>10</v>
      </c>
      <c r="H65" t="s">
        <v>9</v>
      </c>
      <c r="I65" s="10">
        <v>6.59</v>
      </c>
      <c r="J65">
        <v>226.33</v>
      </c>
      <c r="K65" s="10">
        <f t="shared" si="0"/>
        <v>4.4183272213140102E-3</v>
      </c>
    </row>
    <row r="66" spans="1:11" x14ac:dyDescent="0.35">
      <c r="A66" t="s">
        <v>15</v>
      </c>
      <c r="B66" s="3">
        <v>45797</v>
      </c>
      <c r="C66" t="s">
        <v>1543</v>
      </c>
      <c r="D66" t="s">
        <v>12</v>
      </c>
      <c r="E66" t="s">
        <v>1542</v>
      </c>
      <c r="F66">
        <v>1300</v>
      </c>
      <c r="G66" t="s">
        <v>10</v>
      </c>
      <c r="H66" t="s">
        <v>33</v>
      </c>
      <c r="I66" s="10" t="s">
        <v>8</v>
      </c>
      <c r="J66">
        <v>26.46</v>
      </c>
      <c r="K66" s="10">
        <f t="shared" si="0"/>
        <v>3.779289493575208E-2</v>
      </c>
    </row>
    <row r="67" spans="1:11" x14ac:dyDescent="0.35">
      <c r="A67" t="s">
        <v>15</v>
      </c>
      <c r="B67" s="3">
        <v>45839</v>
      </c>
      <c r="C67" t="s">
        <v>1541</v>
      </c>
      <c r="D67" t="s">
        <v>143</v>
      </c>
      <c r="E67" t="s">
        <v>1540</v>
      </c>
      <c r="F67">
        <v>1300</v>
      </c>
      <c r="G67" t="s">
        <v>10</v>
      </c>
      <c r="H67" t="s">
        <v>9</v>
      </c>
      <c r="I67" s="10" t="s">
        <v>8</v>
      </c>
      <c r="J67">
        <v>50.62</v>
      </c>
      <c r="K67" s="10">
        <f t="shared" ref="K67:K130" si="1">1/J67</f>
        <v>1.9755037534571317E-2</v>
      </c>
    </row>
    <row r="68" spans="1:11" x14ac:dyDescent="0.35">
      <c r="A68" t="s">
        <v>15</v>
      </c>
      <c r="B68" s="3">
        <v>45888</v>
      </c>
      <c r="C68" t="s">
        <v>1539</v>
      </c>
      <c r="D68" t="s">
        <v>143</v>
      </c>
      <c r="E68" t="s">
        <v>1538</v>
      </c>
      <c r="F68">
        <v>1278.4000000000001</v>
      </c>
      <c r="G68" t="s">
        <v>10</v>
      </c>
      <c r="H68" t="s">
        <v>9</v>
      </c>
      <c r="I68" s="10" t="s">
        <v>8</v>
      </c>
      <c r="J68" t="s">
        <v>8</v>
      </c>
      <c r="K68" s="10" t="e">
        <f t="shared" si="1"/>
        <v>#VALUE!</v>
      </c>
    </row>
    <row r="69" spans="1:11" x14ac:dyDescent="0.35">
      <c r="A69" t="s">
        <v>15</v>
      </c>
      <c r="B69" s="3">
        <v>45601</v>
      </c>
      <c r="C69" t="s">
        <v>1537</v>
      </c>
      <c r="D69" t="s">
        <v>514</v>
      </c>
      <c r="F69">
        <v>1254.67</v>
      </c>
      <c r="G69" t="s">
        <v>10</v>
      </c>
      <c r="H69" t="s">
        <v>9</v>
      </c>
      <c r="I69" s="10">
        <v>22.55</v>
      </c>
      <c r="J69">
        <v>35.43</v>
      </c>
      <c r="K69" s="10">
        <f t="shared" si="1"/>
        <v>2.8224668360146768E-2</v>
      </c>
    </row>
    <row r="70" spans="1:11" x14ac:dyDescent="0.35">
      <c r="A70" t="s">
        <v>15</v>
      </c>
      <c r="B70" s="3">
        <v>45828</v>
      </c>
      <c r="C70" t="s">
        <v>1536</v>
      </c>
      <c r="D70" t="s">
        <v>564</v>
      </c>
      <c r="F70">
        <v>1186.99</v>
      </c>
      <c r="G70" t="s">
        <v>10</v>
      </c>
      <c r="H70" t="s">
        <v>9</v>
      </c>
      <c r="I70" s="10" t="s">
        <v>8</v>
      </c>
      <c r="J70">
        <v>24.15</v>
      </c>
      <c r="K70" s="10">
        <f t="shared" si="1"/>
        <v>4.1407867494824016E-2</v>
      </c>
    </row>
    <row r="71" spans="1:11" x14ac:dyDescent="0.35">
      <c r="A71" t="s">
        <v>15</v>
      </c>
      <c r="B71" s="3">
        <v>45886</v>
      </c>
      <c r="C71" t="s">
        <v>1535</v>
      </c>
      <c r="D71" t="s">
        <v>16</v>
      </c>
      <c r="F71">
        <v>1178.05</v>
      </c>
      <c r="G71" t="s">
        <v>10</v>
      </c>
      <c r="H71" t="s">
        <v>9</v>
      </c>
      <c r="I71" s="10" t="s">
        <v>8</v>
      </c>
      <c r="J71">
        <v>20.94</v>
      </c>
      <c r="K71" s="10">
        <f t="shared" si="1"/>
        <v>4.775549188156638E-2</v>
      </c>
    </row>
    <row r="72" spans="1:11" x14ac:dyDescent="0.35">
      <c r="A72" t="s">
        <v>15</v>
      </c>
      <c r="B72" s="3">
        <v>45569</v>
      </c>
      <c r="C72" t="s">
        <v>1534</v>
      </c>
      <c r="D72" t="s">
        <v>269</v>
      </c>
      <c r="F72">
        <v>1175.56</v>
      </c>
      <c r="G72" t="s">
        <v>10</v>
      </c>
      <c r="H72" t="s">
        <v>22</v>
      </c>
      <c r="I72" s="10" t="s">
        <v>8</v>
      </c>
      <c r="J72">
        <v>13.06</v>
      </c>
      <c r="K72" s="10">
        <f t="shared" si="1"/>
        <v>7.6569678407350683E-2</v>
      </c>
    </row>
    <row r="73" spans="1:11" x14ac:dyDescent="0.35">
      <c r="A73" t="s">
        <v>15</v>
      </c>
      <c r="B73" s="3">
        <v>45860</v>
      </c>
      <c r="C73" t="s">
        <v>1533</v>
      </c>
      <c r="D73" t="s">
        <v>1532</v>
      </c>
      <c r="E73" t="s">
        <v>1531</v>
      </c>
      <c r="F73">
        <v>1150</v>
      </c>
      <c r="G73" t="s">
        <v>10</v>
      </c>
      <c r="H73" t="s">
        <v>9</v>
      </c>
      <c r="I73" s="10" t="s">
        <v>8</v>
      </c>
      <c r="J73">
        <v>23.39</v>
      </c>
      <c r="K73" s="10">
        <f t="shared" si="1"/>
        <v>4.2753313381787089E-2</v>
      </c>
    </row>
    <row r="74" spans="1:11" x14ac:dyDescent="0.35">
      <c r="A74" t="s">
        <v>15</v>
      </c>
      <c r="B74" s="3">
        <v>45595</v>
      </c>
      <c r="C74" t="s">
        <v>1530</v>
      </c>
      <c r="D74" t="s">
        <v>286</v>
      </c>
      <c r="E74" t="s">
        <v>1529</v>
      </c>
      <c r="F74">
        <v>1125</v>
      </c>
      <c r="G74" t="s">
        <v>10</v>
      </c>
      <c r="H74" t="s">
        <v>22</v>
      </c>
      <c r="I74" s="10" t="s">
        <v>8</v>
      </c>
      <c r="J74">
        <v>27.93</v>
      </c>
      <c r="K74" s="10">
        <f t="shared" si="1"/>
        <v>3.580379520229144E-2</v>
      </c>
    </row>
    <row r="75" spans="1:11" x14ac:dyDescent="0.35">
      <c r="A75" t="s">
        <v>15</v>
      </c>
      <c r="B75" s="3">
        <v>45775</v>
      </c>
      <c r="C75" t="s">
        <v>1528</v>
      </c>
      <c r="D75" t="s">
        <v>13</v>
      </c>
      <c r="E75" t="s">
        <v>1527</v>
      </c>
      <c r="F75">
        <v>1100</v>
      </c>
      <c r="G75" t="s">
        <v>10</v>
      </c>
      <c r="H75" t="s">
        <v>22</v>
      </c>
      <c r="I75" s="10" t="s">
        <v>8</v>
      </c>
      <c r="J75" t="s">
        <v>8</v>
      </c>
      <c r="K75" s="10" t="e">
        <f t="shared" si="1"/>
        <v>#VALUE!</v>
      </c>
    </row>
    <row r="76" spans="1:11" x14ac:dyDescent="0.35">
      <c r="A76" t="s">
        <v>15</v>
      </c>
      <c r="B76" s="3">
        <v>45876</v>
      </c>
      <c r="C76" t="s">
        <v>1526</v>
      </c>
      <c r="D76" t="s">
        <v>1525</v>
      </c>
      <c r="E76" t="s">
        <v>1524</v>
      </c>
      <c r="F76">
        <v>1100</v>
      </c>
      <c r="G76" t="s">
        <v>10</v>
      </c>
      <c r="H76" t="s">
        <v>22</v>
      </c>
      <c r="I76" s="10" t="s">
        <v>8</v>
      </c>
      <c r="J76">
        <v>18.84</v>
      </c>
      <c r="K76" s="10">
        <f t="shared" si="1"/>
        <v>5.3078556263269641E-2</v>
      </c>
    </row>
    <row r="77" spans="1:11" x14ac:dyDescent="0.35">
      <c r="A77" t="s">
        <v>15</v>
      </c>
      <c r="B77" s="3">
        <v>45630</v>
      </c>
      <c r="C77" t="s">
        <v>1523</v>
      </c>
      <c r="D77" t="s">
        <v>1001</v>
      </c>
      <c r="F77">
        <v>1091.67</v>
      </c>
      <c r="G77" t="s">
        <v>10</v>
      </c>
      <c r="H77" t="s">
        <v>22</v>
      </c>
      <c r="I77" s="10">
        <v>8.17</v>
      </c>
      <c r="J77">
        <v>14.73</v>
      </c>
      <c r="K77" s="10">
        <f t="shared" si="1"/>
        <v>6.7888662593346916E-2</v>
      </c>
    </row>
    <row r="78" spans="1:11" x14ac:dyDescent="0.35">
      <c r="A78" t="s">
        <v>15</v>
      </c>
      <c r="B78" s="3">
        <v>45628</v>
      </c>
      <c r="C78" t="s">
        <v>1522</v>
      </c>
      <c r="D78" t="s">
        <v>1521</v>
      </c>
      <c r="F78">
        <v>1011.24</v>
      </c>
      <c r="G78" t="s">
        <v>10</v>
      </c>
      <c r="H78" t="s">
        <v>142</v>
      </c>
      <c r="I78" s="10">
        <v>3.68</v>
      </c>
      <c r="J78">
        <v>8.8699999999999992</v>
      </c>
      <c r="K78" s="10">
        <f t="shared" si="1"/>
        <v>0.11273957158962797</v>
      </c>
    </row>
    <row r="79" spans="1:11" x14ac:dyDescent="0.35">
      <c r="A79" t="s">
        <v>15</v>
      </c>
      <c r="B79" s="3">
        <v>45742</v>
      </c>
      <c r="C79" t="s">
        <v>857</v>
      </c>
      <c r="D79" t="s">
        <v>1520</v>
      </c>
      <c r="E79" t="s">
        <v>855</v>
      </c>
      <c r="F79">
        <v>1007.5</v>
      </c>
      <c r="G79" t="s">
        <v>10</v>
      </c>
      <c r="H79" t="s">
        <v>22</v>
      </c>
      <c r="I79" s="10" t="s">
        <v>8</v>
      </c>
      <c r="J79">
        <v>11.22</v>
      </c>
      <c r="K79" s="10">
        <f t="shared" si="1"/>
        <v>8.9126559714795009E-2</v>
      </c>
    </row>
    <row r="80" spans="1:11" x14ac:dyDescent="0.35">
      <c r="A80" t="s">
        <v>15</v>
      </c>
      <c r="B80" s="3">
        <v>45769</v>
      </c>
      <c r="C80" t="s">
        <v>1519</v>
      </c>
      <c r="D80" t="s">
        <v>143</v>
      </c>
      <c r="F80">
        <v>1005.99</v>
      </c>
      <c r="G80" t="s">
        <v>10</v>
      </c>
      <c r="H80" t="s">
        <v>22</v>
      </c>
      <c r="I80" s="10">
        <v>20.93</v>
      </c>
      <c r="J80">
        <v>31.45</v>
      </c>
      <c r="K80" s="10">
        <f t="shared" si="1"/>
        <v>3.1796502384737677E-2</v>
      </c>
    </row>
    <row r="81" spans="1:11" x14ac:dyDescent="0.35">
      <c r="A81" t="s">
        <v>15</v>
      </c>
      <c r="B81" s="3">
        <v>45670</v>
      </c>
      <c r="C81" t="s">
        <v>1518</v>
      </c>
      <c r="D81" t="s">
        <v>1517</v>
      </c>
      <c r="E81" t="s">
        <v>1516</v>
      </c>
      <c r="F81">
        <v>1000</v>
      </c>
      <c r="G81" t="s">
        <v>10</v>
      </c>
      <c r="H81" t="s">
        <v>22</v>
      </c>
      <c r="I81" s="10" t="s">
        <v>8</v>
      </c>
      <c r="J81">
        <v>23.39</v>
      </c>
      <c r="K81" s="10">
        <f t="shared" si="1"/>
        <v>4.2753313381787089E-2</v>
      </c>
    </row>
    <row r="82" spans="1:11" x14ac:dyDescent="0.35">
      <c r="A82" t="s">
        <v>15</v>
      </c>
      <c r="B82" s="3">
        <v>45678</v>
      </c>
      <c r="C82" t="s">
        <v>1515</v>
      </c>
      <c r="D82" t="s">
        <v>28</v>
      </c>
      <c r="E82" t="s">
        <v>1514</v>
      </c>
      <c r="F82">
        <v>1000</v>
      </c>
      <c r="G82" t="s">
        <v>10</v>
      </c>
      <c r="H82" t="s">
        <v>22</v>
      </c>
      <c r="I82" s="10" t="s">
        <v>8</v>
      </c>
      <c r="J82">
        <v>13.06</v>
      </c>
      <c r="K82" s="10">
        <f t="shared" si="1"/>
        <v>7.6569678407350683E-2</v>
      </c>
    </row>
    <row r="83" spans="1:11" x14ac:dyDescent="0.35">
      <c r="A83" t="s">
        <v>15</v>
      </c>
      <c r="B83" s="3">
        <v>45840</v>
      </c>
      <c r="C83" t="s">
        <v>1513</v>
      </c>
      <c r="D83" t="s">
        <v>128</v>
      </c>
      <c r="E83" t="s">
        <v>1512</v>
      </c>
      <c r="F83">
        <v>1000</v>
      </c>
      <c r="G83" t="s">
        <v>1511</v>
      </c>
      <c r="H83" t="s">
        <v>9</v>
      </c>
      <c r="I83" s="10" t="s">
        <v>8</v>
      </c>
      <c r="J83">
        <v>9.85</v>
      </c>
      <c r="K83" s="10">
        <f t="shared" si="1"/>
        <v>0.10152284263959391</v>
      </c>
    </row>
    <row r="84" spans="1:11" x14ac:dyDescent="0.35">
      <c r="A84" t="s">
        <v>15</v>
      </c>
      <c r="B84" s="3">
        <v>45700</v>
      </c>
      <c r="C84" t="s">
        <v>1510</v>
      </c>
      <c r="D84" t="s">
        <v>206</v>
      </c>
      <c r="F84">
        <v>1000</v>
      </c>
      <c r="G84" t="s">
        <v>10</v>
      </c>
      <c r="H84" t="s">
        <v>9</v>
      </c>
      <c r="I84" s="10" t="s">
        <v>8</v>
      </c>
      <c r="J84">
        <v>58.57</v>
      </c>
      <c r="K84" s="10">
        <f t="shared" si="1"/>
        <v>1.7073587160662457E-2</v>
      </c>
    </row>
    <row r="85" spans="1:11" x14ac:dyDescent="0.35">
      <c r="A85" t="s">
        <v>15</v>
      </c>
      <c r="B85" s="3">
        <v>45904</v>
      </c>
      <c r="C85" t="s">
        <v>1509</v>
      </c>
      <c r="D85" t="s">
        <v>949</v>
      </c>
      <c r="E85" t="s">
        <v>1508</v>
      </c>
      <c r="F85">
        <v>1000</v>
      </c>
      <c r="G85" t="s">
        <v>10</v>
      </c>
      <c r="H85" t="s">
        <v>9</v>
      </c>
      <c r="I85" s="10" t="s">
        <v>8</v>
      </c>
      <c r="J85">
        <v>17.329999999999998</v>
      </c>
      <c r="K85" s="10">
        <f t="shared" si="1"/>
        <v>5.7703404500865557E-2</v>
      </c>
    </row>
    <row r="86" spans="1:11" x14ac:dyDescent="0.35">
      <c r="A86" t="s">
        <v>15</v>
      </c>
      <c r="B86" s="3">
        <v>45551</v>
      </c>
      <c r="C86" t="s">
        <v>1507</v>
      </c>
      <c r="D86" t="s">
        <v>20</v>
      </c>
      <c r="E86" t="s">
        <v>431</v>
      </c>
      <c r="F86">
        <v>984.92</v>
      </c>
      <c r="G86" t="s">
        <v>10</v>
      </c>
      <c r="H86" t="s">
        <v>22</v>
      </c>
      <c r="I86" s="10" t="s">
        <v>8</v>
      </c>
      <c r="J86">
        <v>15.6</v>
      </c>
      <c r="K86" s="10">
        <f t="shared" si="1"/>
        <v>6.4102564102564111E-2</v>
      </c>
    </row>
    <row r="87" spans="1:11" x14ac:dyDescent="0.35">
      <c r="A87" t="s">
        <v>15</v>
      </c>
      <c r="B87" s="3">
        <v>45602</v>
      </c>
      <c r="C87" t="s">
        <v>1506</v>
      </c>
      <c r="D87" t="s">
        <v>1505</v>
      </c>
      <c r="F87">
        <v>982.93</v>
      </c>
      <c r="G87" t="s">
        <v>10</v>
      </c>
      <c r="H87" t="s">
        <v>22</v>
      </c>
      <c r="I87" s="10" t="s">
        <v>8</v>
      </c>
      <c r="J87">
        <v>13.54</v>
      </c>
      <c r="K87" s="10">
        <f t="shared" si="1"/>
        <v>7.3855243722304287E-2</v>
      </c>
    </row>
    <row r="88" spans="1:11" x14ac:dyDescent="0.35">
      <c r="A88" t="s">
        <v>15</v>
      </c>
      <c r="B88" s="3">
        <v>45888</v>
      </c>
      <c r="C88" t="s">
        <v>1504</v>
      </c>
      <c r="D88" t="s">
        <v>400</v>
      </c>
      <c r="F88">
        <v>966.48</v>
      </c>
      <c r="G88" t="s">
        <v>10</v>
      </c>
      <c r="H88" t="s">
        <v>33</v>
      </c>
      <c r="I88" s="10">
        <v>8.9</v>
      </c>
      <c r="J88">
        <v>29.71</v>
      </c>
      <c r="K88" s="10">
        <f t="shared" si="1"/>
        <v>3.3658700774150119E-2</v>
      </c>
    </row>
    <row r="89" spans="1:11" x14ac:dyDescent="0.35">
      <c r="A89" t="s">
        <v>15</v>
      </c>
      <c r="B89" s="3">
        <v>45695</v>
      </c>
      <c r="C89" t="s">
        <v>1503</v>
      </c>
      <c r="D89" t="s">
        <v>28</v>
      </c>
      <c r="F89">
        <v>881.16</v>
      </c>
      <c r="G89" t="s">
        <v>10</v>
      </c>
      <c r="H89" t="s">
        <v>22</v>
      </c>
      <c r="I89" s="10">
        <v>9.11</v>
      </c>
      <c r="J89">
        <v>68.83</v>
      </c>
      <c r="K89" s="10">
        <f t="shared" si="1"/>
        <v>1.452854859799506E-2</v>
      </c>
    </row>
    <row r="90" spans="1:11" x14ac:dyDescent="0.35">
      <c r="A90" t="s">
        <v>15</v>
      </c>
      <c r="B90" s="3">
        <v>45642</v>
      </c>
      <c r="C90" t="s">
        <v>1502</v>
      </c>
      <c r="D90" t="s">
        <v>463</v>
      </c>
      <c r="E90" t="s">
        <v>1501</v>
      </c>
      <c r="F90">
        <v>865</v>
      </c>
      <c r="G90" t="s">
        <v>10</v>
      </c>
      <c r="H90" t="s">
        <v>9</v>
      </c>
      <c r="I90" s="10" t="s">
        <v>8</v>
      </c>
      <c r="J90">
        <v>17.329999999999998</v>
      </c>
      <c r="K90" s="10">
        <f t="shared" si="1"/>
        <v>5.7703404500865557E-2</v>
      </c>
    </row>
    <row r="91" spans="1:11" x14ac:dyDescent="0.35">
      <c r="A91" t="s">
        <v>15</v>
      </c>
      <c r="B91" s="3">
        <v>45789</v>
      </c>
      <c r="C91" t="s">
        <v>1500</v>
      </c>
      <c r="D91" t="s">
        <v>949</v>
      </c>
      <c r="F91">
        <v>825.69</v>
      </c>
      <c r="G91" t="s">
        <v>10</v>
      </c>
      <c r="H91" t="s">
        <v>9</v>
      </c>
      <c r="I91" s="10">
        <v>7.65</v>
      </c>
      <c r="J91">
        <v>13.47</v>
      </c>
      <c r="K91" s="10">
        <f t="shared" si="1"/>
        <v>7.4239049740163321E-2</v>
      </c>
    </row>
    <row r="92" spans="1:11" x14ac:dyDescent="0.35">
      <c r="A92" t="s">
        <v>15</v>
      </c>
      <c r="B92" s="3">
        <v>45694</v>
      </c>
      <c r="C92" t="s">
        <v>1499</v>
      </c>
      <c r="D92" t="s">
        <v>1498</v>
      </c>
      <c r="F92">
        <v>803.98</v>
      </c>
      <c r="G92" t="s">
        <v>10</v>
      </c>
      <c r="H92" t="s">
        <v>22</v>
      </c>
      <c r="I92" s="10">
        <v>11.37</v>
      </c>
      <c r="J92">
        <v>47.02</v>
      </c>
      <c r="K92" s="10">
        <f t="shared" si="1"/>
        <v>2.1267545725223307E-2</v>
      </c>
    </row>
    <row r="93" spans="1:11" x14ac:dyDescent="0.35">
      <c r="A93" t="s">
        <v>15</v>
      </c>
      <c r="B93" s="3">
        <v>45883</v>
      </c>
      <c r="C93" t="s">
        <v>1497</v>
      </c>
      <c r="D93" t="s">
        <v>1496</v>
      </c>
      <c r="F93">
        <v>784.41</v>
      </c>
      <c r="G93" t="s">
        <v>10</v>
      </c>
      <c r="H93" t="s">
        <v>22</v>
      </c>
      <c r="I93" s="10">
        <v>4.8</v>
      </c>
      <c r="J93">
        <v>13.73</v>
      </c>
      <c r="K93" s="10">
        <f t="shared" si="1"/>
        <v>7.2833211944646759E-2</v>
      </c>
    </row>
    <row r="94" spans="1:11" x14ac:dyDescent="0.35">
      <c r="A94" t="s">
        <v>15</v>
      </c>
      <c r="B94" s="3">
        <v>45637</v>
      </c>
      <c r="C94" t="s">
        <v>1495</v>
      </c>
      <c r="D94" t="s">
        <v>1494</v>
      </c>
      <c r="F94">
        <v>769.58</v>
      </c>
      <c r="G94" t="s">
        <v>10</v>
      </c>
      <c r="H94" t="s">
        <v>33</v>
      </c>
      <c r="I94" s="10">
        <v>20.81</v>
      </c>
      <c r="J94">
        <v>22.6</v>
      </c>
      <c r="K94" s="10">
        <f t="shared" si="1"/>
        <v>4.4247787610619468E-2</v>
      </c>
    </row>
    <row r="95" spans="1:11" x14ac:dyDescent="0.35">
      <c r="A95" t="s">
        <v>15</v>
      </c>
      <c r="B95" s="3">
        <v>45785</v>
      </c>
      <c r="C95" t="s">
        <v>1493</v>
      </c>
      <c r="D95" t="s">
        <v>514</v>
      </c>
      <c r="F95">
        <v>758.01</v>
      </c>
      <c r="G95" t="s">
        <v>10</v>
      </c>
      <c r="H95" t="s">
        <v>22</v>
      </c>
      <c r="I95" s="10">
        <v>29.76</v>
      </c>
      <c r="J95">
        <v>25.79</v>
      </c>
      <c r="K95" s="10">
        <f t="shared" si="1"/>
        <v>3.8774718883288095E-2</v>
      </c>
    </row>
    <row r="96" spans="1:11" x14ac:dyDescent="0.35">
      <c r="A96" t="s">
        <v>15</v>
      </c>
      <c r="B96" s="3">
        <v>45729</v>
      </c>
      <c r="C96" t="s">
        <v>1492</v>
      </c>
      <c r="D96" t="s">
        <v>288</v>
      </c>
      <c r="F96">
        <v>753.24</v>
      </c>
      <c r="G96" t="s">
        <v>10</v>
      </c>
      <c r="H96" t="s">
        <v>22</v>
      </c>
      <c r="I96" s="10" t="s">
        <v>8</v>
      </c>
      <c r="J96">
        <v>51.57</v>
      </c>
      <c r="K96" s="10">
        <f t="shared" si="1"/>
        <v>1.9391118867558659E-2</v>
      </c>
    </row>
    <row r="97" spans="1:11" x14ac:dyDescent="0.35">
      <c r="A97" t="s">
        <v>15</v>
      </c>
      <c r="B97" s="3">
        <v>45762</v>
      </c>
      <c r="C97" t="s">
        <v>1491</v>
      </c>
      <c r="D97" t="s">
        <v>143</v>
      </c>
      <c r="F97">
        <v>741.84</v>
      </c>
      <c r="G97" t="s">
        <v>10</v>
      </c>
      <c r="H97" t="s">
        <v>9</v>
      </c>
      <c r="I97" s="10">
        <v>8.18</v>
      </c>
      <c r="J97">
        <v>14.37</v>
      </c>
      <c r="K97" s="10">
        <f t="shared" si="1"/>
        <v>6.9589422407794019E-2</v>
      </c>
    </row>
    <row r="98" spans="1:11" x14ac:dyDescent="0.35">
      <c r="A98" t="s">
        <v>15</v>
      </c>
      <c r="B98" s="3">
        <v>45874</v>
      </c>
      <c r="C98" t="s">
        <v>1490</v>
      </c>
      <c r="D98" t="s">
        <v>1489</v>
      </c>
      <c r="F98">
        <v>697.39</v>
      </c>
      <c r="G98" t="s">
        <v>10</v>
      </c>
      <c r="H98" t="s">
        <v>9</v>
      </c>
      <c r="I98" s="10">
        <v>10.83</v>
      </c>
      <c r="J98">
        <v>25.77</v>
      </c>
      <c r="K98" s="10">
        <f t="shared" si="1"/>
        <v>3.8804811796662786E-2</v>
      </c>
    </row>
    <row r="99" spans="1:11" x14ac:dyDescent="0.35">
      <c r="A99" t="s">
        <v>15</v>
      </c>
      <c r="B99" s="3">
        <v>45797</v>
      </c>
      <c r="C99" t="s">
        <v>1488</v>
      </c>
      <c r="D99" t="s">
        <v>230</v>
      </c>
      <c r="E99" t="s">
        <v>28</v>
      </c>
      <c r="F99">
        <v>675.42</v>
      </c>
      <c r="G99" t="s">
        <v>10</v>
      </c>
      <c r="H99" t="s">
        <v>22</v>
      </c>
      <c r="I99" s="10" t="s">
        <v>8</v>
      </c>
      <c r="J99">
        <v>63.6</v>
      </c>
      <c r="K99" s="10">
        <f t="shared" si="1"/>
        <v>1.5723270440251572E-2</v>
      </c>
    </row>
    <row r="100" spans="1:11" x14ac:dyDescent="0.35">
      <c r="A100" t="s">
        <v>15</v>
      </c>
      <c r="B100" s="3">
        <v>45693</v>
      </c>
      <c r="C100" t="s">
        <v>1487</v>
      </c>
      <c r="D100" t="s">
        <v>1486</v>
      </c>
      <c r="E100" t="s">
        <v>1485</v>
      </c>
      <c r="F100">
        <v>656.6</v>
      </c>
      <c r="G100" t="s">
        <v>10</v>
      </c>
      <c r="H100" t="s">
        <v>22</v>
      </c>
      <c r="I100" s="10" t="s">
        <v>8</v>
      </c>
      <c r="J100">
        <v>27.19</v>
      </c>
      <c r="K100" s="10">
        <f t="shared" si="1"/>
        <v>3.6778227289444645E-2</v>
      </c>
    </row>
    <row r="101" spans="1:11" x14ac:dyDescent="0.35">
      <c r="A101" t="s">
        <v>15</v>
      </c>
      <c r="B101" s="3">
        <v>45624</v>
      </c>
      <c r="C101" t="s">
        <v>1484</v>
      </c>
      <c r="D101" t="s">
        <v>807</v>
      </c>
      <c r="F101">
        <v>632.53</v>
      </c>
      <c r="G101" t="s">
        <v>10</v>
      </c>
      <c r="H101" t="s">
        <v>22</v>
      </c>
      <c r="I101" s="10" t="s">
        <v>8</v>
      </c>
      <c r="J101">
        <v>25.66</v>
      </c>
      <c r="K101" s="10">
        <f t="shared" si="1"/>
        <v>3.8971161340607949E-2</v>
      </c>
    </row>
    <row r="102" spans="1:11" x14ac:dyDescent="0.35">
      <c r="A102" t="s">
        <v>15</v>
      </c>
      <c r="B102" s="3">
        <v>45566</v>
      </c>
      <c r="C102" t="s">
        <v>1483</v>
      </c>
      <c r="D102" t="s">
        <v>1482</v>
      </c>
      <c r="E102" t="s">
        <v>1481</v>
      </c>
      <c r="F102">
        <v>632.4</v>
      </c>
      <c r="G102" t="s">
        <v>10</v>
      </c>
      <c r="H102" t="s">
        <v>22</v>
      </c>
      <c r="I102" s="10" t="s">
        <v>8</v>
      </c>
      <c r="J102">
        <v>16.510000000000002</v>
      </c>
      <c r="K102" s="10">
        <f t="shared" si="1"/>
        <v>6.0569351907934582E-2</v>
      </c>
    </row>
    <row r="103" spans="1:11" x14ac:dyDescent="0.35">
      <c r="A103" t="s">
        <v>15</v>
      </c>
      <c r="B103" s="3">
        <v>45553</v>
      </c>
      <c r="C103" t="s">
        <v>1480</v>
      </c>
      <c r="D103" t="s">
        <v>1479</v>
      </c>
      <c r="E103" t="s">
        <v>1478</v>
      </c>
      <c r="F103">
        <v>568.70000000000005</v>
      </c>
      <c r="G103" t="s">
        <v>10</v>
      </c>
      <c r="H103" t="s">
        <v>22</v>
      </c>
      <c r="I103" s="10" t="s">
        <v>8</v>
      </c>
      <c r="J103">
        <v>63.6</v>
      </c>
      <c r="K103" s="10">
        <f t="shared" si="1"/>
        <v>1.5723270440251572E-2</v>
      </c>
    </row>
    <row r="104" spans="1:11" x14ac:dyDescent="0.35">
      <c r="A104" t="s">
        <v>15</v>
      </c>
      <c r="B104" s="3">
        <v>45699</v>
      </c>
      <c r="C104" t="s">
        <v>1477</v>
      </c>
      <c r="D104" t="s">
        <v>179</v>
      </c>
      <c r="F104">
        <v>560</v>
      </c>
      <c r="G104" t="s">
        <v>10</v>
      </c>
      <c r="H104" t="s">
        <v>22</v>
      </c>
      <c r="I104" s="10" t="s">
        <v>8</v>
      </c>
      <c r="J104">
        <v>18.32</v>
      </c>
      <c r="K104" s="10">
        <f t="shared" si="1"/>
        <v>5.458515283842795E-2</v>
      </c>
    </row>
    <row r="105" spans="1:11" x14ac:dyDescent="0.35">
      <c r="A105" t="s">
        <v>15</v>
      </c>
      <c r="B105" s="3">
        <v>45877</v>
      </c>
      <c r="C105" t="s">
        <v>1476</v>
      </c>
      <c r="D105" t="s">
        <v>1475</v>
      </c>
      <c r="E105" t="s">
        <v>1474</v>
      </c>
      <c r="F105">
        <v>551.36</v>
      </c>
      <c r="G105" t="s">
        <v>10</v>
      </c>
      <c r="H105" t="s">
        <v>9</v>
      </c>
      <c r="I105" s="10" t="s">
        <v>8</v>
      </c>
      <c r="J105">
        <v>15.06</v>
      </c>
      <c r="K105" s="10">
        <f t="shared" si="1"/>
        <v>6.6401062416998669E-2</v>
      </c>
    </row>
    <row r="106" spans="1:11" x14ac:dyDescent="0.35">
      <c r="A106" t="s">
        <v>15</v>
      </c>
      <c r="B106" s="3">
        <v>45621</v>
      </c>
      <c r="C106" t="s">
        <v>1473</v>
      </c>
      <c r="D106" t="s">
        <v>134</v>
      </c>
      <c r="E106" t="s">
        <v>1472</v>
      </c>
      <c r="F106">
        <v>540</v>
      </c>
      <c r="G106" t="s">
        <v>10</v>
      </c>
      <c r="H106" t="s">
        <v>22</v>
      </c>
      <c r="I106" s="10" t="s">
        <v>8</v>
      </c>
      <c r="J106">
        <v>25.77</v>
      </c>
      <c r="K106" s="10">
        <f t="shared" si="1"/>
        <v>3.8804811796662786E-2</v>
      </c>
    </row>
    <row r="107" spans="1:11" x14ac:dyDescent="0.35">
      <c r="A107" t="s">
        <v>15</v>
      </c>
      <c r="B107" s="3">
        <v>45825</v>
      </c>
      <c r="C107" t="s">
        <v>1471</v>
      </c>
      <c r="D107" t="s">
        <v>288</v>
      </c>
      <c r="E107" t="s">
        <v>122</v>
      </c>
      <c r="F107">
        <v>538.88</v>
      </c>
      <c r="G107" t="s">
        <v>10</v>
      </c>
      <c r="H107" t="s">
        <v>9</v>
      </c>
      <c r="I107" s="10" t="s">
        <v>8</v>
      </c>
      <c r="J107">
        <v>27.35</v>
      </c>
      <c r="K107" s="10">
        <f t="shared" si="1"/>
        <v>3.6563071297989032E-2</v>
      </c>
    </row>
    <row r="108" spans="1:11" x14ac:dyDescent="0.35">
      <c r="A108" t="s">
        <v>15</v>
      </c>
      <c r="B108" s="3">
        <v>45586</v>
      </c>
      <c r="C108" t="s">
        <v>1470</v>
      </c>
      <c r="D108" t="s">
        <v>491</v>
      </c>
      <c r="E108" t="s">
        <v>1469</v>
      </c>
      <c r="F108">
        <v>535</v>
      </c>
      <c r="G108" t="s">
        <v>10</v>
      </c>
      <c r="H108" t="s">
        <v>22</v>
      </c>
      <c r="I108" s="10" t="s">
        <v>8</v>
      </c>
      <c r="J108">
        <v>24.7</v>
      </c>
      <c r="K108" s="10">
        <f t="shared" si="1"/>
        <v>4.048582995951417E-2</v>
      </c>
    </row>
    <row r="109" spans="1:11" x14ac:dyDescent="0.35">
      <c r="A109" t="s">
        <v>15</v>
      </c>
      <c r="B109" s="3">
        <v>45859</v>
      </c>
      <c r="C109" t="s">
        <v>1468</v>
      </c>
      <c r="D109" t="s">
        <v>143</v>
      </c>
      <c r="E109" t="s">
        <v>328</v>
      </c>
      <c r="F109">
        <v>530.33000000000004</v>
      </c>
      <c r="G109" t="s">
        <v>10</v>
      </c>
      <c r="H109" t="s">
        <v>22</v>
      </c>
      <c r="I109" s="10" t="s">
        <v>8</v>
      </c>
      <c r="J109">
        <v>31.13</v>
      </c>
      <c r="K109" s="10">
        <f t="shared" si="1"/>
        <v>3.2123353678123995E-2</v>
      </c>
    </row>
    <row r="110" spans="1:11" x14ac:dyDescent="0.35">
      <c r="A110" t="s">
        <v>15</v>
      </c>
      <c r="B110" s="3">
        <v>45646</v>
      </c>
      <c r="C110" t="s">
        <v>1467</v>
      </c>
      <c r="D110" t="s">
        <v>864</v>
      </c>
      <c r="F110">
        <v>500</v>
      </c>
      <c r="G110" t="s">
        <v>10</v>
      </c>
      <c r="H110" t="s">
        <v>9</v>
      </c>
      <c r="I110" s="10" t="s">
        <v>8</v>
      </c>
      <c r="J110">
        <v>12.57</v>
      </c>
      <c r="K110" s="10">
        <f t="shared" si="1"/>
        <v>7.9554494828957836E-2</v>
      </c>
    </row>
    <row r="111" spans="1:11" x14ac:dyDescent="0.35">
      <c r="A111" t="s">
        <v>15</v>
      </c>
      <c r="B111" s="3">
        <v>45910</v>
      </c>
      <c r="C111" t="s">
        <v>1466</v>
      </c>
      <c r="D111" t="s">
        <v>1465</v>
      </c>
      <c r="E111" t="s">
        <v>1464</v>
      </c>
      <c r="F111">
        <v>500</v>
      </c>
      <c r="G111" t="s">
        <v>10</v>
      </c>
      <c r="H111" t="s">
        <v>9</v>
      </c>
      <c r="I111" s="10" t="s">
        <v>8</v>
      </c>
      <c r="J111">
        <v>13.71</v>
      </c>
      <c r="K111" s="10">
        <f t="shared" si="1"/>
        <v>7.2939460247994164E-2</v>
      </c>
    </row>
    <row r="112" spans="1:11" x14ac:dyDescent="0.35">
      <c r="A112" t="s">
        <v>15</v>
      </c>
      <c r="B112" s="3">
        <v>45762</v>
      </c>
      <c r="C112" t="s">
        <v>1463</v>
      </c>
      <c r="D112" t="s">
        <v>199</v>
      </c>
      <c r="F112">
        <v>497.44</v>
      </c>
      <c r="G112" t="s">
        <v>10</v>
      </c>
      <c r="H112" t="s">
        <v>22</v>
      </c>
      <c r="I112" s="10">
        <v>15</v>
      </c>
      <c r="J112">
        <v>64.92</v>
      </c>
      <c r="K112" s="10">
        <f t="shared" si="1"/>
        <v>1.5403573629081947E-2</v>
      </c>
    </row>
    <row r="113" spans="1:11" x14ac:dyDescent="0.35">
      <c r="A113" t="s">
        <v>15</v>
      </c>
      <c r="B113" s="3">
        <v>45805</v>
      </c>
      <c r="C113" t="s">
        <v>1462</v>
      </c>
      <c r="D113" t="s">
        <v>28</v>
      </c>
      <c r="E113" t="s">
        <v>1461</v>
      </c>
      <c r="F113">
        <v>463.05</v>
      </c>
      <c r="G113" t="s">
        <v>10</v>
      </c>
      <c r="H113" t="s">
        <v>9</v>
      </c>
      <c r="I113" s="10" t="s">
        <v>8</v>
      </c>
      <c r="J113" t="s">
        <v>8</v>
      </c>
      <c r="K113" s="10" t="e">
        <f t="shared" si="1"/>
        <v>#VALUE!</v>
      </c>
    </row>
    <row r="114" spans="1:11" x14ac:dyDescent="0.35">
      <c r="A114" t="s">
        <v>15</v>
      </c>
      <c r="B114" s="3">
        <v>45559</v>
      </c>
      <c r="C114" t="s">
        <v>1460</v>
      </c>
      <c r="D114" t="s">
        <v>235</v>
      </c>
      <c r="E114" t="s">
        <v>1459</v>
      </c>
      <c r="F114">
        <v>450</v>
      </c>
      <c r="G114" t="s">
        <v>10</v>
      </c>
      <c r="H114" t="s">
        <v>9</v>
      </c>
      <c r="I114" s="10" t="s">
        <v>8</v>
      </c>
      <c r="J114">
        <v>13.71</v>
      </c>
      <c r="K114" s="10">
        <f t="shared" si="1"/>
        <v>7.2939460247994164E-2</v>
      </c>
    </row>
    <row r="115" spans="1:11" x14ac:dyDescent="0.35">
      <c r="A115" t="s">
        <v>15</v>
      </c>
      <c r="B115" s="3">
        <v>45729</v>
      </c>
      <c r="C115" t="s">
        <v>1458</v>
      </c>
      <c r="D115" t="s">
        <v>514</v>
      </c>
      <c r="F115">
        <v>448.62</v>
      </c>
      <c r="G115" t="s">
        <v>10</v>
      </c>
      <c r="H115" t="s">
        <v>9</v>
      </c>
      <c r="I115" s="10" t="s">
        <v>8</v>
      </c>
      <c r="J115">
        <v>15.81</v>
      </c>
      <c r="K115" s="10">
        <f t="shared" si="1"/>
        <v>6.3251106894370648E-2</v>
      </c>
    </row>
    <row r="116" spans="1:11" x14ac:dyDescent="0.35">
      <c r="A116" t="s">
        <v>15</v>
      </c>
      <c r="B116" s="3">
        <v>45673</v>
      </c>
      <c r="C116" t="s">
        <v>1457</v>
      </c>
      <c r="D116" t="s">
        <v>1456</v>
      </c>
      <c r="F116">
        <v>423.62</v>
      </c>
      <c r="G116" t="s">
        <v>10</v>
      </c>
      <c r="H116" t="s">
        <v>22</v>
      </c>
      <c r="I116" s="10">
        <v>9.4499999999999993</v>
      </c>
      <c r="J116">
        <v>15.66</v>
      </c>
      <c r="K116" s="10">
        <f t="shared" si="1"/>
        <v>6.3856960408684549E-2</v>
      </c>
    </row>
    <row r="117" spans="1:11" x14ac:dyDescent="0.35">
      <c r="A117" t="s">
        <v>15</v>
      </c>
      <c r="B117" s="3">
        <v>45636</v>
      </c>
      <c r="C117" t="s">
        <v>1455</v>
      </c>
      <c r="D117" t="s">
        <v>1454</v>
      </c>
      <c r="F117">
        <v>412.57</v>
      </c>
      <c r="G117" t="s">
        <v>10</v>
      </c>
      <c r="H117" t="s">
        <v>33</v>
      </c>
      <c r="I117" s="10">
        <v>2.46</v>
      </c>
      <c r="J117">
        <v>5.6</v>
      </c>
      <c r="K117" s="10">
        <f t="shared" si="1"/>
        <v>0.17857142857142858</v>
      </c>
    </row>
    <row r="118" spans="1:11" x14ac:dyDescent="0.35">
      <c r="A118" t="s">
        <v>15</v>
      </c>
      <c r="B118" s="3">
        <v>45895</v>
      </c>
      <c r="C118" t="s">
        <v>1453</v>
      </c>
      <c r="D118" t="s">
        <v>1452</v>
      </c>
      <c r="E118" t="s">
        <v>1451</v>
      </c>
      <c r="F118">
        <v>410</v>
      </c>
      <c r="G118" t="s">
        <v>10</v>
      </c>
      <c r="H118" t="s">
        <v>9</v>
      </c>
      <c r="I118" s="10" t="s">
        <v>8</v>
      </c>
      <c r="J118">
        <v>12.85</v>
      </c>
      <c r="K118" s="10">
        <f t="shared" si="1"/>
        <v>7.7821011673151752E-2</v>
      </c>
    </row>
    <row r="119" spans="1:11" x14ac:dyDescent="0.35">
      <c r="A119" t="s">
        <v>15</v>
      </c>
      <c r="B119" s="3">
        <v>45826</v>
      </c>
      <c r="C119" t="s">
        <v>1450</v>
      </c>
      <c r="D119" t="s">
        <v>1449</v>
      </c>
      <c r="F119">
        <v>405.6</v>
      </c>
      <c r="G119" t="s">
        <v>10</v>
      </c>
      <c r="H119" t="s">
        <v>9</v>
      </c>
      <c r="I119" s="10">
        <v>3.61</v>
      </c>
      <c r="J119">
        <v>5.4</v>
      </c>
      <c r="K119" s="10">
        <f t="shared" si="1"/>
        <v>0.18518518518518517</v>
      </c>
    </row>
    <row r="120" spans="1:11" x14ac:dyDescent="0.35">
      <c r="A120" t="s">
        <v>15</v>
      </c>
      <c r="B120" s="3">
        <v>45664</v>
      </c>
      <c r="C120" t="s">
        <v>1448</v>
      </c>
      <c r="D120" t="s">
        <v>45</v>
      </c>
      <c r="F120">
        <v>394</v>
      </c>
      <c r="G120" t="s">
        <v>10</v>
      </c>
      <c r="H120" t="s">
        <v>142</v>
      </c>
      <c r="I120" s="10">
        <v>4.67</v>
      </c>
      <c r="J120">
        <v>9.31</v>
      </c>
      <c r="K120" s="10">
        <f t="shared" si="1"/>
        <v>0.10741138560687433</v>
      </c>
    </row>
    <row r="121" spans="1:11" x14ac:dyDescent="0.35">
      <c r="A121" t="s">
        <v>15</v>
      </c>
      <c r="B121" s="3">
        <v>45875</v>
      </c>
      <c r="C121" t="s">
        <v>1447</v>
      </c>
      <c r="D121" t="s">
        <v>13</v>
      </c>
      <c r="F121">
        <v>377.13</v>
      </c>
      <c r="G121" t="s">
        <v>10</v>
      </c>
      <c r="H121" t="s">
        <v>9</v>
      </c>
      <c r="I121" s="10">
        <v>11.17</v>
      </c>
      <c r="J121">
        <v>27.42</v>
      </c>
      <c r="K121" s="10">
        <f t="shared" si="1"/>
        <v>3.6469730123997082E-2</v>
      </c>
    </row>
    <row r="122" spans="1:11" x14ac:dyDescent="0.35">
      <c r="A122" t="s">
        <v>15</v>
      </c>
      <c r="B122" s="3">
        <v>45649</v>
      </c>
      <c r="C122" t="s">
        <v>1446</v>
      </c>
      <c r="D122" t="s">
        <v>1445</v>
      </c>
      <c r="F122">
        <v>367.03</v>
      </c>
      <c r="G122" t="s">
        <v>10</v>
      </c>
      <c r="H122" t="s">
        <v>9</v>
      </c>
      <c r="I122" s="10" t="s">
        <v>8</v>
      </c>
      <c r="J122">
        <v>16.98</v>
      </c>
      <c r="K122" s="10">
        <f t="shared" si="1"/>
        <v>5.8892815076560655E-2</v>
      </c>
    </row>
    <row r="123" spans="1:11" x14ac:dyDescent="0.35">
      <c r="A123" t="s">
        <v>15</v>
      </c>
      <c r="B123" s="3">
        <v>45552</v>
      </c>
      <c r="C123" t="s">
        <v>1444</v>
      </c>
      <c r="D123" t="s">
        <v>128</v>
      </c>
      <c r="F123">
        <v>366.21</v>
      </c>
      <c r="G123" t="s">
        <v>10</v>
      </c>
      <c r="H123" t="s">
        <v>22</v>
      </c>
      <c r="I123" s="10">
        <v>7.89</v>
      </c>
      <c r="J123">
        <v>11.35</v>
      </c>
      <c r="K123" s="10">
        <f t="shared" si="1"/>
        <v>8.8105726872246701E-2</v>
      </c>
    </row>
    <row r="124" spans="1:11" x14ac:dyDescent="0.35">
      <c r="A124" t="s">
        <v>15</v>
      </c>
      <c r="B124" s="3">
        <v>45748</v>
      </c>
      <c r="C124" t="s">
        <v>1443</v>
      </c>
      <c r="D124" t="s">
        <v>1442</v>
      </c>
      <c r="F124">
        <v>363.41</v>
      </c>
      <c r="G124" t="s">
        <v>10</v>
      </c>
      <c r="H124" t="s">
        <v>22</v>
      </c>
      <c r="I124" s="10">
        <v>166.79</v>
      </c>
      <c r="J124">
        <v>323.69</v>
      </c>
      <c r="K124" s="10">
        <f t="shared" si="1"/>
        <v>3.0893756371837252E-3</v>
      </c>
    </row>
    <row r="125" spans="1:11" x14ac:dyDescent="0.35">
      <c r="A125" t="s">
        <v>15</v>
      </c>
      <c r="B125" s="3">
        <v>45877</v>
      </c>
      <c r="C125" t="s">
        <v>1441</v>
      </c>
      <c r="D125" t="s">
        <v>539</v>
      </c>
      <c r="F125">
        <v>340.74</v>
      </c>
      <c r="G125" t="s">
        <v>10</v>
      </c>
      <c r="H125" t="s">
        <v>9</v>
      </c>
      <c r="I125" s="10">
        <v>9.57</v>
      </c>
      <c r="J125">
        <v>47.1</v>
      </c>
      <c r="K125" s="10">
        <f t="shared" si="1"/>
        <v>2.1231422505307854E-2</v>
      </c>
    </row>
    <row r="126" spans="1:11" x14ac:dyDescent="0.35">
      <c r="A126" t="s">
        <v>15</v>
      </c>
      <c r="B126" s="3">
        <v>45637</v>
      </c>
      <c r="C126" t="s">
        <v>1440</v>
      </c>
      <c r="D126" t="s">
        <v>1439</v>
      </c>
      <c r="F126">
        <v>339.63</v>
      </c>
      <c r="G126" t="s">
        <v>10</v>
      </c>
      <c r="H126" t="s">
        <v>22</v>
      </c>
      <c r="I126" s="10">
        <v>24.42</v>
      </c>
      <c r="J126">
        <v>72.11</v>
      </c>
      <c r="K126" s="10">
        <f t="shared" si="1"/>
        <v>1.3867702121758425E-2</v>
      </c>
    </row>
    <row r="127" spans="1:11" x14ac:dyDescent="0.35">
      <c r="A127" t="s">
        <v>15</v>
      </c>
      <c r="B127" s="3">
        <v>45821</v>
      </c>
      <c r="C127" t="s">
        <v>1436</v>
      </c>
      <c r="D127" t="s">
        <v>668</v>
      </c>
      <c r="F127">
        <v>334.9</v>
      </c>
      <c r="G127" t="s">
        <v>10</v>
      </c>
      <c r="H127" t="s">
        <v>9</v>
      </c>
      <c r="I127" s="10">
        <v>5.96</v>
      </c>
      <c r="J127">
        <v>8.08</v>
      </c>
      <c r="K127" s="10">
        <f t="shared" si="1"/>
        <v>0.12376237623762376</v>
      </c>
    </row>
    <row r="128" spans="1:11" x14ac:dyDescent="0.35">
      <c r="A128" t="s">
        <v>15</v>
      </c>
      <c r="B128" s="3">
        <v>45786</v>
      </c>
      <c r="C128" t="s">
        <v>1438</v>
      </c>
      <c r="D128" t="s">
        <v>28</v>
      </c>
      <c r="E128" t="s">
        <v>1428</v>
      </c>
      <c r="F128">
        <v>330</v>
      </c>
      <c r="G128" t="s">
        <v>10</v>
      </c>
      <c r="H128" t="s">
        <v>9</v>
      </c>
      <c r="I128" s="10" t="s">
        <v>8</v>
      </c>
      <c r="J128" t="s">
        <v>8</v>
      </c>
      <c r="K128" s="10" t="e">
        <f t="shared" si="1"/>
        <v>#VALUE!</v>
      </c>
    </row>
    <row r="129" spans="1:11" x14ac:dyDescent="0.35">
      <c r="A129" t="s">
        <v>15</v>
      </c>
      <c r="B129" s="3">
        <v>45757</v>
      </c>
      <c r="C129" t="s">
        <v>1437</v>
      </c>
      <c r="D129" t="s">
        <v>1184</v>
      </c>
      <c r="F129">
        <v>327.10000000000002</v>
      </c>
      <c r="G129" t="s">
        <v>10</v>
      </c>
      <c r="H129" t="s">
        <v>22</v>
      </c>
      <c r="I129" s="10" t="s">
        <v>8</v>
      </c>
      <c r="J129">
        <v>19.3</v>
      </c>
      <c r="K129" s="10">
        <f t="shared" si="1"/>
        <v>5.181347150259067E-2</v>
      </c>
    </row>
    <row r="130" spans="1:11" x14ac:dyDescent="0.35">
      <c r="A130" t="s">
        <v>15</v>
      </c>
      <c r="B130" s="3">
        <v>45797</v>
      </c>
      <c r="C130" t="s">
        <v>1436</v>
      </c>
      <c r="D130" t="s">
        <v>1435</v>
      </c>
      <c r="F130">
        <v>326.39</v>
      </c>
      <c r="G130" t="s">
        <v>10</v>
      </c>
      <c r="H130" t="s">
        <v>142</v>
      </c>
      <c r="I130" s="10" t="s">
        <v>8</v>
      </c>
      <c r="J130">
        <v>20.97</v>
      </c>
      <c r="K130" s="10">
        <f t="shared" si="1"/>
        <v>4.7687172150691466E-2</v>
      </c>
    </row>
    <row r="131" spans="1:11" x14ac:dyDescent="0.35">
      <c r="A131" t="s">
        <v>15</v>
      </c>
      <c r="B131" s="3">
        <v>45709</v>
      </c>
      <c r="C131" t="s">
        <v>1434</v>
      </c>
      <c r="D131" t="s">
        <v>1433</v>
      </c>
      <c r="F131">
        <v>323.54000000000002</v>
      </c>
      <c r="G131" t="s">
        <v>10</v>
      </c>
      <c r="H131" t="s">
        <v>22</v>
      </c>
      <c r="I131" s="10" t="s">
        <v>8</v>
      </c>
      <c r="J131">
        <v>121.32</v>
      </c>
      <c r="K131" s="10">
        <f t="shared" ref="K131:K194" si="2">1/J131</f>
        <v>8.2426640290141785E-3</v>
      </c>
    </row>
    <row r="132" spans="1:11" x14ac:dyDescent="0.35">
      <c r="A132" t="s">
        <v>15</v>
      </c>
      <c r="B132" s="3">
        <v>45611</v>
      </c>
      <c r="C132" t="s">
        <v>1432</v>
      </c>
      <c r="D132" t="s">
        <v>1431</v>
      </c>
      <c r="E132" t="s">
        <v>1430</v>
      </c>
      <c r="F132">
        <v>316.47000000000003</v>
      </c>
      <c r="G132" t="s">
        <v>10</v>
      </c>
      <c r="H132" t="s">
        <v>22</v>
      </c>
      <c r="I132" s="10" t="s">
        <v>8</v>
      </c>
      <c r="J132">
        <v>18.809999999999999</v>
      </c>
      <c r="K132" s="10">
        <f t="shared" si="2"/>
        <v>5.3163211057947905E-2</v>
      </c>
    </row>
    <row r="133" spans="1:11" x14ac:dyDescent="0.35">
      <c r="A133" t="s">
        <v>15</v>
      </c>
      <c r="B133" s="3">
        <v>45839</v>
      </c>
      <c r="C133" t="s">
        <v>1429</v>
      </c>
      <c r="D133" t="s">
        <v>28</v>
      </c>
      <c r="E133" t="s">
        <v>1428</v>
      </c>
      <c r="F133">
        <v>292.8</v>
      </c>
      <c r="G133" t="s">
        <v>10</v>
      </c>
      <c r="H133" t="s">
        <v>22</v>
      </c>
      <c r="I133" s="10" t="s">
        <v>8</v>
      </c>
      <c r="J133">
        <v>13.64</v>
      </c>
      <c r="K133" s="10">
        <f t="shared" si="2"/>
        <v>7.3313782991202336E-2</v>
      </c>
    </row>
    <row r="134" spans="1:11" x14ac:dyDescent="0.35">
      <c r="A134" t="s">
        <v>15</v>
      </c>
      <c r="B134" s="3">
        <v>45883</v>
      </c>
      <c r="C134" t="s">
        <v>1427</v>
      </c>
      <c r="D134" t="s">
        <v>128</v>
      </c>
      <c r="F134">
        <v>269.73</v>
      </c>
      <c r="G134" t="s">
        <v>10</v>
      </c>
      <c r="H134" t="s">
        <v>9</v>
      </c>
      <c r="I134" s="10">
        <v>17.25</v>
      </c>
      <c r="J134">
        <v>23.21</v>
      </c>
      <c r="K134" s="10">
        <f t="shared" si="2"/>
        <v>4.3084877208099955E-2</v>
      </c>
    </row>
    <row r="135" spans="1:11" x14ac:dyDescent="0.35">
      <c r="A135" t="s">
        <v>15</v>
      </c>
      <c r="B135" s="3">
        <v>45834</v>
      </c>
      <c r="C135" t="s">
        <v>1426</v>
      </c>
      <c r="D135" t="s">
        <v>1425</v>
      </c>
      <c r="F135">
        <v>262.58999999999997</v>
      </c>
      <c r="G135" t="s">
        <v>10</v>
      </c>
      <c r="H135" t="s">
        <v>9</v>
      </c>
      <c r="I135" s="10">
        <v>7.82</v>
      </c>
      <c r="J135">
        <v>10.89</v>
      </c>
      <c r="K135" s="10">
        <f t="shared" si="2"/>
        <v>9.1827364554637275E-2</v>
      </c>
    </row>
    <row r="136" spans="1:11" x14ac:dyDescent="0.35">
      <c r="A136" t="s">
        <v>15</v>
      </c>
      <c r="B136" s="3">
        <v>45608</v>
      </c>
      <c r="C136" t="s">
        <v>1424</v>
      </c>
      <c r="D136" t="s">
        <v>514</v>
      </c>
      <c r="E136" t="s">
        <v>1423</v>
      </c>
      <c r="F136">
        <v>250</v>
      </c>
      <c r="G136" t="s">
        <v>10</v>
      </c>
      <c r="H136" t="s">
        <v>22</v>
      </c>
      <c r="I136" s="10" t="s">
        <v>8</v>
      </c>
      <c r="K136" s="10" t="e">
        <f t="shared" si="2"/>
        <v>#DIV/0!</v>
      </c>
    </row>
    <row r="137" spans="1:11" x14ac:dyDescent="0.35">
      <c r="A137" t="s">
        <v>15</v>
      </c>
      <c r="B137" s="3">
        <v>45660</v>
      </c>
      <c r="C137" t="s">
        <v>1422</v>
      </c>
      <c r="D137" t="s">
        <v>1421</v>
      </c>
      <c r="E137" t="s">
        <v>1420</v>
      </c>
      <c r="F137">
        <v>250</v>
      </c>
      <c r="G137" t="s">
        <v>10</v>
      </c>
      <c r="H137" t="s">
        <v>22</v>
      </c>
      <c r="I137" s="10" t="s">
        <v>8</v>
      </c>
      <c r="J137">
        <v>63.6</v>
      </c>
      <c r="K137" s="10">
        <f t="shared" si="2"/>
        <v>1.5723270440251572E-2</v>
      </c>
    </row>
    <row r="138" spans="1:11" x14ac:dyDescent="0.35">
      <c r="A138" t="s">
        <v>15</v>
      </c>
      <c r="B138" s="3">
        <v>45701</v>
      </c>
      <c r="C138" t="s">
        <v>1419</v>
      </c>
      <c r="D138" t="s">
        <v>255</v>
      </c>
      <c r="F138">
        <v>239.03</v>
      </c>
      <c r="G138" t="s">
        <v>10</v>
      </c>
      <c r="H138" t="s">
        <v>22</v>
      </c>
      <c r="I138" s="10">
        <v>62.07</v>
      </c>
      <c r="J138">
        <v>70.02</v>
      </c>
      <c r="K138" s="10">
        <f t="shared" si="2"/>
        <v>1.4281633818908884E-2</v>
      </c>
    </row>
    <row r="139" spans="1:11" x14ac:dyDescent="0.35">
      <c r="A139" t="s">
        <v>15</v>
      </c>
      <c r="B139" s="3">
        <v>45581</v>
      </c>
      <c r="C139" t="s">
        <v>1418</v>
      </c>
      <c r="D139" t="s">
        <v>206</v>
      </c>
      <c r="F139">
        <v>221.57</v>
      </c>
      <c r="G139" t="s">
        <v>10</v>
      </c>
      <c r="H139" t="s">
        <v>142</v>
      </c>
      <c r="I139" s="10">
        <v>1.91</v>
      </c>
      <c r="J139">
        <v>2.86</v>
      </c>
      <c r="K139" s="10">
        <f t="shared" si="2"/>
        <v>0.34965034965034969</v>
      </c>
    </row>
    <row r="140" spans="1:11" x14ac:dyDescent="0.35">
      <c r="A140" t="s">
        <v>15</v>
      </c>
      <c r="B140" s="3">
        <v>45762</v>
      </c>
      <c r="C140" t="s">
        <v>1417</v>
      </c>
      <c r="D140" t="s">
        <v>1416</v>
      </c>
      <c r="E140" t="s">
        <v>1415</v>
      </c>
      <c r="F140">
        <v>210.09</v>
      </c>
      <c r="G140" t="s">
        <v>10</v>
      </c>
      <c r="H140" t="s">
        <v>33</v>
      </c>
      <c r="I140" s="10" t="s">
        <v>8</v>
      </c>
      <c r="J140">
        <v>88.86</v>
      </c>
      <c r="K140" s="10">
        <f t="shared" si="2"/>
        <v>1.1253657438667568E-2</v>
      </c>
    </row>
    <row r="141" spans="1:11" x14ac:dyDescent="0.35">
      <c r="A141" t="s">
        <v>15</v>
      </c>
      <c r="B141" s="3">
        <v>45650</v>
      </c>
      <c r="C141" t="s">
        <v>1414</v>
      </c>
      <c r="D141" t="s">
        <v>1413</v>
      </c>
      <c r="E141" t="s">
        <v>1412</v>
      </c>
      <c r="F141">
        <v>207.51</v>
      </c>
      <c r="G141" t="s">
        <v>10</v>
      </c>
      <c r="H141" t="s">
        <v>22</v>
      </c>
      <c r="I141" s="10" t="s">
        <v>8</v>
      </c>
      <c r="J141">
        <v>47.88</v>
      </c>
      <c r="K141" s="10">
        <f t="shared" si="2"/>
        <v>2.0885547201336674E-2</v>
      </c>
    </row>
    <row r="142" spans="1:11" x14ac:dyDescent="0.35">
      <c r="A142" t="s">
        <v>15</v>
      </c>
      <c r="B142" s="3">
        <v>45783</v>
      </c>
      <c r="C142" t="s">
        <v>1411</v>
      </c>
      <c r="D142" t="s">
        <v>1410</v>
      </c>
      <c r="F142">
        <v>200</v>
      </c>
      <c r="G142" t="s">
        <v>10</v>
      </c>
      <c r="H142" t="s">
        <v>22</v>
      </c>
      <c r="I142" s="10" t="s">
        <v>8</v>
      </c>
      <c r="J142">
        <v>14.56</v>
      </c>
      <c r="K142" s="10">
        <f t="shared" si="2"/>
        <v>6.8681318681318673E-2</v>
      </c>
    </row>
    <row r="143" spans="1:11" x14ac:dyDescent="0.35">
      <c r="A143" t="s">
        <v>15</v>
      </c>
      <c r="B143" s="3">
        <v>45808</v>
      </c>
      <c r="C143" t="s">
        <v>1409</v>
      </c>
      <c r="D143" t="s">
        <v>1064</v>
      </c>
      <c r="E143" t="s">
        <v>1408</v>
      </c>
      <c r="F143">
        <v>200</v>
      </c>
      <c r="G143" t="s">
        <v>10</v>
      </c>
      <c r="H143" t="s">
        <v>22</v>
      </c>
      <c r="I143" s="10" t="s">
        <v>8</v>
      </c>
      <c r="J143">
        <v>8.85</v>
      </c>
      <c r="K143" s="10">
        <f t="shared" si="2"/>
        <v>0.11299435028248588</v>
      </c>
    </row>
    <row r="144" spans="1:11" x14ac:dyDescent="0.35">
      <c r="A144" t="s">
        <v>15</v>
      </c>
      <c r="B144" s="3">
        <v>45555</v>
      </c>
      <c r="C144" t="s">
        <v>1407</v>
      </c>
      <c r="D144" t="s">
        <v>592</v>
      </c>
      <c r="E144" t="s">
        <v>1406</v>
      </c>
      <c r="F144">
        <v>194.56</v>
      </c>
      <c r="G144" t="s">
        <v>10</v>
      </c>
      <c r="H144" t="s">
        <v>22</v>
      </c>
      <c r="I144" s="10" t="s">
        <v>8</v>
      </c>
      <c r="J144">
        <v>12.3</v>
      </c>
      <c r="K144" s="10">
        <f t="shared" si="2"/>
        <v>8.1300813008130079E-2</v>
      </c>
    </row>
    <row r="145" spans="1:11" x14ac:dyDescent="0.35">
      <c r="A145" t="s">
        <v>15</v>
      </c>
      <c r="B145" s="3">
        <v>45763</v>
      </c>
      <c r="C145" t="s">
        <v>1405</v>
      </c>
      <c r="D145" t="s">
        <v>1404</v>
      </c>
      <c r="E145" t="s">
        <v>1403</v>
      </c>
      <c r="F145">
        <v>193.5</v>
      </c>
      <c r="G145" t="s">
        <v>10</v>
      </c>
      <c r="H145" t="s">
        <v>22</v>
      </c>
      <c r="I145" s="10" t="s">
        <v>8</v>
      </c>
      <c r="J145">
        <v>6.36</v>
      </c>
      <c r="K145" s="10">
        <f t="shared" si="2"/>
        <v>0.15723270440251572</v>
      </c>
    </row>
    <row r="146" spans="1:11" x14ac:dyDescent="0.35">
      <c r="A146" t="s">
        <v>15</v>
      </c>
      <c r="B146" s="3">
        <v>45671</v>
      </c>
      <c r="C146" t="s">
        <v>1402</v>
      </c>
      <c r="D146" t="s">
        <v>949</v>
      </c>
      <c r="F146">
        <v>169.8</v>
      </c>
      <c r="G146" t="s">
        <v>10</v>
      </c>
      <c r="H146" t="s">
        <v>22</v>
      </c>
      <c r="I146" s="10">
        <v>11.62</v>
      </c>
      <c r="J146">
        <v>20.28</v>
      </c>
      <c r="K146" s="10">
        <f t="shared" si="2"/>
        <v>4.9309664694280074E-2</v>
      </c>
    </row>
    <row r="147" spans="1:11" x14ac:dyDescent="0.35">
      <c r="A147" t="s">
        <v>15</v>
      </c>
      <c r="B147" s="3">
        <v>45830</v>
      </c>
      <c r="C147" t="s">
        <v>1401</v>
      </c>
      <c r="D147" t="s">
        <v>1400</v>
      </c>
      <c r="E147" t="s">
        <v>1399</v>
      </c>
      <c r="F147">
        <v>169.5</v>
      </c>
      <c r="G147" t="s">
        <v>10</v>
      </c>
      <c r="H147" t="s">
        <v>22</v>
      </c>
      <c r="I147" s="10" t="s">
        <v>8</v>
      </c>
      <c r="J147">
        <v>15.59</v>
      </c>
      <c r="K147" s="10">
        <f t="shared" si="2"/>
        <v>6.4143681847338041E-2</v>
      </c>
    </row>
    <row r="148" spans="1:11" x14ac:dyDescent="0.35">
      <c r="A148" t="s">
        <v>15</v>
      </c>
      <c r="B148" s="3">
        <v>45649</v>
      </c>
      <c r="C148" t="s">
        <v>1398</v>
      </c>
      <c r="D148" t="s">
        <v>255</v>
      </c>
      <c r="F148">
        <v>163.07</v>
      </c>
      <c r="G148" t="s">
        <v>10</v>
      </c>
      <c r="H148" t="s">
        <v>9</v>
      </c>
      <c r="I148" s="10">
        <v>17.579999999999998</v>
      </c>
      <c r="J148">
        <v>29.59</v>
      </c>
      <c r="K148" s="10">
        <f t="shared" si="2"/>
        <v>3.3795201081446437E-2</v>
      </c>
    </row>
    <row r="149" spans="1:11" x14ac:dyDescent="0.35">
      <c r="A149" t="s">
        <v>15</v>
      </c>
      <c r="B149" s="3">
        <v>45561</v>
      </c>
      <c r="C149" t="s">
        <v>1397</v>
      </c>
      <c r="D149" t="s">
        <v>1396</v>
      </c>
      <c r="E149" t="s">
        <v>1395</v>
      </c>
      <c r="F149">
        <v>159.58000000000001</v>
      </c>
      <c r="G149" t="s">
        <v>10</v>
      </c>
      <c r="H149" t="s">
        <v>22</v>
      </c>
      <c r="I149" s="10" t="s">
        <v>8</v>
      </c>
      <c r="J149">
        <v>21.89</v>
      </c>
      <c r="K149" s="10">
        <f t="shared" si="2"/>
        <v>4.5682960255824578E-2</v>
      </c>
    </row>
    <row r="150" spans="1:11" x14ac:dyDescent="0.35">
      <c r="A150" t="s">
        <v>15</v>
      </c>
      <c r="B150" s="3">
        <v>45873</v>
      </c>
      <c r="C150" t="s">
        <v>1394</v>
      </c>
      <c r="D150" t="s">
        <v>917</v>
      </c>
      <c r="E150" t="s">
        <v>1393</v>
      </c>
      <c r="F150">
        <v>145</v>
      </c>
      <c r="G150" t="s">
        <v>10</v>
      </c>
      <c r="H150" t="s">
        <v>22</v>
      </c>
      <c r="I150" s="10" t="s">
        <v>8</v>
      </c>
      <c r="J150">
        <v>12.3</v>
      </c>
      <c r="K150" s="10">
        <f t="shared" si="2"/>
        <v>8.1300813008130079E-2</v>
      </c>
    </row>
    <row r="151" spans="1:11" x14ac:dyDescent="0.35">
      <c r="A151" t="s">
        <v>15</v>
      </c>
      <c r="B151" s="3">
        <v>45623</v>
      </c>
      <c r="C151" t="s">
        <v>1392</v>
      </c>
      <c r="D151" t="s">
        <v>12</v>
      </c>
      <c r="E151" t="s">
        <v>1391</v>
      </c>
      <c r="F151">
        <v>143.74</v>
      </c>
      <c r="G151" t="s">
        <v>10</v>
      </c>
      <c r="H151" t="s">
        <v>9</v>
      </c>
      <c r="I151" s="10" t="s">
        <v>8</v>
      </c>
      <c r="J151">
        <v>6.21</v>
      </c>
      <c r="K151" s="10">
        <f t="shared" si="2"/>
        <v>0.1610305958132045</v>
      </c>
    </row>
    <row r="152" spans="1:11" x14ac:dyDescent="0.35">
      <c r="A152" t="s">
        <v>15</v>
      </c>
      <c r="B152" s="3">
        <v>45672</v>
      </c>
      <c r="C152" t="s">
        <v>1390</v>
      </c>
      <c r="D152" t="s">
        <v>1389</v>
      </c>
      <c r="E152" t="s">
        <v>1388</v>
      </c>
      <c r="F152">
        <v>143</v>
      </c>
      <c r="G152" t="s">
        <v>10</v>
      </c>
      <c r="H152" t="s">
        <v>9</v>
      </c>
      <c r="I152" s="10" t="s">
        <v>8</v>
      </c>
      <c r="J152" t="s">
        <v>8</v>
      </c>
      <c r="K152" s="10" t="e">
        <f t="shared" si="2"/>
        <v>#VALUE!</v>
      </c>
    </row>
    <row r="153" spans="1:11" x14ac:dyDescent="0.35">
      <c r="A153" t="s">
        <v>15</v>
      </c>
      <c r="B153" s="3">
        <v>45706</v>
      </c>
      <c r="C153" t="s">
        <v>1387</v>
      </c>
      <c r="D153" t="s">
        <v>217</v>
      </c>
      <c r="E153" t="s">
        <v>1386</v>
      </c>
      <c r="F153">
        <v>140</v>
      </c>
      <c r="G153" t="s">
        <v>10</v>
      </c>
      <c r="H153" t="s">
        <v>22</v>
      </c>
      <c r="I153" s="10" t="s">
        <v>8</v>
      </c>
      <c r="J153">
        <v>19.600000000000001</v>
      </c>
      <c r="K153" s="10">
        <f t="shared" si="2"/>
        <v>5.10204081632653E-2</v>
      </c>
    </row>
    <row r="154" spans="1:11" x14ac:dyDescent="0.35">
      <c r="A154" t="s">
        <v>15</v>
      </c>
      <c r="B154" s="3">
        <v>45895</v>
      </c>
      <c r="C154" t="s">
        <v>1385</v>
      </c>
      <c r="D154" t="s">
        <v>255</v>
      </c>
      <c r="E154" t="s">
        <v>1384</v>
      </c>
      <c r="F154">
        <v>135</v>
      </c>
      <c r="G154" t="s">
        <v>10</v>
      </c>
      <c r="H154" t="s">
        <v>9</v>
      </c>
      <c r="I154" s="10" t="s">
        <v>8</v>
      </c>
      <c r="J154">
        <v>47.88</v>
      </c>
      <c r="K154" s="10">
        <f t="shared" si="2"/>
        <v>2.0885547201336674E-2</v>
      </c>
    </row>
    <row r="155" spans="1:11" x14ac:dyDescent="0.35">
      <c r="A155" t="s">
        <v>15</v>
      </c>
      <c r="B155" s="3">
        <v>45657</v>
      </c>
      <c r="C155" t="s">
        <v>1383</v>
      </c>
      <c r="D155" t="s">
        <v>28</v>
      </c>
      <c r="F155">
        <v>132.99</v>
      </c>
      <c r="G155" t="s">
        <v>10</v>
      </c>
      <c r="H155" t="s">
        <v>22</v>
      </c>
      <c r="I155" s="10">
        <v>9.59</v>
      </c>
      <c r="J155">
        <v>12.86</v>
      </c>
      <c r="K155" s="10">
        <f t="shared" si="2"/>
        <v>7.7760497667185069E-2</v>
      </c>
    </row>
    <row r="156" spans="1:11" x14ac:dyDescent="0.35">
      <c r="A156" t="s">
        <v>15</v>
      </c>
      <c r="B156" s="3">
        <v>45840</v>
      </c>
      <c r="C156" t="s">
        <v>1382</v>
      </c>
      <c r="D156" t="s">
        <v>1381</v>
      </c>
      <c r="E156" t="s">
        <v>1380</v>
      </c>
      <c r="F156">
        <v>129.01</v>
      </c>
      <c r="G156" t="s">
        <v>10</v>
      </c>
      <c r="H156" t="s">
        <v>22</v>
      </c>
      <c r="I156" s="10">
        <v>4.79</v>
      </c>
      <c r="J156">
        <v>7.13</v>
      </c>
      <c r="K156" s="10">
        <f t="shared" si="2"/>
        <v>0.14025245441795231</v>
      </c>
    </row>
    <row r="157" spans="1:11" x14ac:dyDescent="0.35">
      <c r="A157" t="s">
        <v>15</v>
      </c>
      <c r="B157" s="3">
        <v>45835</v>
      </c>
      <c r="C157" t="s">
        <v>1379</v>
      </c>
      <c r="D157" t="s">
        <v>1378</v>
      </c>
      <c r="E157" t="s">
        <v>1377</v>
      </c>
      <c r="F157">
        <v>117.8</v>
      </c>
      <c r="G157" t="s">
        <v>10</v>
      </c>
      <c r="H157" t="s">
        <v>22</v>
      </c>
      <c r="I157" s="10" t="s">
        <v>8</v>
      </c>
      <c r="J157" t="s">
        <v>8</v>
      </c>
      <c r="K157" s="10" t="e">
        <f t="shared" si="2"/>
        <v>#VALUE!</v>
      </c>
    </row>
    <row r="158" spans="1:11" x14ac:dyDescent="0.35">
      <c r="A158" t="s">
        <v>15</v>
      </c>
      <c r="B158" s="3">
        <v>45860</v>
      </c>
      <c r="C158" t="s">
        <v>1376</v>
      </c>
      <c r="D158" t="s">
        <v>1375</v>
      </c>
      <c r="E158" t="s">
        <v>673</v>
      </c>
      <c r="F158">
        <v>110</v>
      </c>
      <c r="G158" t="s">
        <v>10</v>
      </c>
      <c r="H158" t="s">
        <v>9</v>
      </c>
      <c r="I158" s="10" t="s">
        <v>8</v>
      </c>
      <c r="J158">
        <v>1.69</v>
      </c>
      <c r="K158" s="10">
        <f t="shared" si="2"/>
        <v>0.59171597633136097</v>
      </c>
    </row>
    <row r="159" spans="1:11" x14ac:dyDescent="0.35">
      <c r="A159" t="s">
        <v>15</v>
      </c>
      <c r="B159" s="3">
        <v>45756</v>
      </c>
      <c r="C159" t="s">
        <v>1374</v>
      </c>
      <c r="D159" t="s">
        <v>1373</v>
      </c>
      <c r="F159">
        <v>105.65</v>
      </c>
      <c r="G159" t="s">
        <v>10</v>
      </c>
      <c r="H159" t="s">
        <v>22</v>
      </c>
      <c r="I159" s="10">
        <v>7.77</v>
      </c>
      <c r="J159">
        <v>7.78</v>
      </c>
      <c r="K159" s="10">
        <f t="shared" si="2"/>
        <v>0.12853470437017994</v>
      </c>
    </row>
    <row r="160" spans="1:11" x14ac:dyDescent="0.35">
      <c r="A160" t="s">
        <v>15</v>
      </c>
      <c r="B160" s="3">
        <v>45587</v>
      </c>
      <c r="C160" t="s">
        <v>1372</v>
      </c>
      <c r="D160" t="s">
        <v>1371</v>
      </c>
      <c r="E160" t="s">
        <v>1370</v>
      </c>
      <c r="F160">
        <v>104</v>
      </c>
      <c r="G160" t="s">
        <v>10</v>
      </c>
      <c r="H160" t="s">
        <v>22</v>
      </c>
      <c r="I160" s="10" t="s">
        <v>8</v>
      </c>
      <c r="J160">
        <v>375.39</v>
      </c>
      <c r="K160" s="10">
        <f t="shared" si="2"/>
        <v>2.6638962146034793E-3</v>
      </c>
    </row>
    <row r="161" spans="1:11" x14ac:dyDescent="0.35">
      <c r="A161" t="s">
        <v>15</v>
      </c>
      <c r="B161" s="3">
        <v>45842</v>
      </c>
      <c r="C161" t="s">
        <v>1369</v>
      </c>
      <c r="D161" t="s">
        <v>1368</v>
      </c>
      <c r="F161">
        <v>102.18</v>
      </c>
      <c r="G161" t="s">
        <v>10</v>
      </c>
      <c r="H161" t="s">
        <v>22</v>
      </c>
      <c r="I161" s="10">
        <v>36.520000000000003</v>
      </c>
      <c r="J161">
        <v>26.06</v>
      </c>
      <c r="K161" s="10">
        <f t="shared" si="2"/>
        <v>3.8372985418265546E-2</v>
      </c>
    </row>
    <row r="162" spans="1:11" x14ac:dyDescent="0.35">
      <c r="A162" t="s">
        <v>15</v>
      </c>
      <c r="B162" s="3">
        <v>45798</v>
      </c>
      <c r="C162" t="s">
        <v>1367</v>
      </c>
      <c r="D162" t="s">
        <v>105</v>
      </c>
      <c r="F162">
        <v>84.76</v>
      </c>
      <c r="G162" t="s">
        <v>10</v>
      </c>
      <c r="H162" t="s">
        <v>22</v>
      </c>
      <c r="I162" s="10">
        <v>4.99</v>
      </c>
      <c r="J162">
        <v>11.88</v>
      </c>
      <c r="K162" s="10">
        <f t="shared" si="2"/>
        <v>8.4175084175084167E-2</v>
      </c>
    </row>
    <row r="163" spans="1:11" x14ac:dyDescent="0.35">
      <c r="A163" t="s">
        <v>15</v>
      </c>
      <c r="B163" s="3">
        <v>45699</v>
      </c>
      <c r="C163" t="s">
        <v>1366</v>
      </c>
      <c r="D163" t="s">
        <v>1365</v>
      </c>
      <c r="F163">
        <v>75.8</v>
      </c>
      <c r="G163" t="s">
        <v>10</v>
      </c>
      <c r="H163" t="s">
        <v>22</v>
      </c>
      <c r="I163" s="10" t="s">
        <v>8</v>
      </c>
      <c r="J163" t="s">
        <v>8</v>
      </c>
      <c r="K163" s="10" t="e">
        <f t="shared" si="2"/>
        <v>#VALUE!</v>
      </c>
    </row>
    <row r="164" spans="1:11" x14ac:dyDescent="0.35">
      <c r="A164" t="s">
        <v>15</v>
      </c>
      <c r="B164" s="3">
        <v>45818</v>
      </c>
      <c r="C164" t="s">
        <v>1364</v>
      </c>
      <c r="D164" t="s">
        <v>1363</v>
      </c>
      <c r="E164" t="s">
        <v>1362</v>
      </c>
      <c r="F164">
        <v>75</v>
      </c>
      <c r="G164" t="s">
        <v>10</v>
      </c>
      <c r="H164" t="s">
        <v>22</v>
      </c>
      <c r="I164" s="10" t="s">
        <v>8</v>
      </c>
      <c r="J164">
        <v>58.57</v>
      </c>
      <c r="K164" s="10">
        <f t="shared" si="2"/>
        <v>1.7073587160662457E-2</v>
      </c>
    </row>
    <row r="165" spans="1:11" x14ac:dyDescent="0.35">
      <c r="A165" t="s">
        <v>15</v>
      </c>
      <c r="B165" s="3">
        <v>45863</v>
      </c>
      <c r="C165" t="s">
        <v>1361</v>
      </c>
      <c r="D165" t="s">
        <v>1360</v>
      </c>
      <c r="F165">
        <v>65</v>
      </c>
      <c r="G165" t="s">
        <v>10</v>
      </c>
      <c r="H165" t="s">
        <v>9</v>
      </c>
      <c r="I165" s="10" t="s">
        <v>8</v>
      </c>
      <c r="J165">
        <v>52.24</v>
      </c>
      <c r="K165" s="10">
        <f t="shared" si="2"/>
        <v>1.9142419601837671E-2</v>
      </c>
    </row>
    <row r="166" spans="1:11" x14ac:dyDescent="0.35">
      <c r="A166" t="s">
        <v>15</v>
      </c>
      <c r="B166" s="3">
        <v>45595</v>
      </c>
      <c r="C166" t="s">
        <v>1359</v>
      </c>
      <c r="D166" t="s">
        <v>590</v>
      </c>
      <c r="E166" t="s">
        <v>1358</v>
      </c>
      <c r="F166">
        <v>50</v>
      </c>
      <c r="G166" t="s">
        <v>10</v>
      </c>
      <c r="H166" t="s">
        <v>22</v>
      </c>
      <c r="I166" s="10" t="s">
        <v>8</v>
      </c>
      <c r="J166">
        <v>12.66</v>
      </c>
      <c r="K166" s="10">
        <f t="shared" si="2"/>
        <v>7.8988941548183256E-2</v>
      </c>
    </row>
    <row r="167" spans="1:11" x14ac:dyDescent="0.35">
      <c r="A167" t="s">
        <v>15</v>
      </c>
      <c r="B167" s="3">
        <v>45654</v>
      </c>
      <c r="C167" t="s">
        <v>1357</v>
      </c>
      <c r="D167" t="s">
        <v>1356</v>
      </c>
      <c r="E167" t="s">
        <v>1355</v>
      </c>
      <c r="F167">
        <v>43.9</v>
      </c>
      <c r="G167" t="s">
        <v>10</v>
      </c>
      <c r="H167" t="s">
        <v>22</v>
      </c>
      <c r="I167" s="10" t="s">
        <v>8</v>
      </c>
      <c r="J167">
        <v>10.28</v>
      </c>
      <c r="K167" s="10">
        <f t="shared" si="2"/>
        <v>9.727626459143969E-2</v>
      </c>
    </row>
    <row r="168" spans="1:11" x14ac:dyDescent="0.35">
      <c r="A168" t="s">
        <v>15</v>
      </c>
      <c r="B168" s="3">
        <v>45868</v>
      </c>
      <c r="C168" t="s">
        <v>1354</v>
      </c>
      <c r="D168" t="s">
        <v>1353</v>
      </c>
      <c r="E168" t="s">
        <v>1352</v>
      </c>
      <c r="F168">
        <v>42</v>
      </c>
      <c r="G168" t="s">
        <v>10</v>
      </c>
      <c r="H168" t="s">
        <v>22</v>
      </c>
      <c r="I168" s="10" t="s">
        <v>8</v>
      </c>
      <c r="J168">
        <v>19.87</v>
      </c>
      <c r="K168" s="10">
        <f t="shared" si="2"/>
        <v>5.0327126321087066E-2</v>
      </c>
    </row>
    <row r="169" spans="1:11" x14ac:dyDescent="0.35">
      <c r="A169" t="s">
        <v>15</v>
      </c>
      <c r="B169" s="3">
        <v>45758</v>
      </c>
      <c r="C169" t="s">
        <v>1351</v>
      </c>
      <c r="D169" t="s">
        <v>1350</v>
      </c>
      <c r="E169" t="s">
        <v>1349</v>
      </c>
      <c r="F169">
        <v>40.56</v>
      </c>
      <c r="G169" t="s">
        <v>10</v>
      </c>
      <c r="H169" t="s">
        <v>9</v>
      </c>
      <c r="I169" s="10" t="s">
        <v>8</v>
      </c>
      <c r="J169">
        <v>19.82</v>
      </c>
      <c r="K169" s="10">
        <f t="shared" si="2"/>
        <v>5.0454086781029264E-2</v>
      </c>
    </row>
    <row r="170" spans="1:11" x14ac:dyDescent="0.35">
      <c r="A170" t="s">
        <v>15</v>
      </c>
      <c r="B170" s="3">
        <v>45575</v>
      </c>
      <c r="C170" t="s">
        <v>1348</v>
      </c>
      <c r="D170" t="s">
        <v>1347</v>
      </c>
      <c r="E170" t="s">
        <v>1346</v>
      </c>
      <c r="F170">
        <v>40</v>
      </c>
      <c r="G170" t="s">
        <v>10</v>
      </c>
      <c r="H170" t="s">
        <v>22</v>
      </c>
      <c r="I170" s="10" t="s">
        <v>8</v>
      </c>
      <c r="J170" t="s">
        <v>8</v>
      </c>
      <c r="K170" s="10" t="e">
        <f t="shared" si="2"/>
        <v>#VALUE!</v>
      </c>
    </row>
    <row r="171" spans="1:11" x14ac:dyDescent="0.35">
      <c r="A171" t="s">
        <v>15</v>
      </c>
      <c r="B171" s="3">
        <v>45693</v>
      </c>
      <c r="C171" t="s">
        <v>1345</v>
      </c>
      <c r="D171" t="s">
        <v>1344</v>
      </c>
      <c r="F171">
        <v>35.08</v>
      </c>
      <c r="G171" t="s">
        <v>10</v>
      </c>
      <c r="H171" t="s">
        <v>22</v>
      </c>
      <c r="I171" s="10" t="s">
        <v>8</v>
      </c>
      <c r="J171">
        <v>26.94</v>
      </c>
      <c r="K171" s="10">
        <f t="shared" si="2"/>
        <v>3.711952487008166E-2</v>
      </c>
    </row>
    <row r="172" spans="1:11" x14ac:dyDescent="0.35">
      <c r="A172" t="s">
        <v>15</v>
      </c>
      <c r="B172" s="3">
        <v>45775</v>
      </c>
      <c r="C172" t="s">
        <v>1343</v>
      </c>
      <c r="D172" t="s">
        <v>1342</v>
      </c>
      <c r="E172" t="s">
        <v>1341</v>
      </c>
      <c r="F172">
        <v>30</v>
      </c>
      <c r="G172" t="s">
        <v>10</v>
      </c>
      <c r="H172" t="s">
        <v>9</v>
      </c>
      <c r="I172" s="10" t="s">
        <v>8</v>
      </c>
      <c r="J172">
        <v>13.8</v>
      </c>
      <c r="K172" s="10">
        <f t="shared" si="2"/>
        <v>7.2463768115942032E-2</v>
      </c>
    </row>
    <row r="173" spans="1:11" x14ac:dyDescent="0.35">
      <c r="A173" t="s">
        <v>15</v>
      </c>
      <c r="B173" s="3">
        <v>45803</v>
      </c>
      <c r="C173" t="s">
        <v>1340</v>
      </c>
      <c r="D173" t="s">
        <v>1339</v>
      </c>
      <c r="E173" t="s">
        <v>1338</v>
      </c>
      <c r="F173">
        <v>22.77</v>
      </c>
      <c r="G173" t="s">
        <v>10</v>
      </c>
      <c r="H173" t="s">
        <v>9</v>
      </c>
      <c r="I173" s="10" t="s">
        <v>8</v>
      </c>
      <c r="J173">
        <v>14.81</v>
      </c>
      <c r="K173" s="10">
        <f t="shared" si="2"/>
        <v>6.7521944632005393E-2</v>
      </c>
    </row>
    <row r="174" spans="1:11" x14ac:dyDescent="0.35">
      <c r="A174" t="s">
        <v>15</v>
      </c>
      <c r="B174" s="3">
        <v>45603</v>
      </c>
      <c r="C174" t="s">
        <v>1337</v>
      </c>
      <c r="D174" t="s">
        <v>1317</v>
      </c>
      <c r="E174" t="s">
        <v>128</v>
      </c>
      <c r="F174">
        <v>22.53</v>
      </c>
      <c r="G174" t="s">
        <v>10</v>
      </c>
      <c r="H174" t="s">
        <v>9</v>
      </c>
      <c r="I174" s="10" t="s">
        <v>8</v>
      </c>
      <c r="K174" s="10" t="e">
        <f t="shared" si="2"/>
        <v>#DIV/0!</v>
      </c>
    </row>
    <row r="175" spans="1:11" x14ac:dyDescent="0.35">
      <c r="A175" t="s">
        <v>15</v>
      </c>
      <c r="B175" s="3">
        <v>45727</v>
      </c>
      <c r="C175" t="s">
        <v>1336</v>
      </c>
      <c r="D175" t="s">
        <v>1335</v>
      </c>
      <c r="F175">
        <v>20</v>
      </c>
      <c r="G175" t="s">
        <v>10</v>
      </c>
      <c r="H175" t="s">
        <v>22</v>
      </c>
      <c r="I175" s="10" t="s">
        <v>8</v>
      </c>
      <c r="J175">
        <v>13.71</v>
      </c>
      <c r="K175" s="10">
        <f t="shared" si="2"/>
        <v>7.2939460247994164E-2</v>
      </c>
    </row>
    <row r="176" spans="1:11" x14ac:dyDescent="0.35">
      <c r="A176" t="s">
        <v>15</v>
      </c>
      <c r="B176" s="3">
        <v>45887</v>
      </c>
      <c r="C176" t="s">
        <v>1334</v>
      </c>
      <c r="D176" t="s">
        <v>1333</v>
      </c>
      <c r="F176">
        <v>16.98</v>
      </c>
      <c r="G176" t="s">
        <v>10</v>
      </c>
      <c r="H176" t="s">
        <v>33</v>
      </c>
      <c r="I176" s="10" t="s">
        <v>8</v>
      </c>
      <c r="J176">
        <v>39.29</v>
      </c>
      <c r="K176" s="10">
        <f t="shared" si="2"/>
        <v>2.5451768897938407E-2</v>
      </c>
    </row>
    <row r="177" spans="1:11" x14ac:dyDescent="0.35">
      <c r="A177" t="s">
        <v>15</v>
      </c>
      <c r="B177" s="3">
        <v>45640</v>
      </c>
      <c r="C177" t="s">
        <v>1332</v>
      </c>
      <c r="D177" t="s">
        <v>1331</v>
      </c>
      <c r="F177">
        <v>15</v>
      </c>
      <c r="G177" t="s">
        <v>10</v>
      </c>
      <c r="H177" t="s">
        <v>9</v>
      </c>
      <c r="I177" s="10">
        <v>0.41</v>
      </c>
      <c r="J177">
        <v>1.43</v>
      </c>
      <c r="K177" s="10">
        <f t="shared" si="2"/>
        <v>0.69930069930069938</v>
      </c>
    </row>
    <row r="178" spans="1:11" x14ac:dyDescent="0.35">
      <c r="A178" t="s">
        <v>15</v>
      </c>
      <c r="B178" s="3">
        <v>45603</v>
      </c>
      <c r="C178" t="s">
        <v>1330</v>
      </c>
      <c r="D178" t="s">
        <v>1317</v>
      </c>
      <c r="E178" t="s">
        <v>128</v>
      </c>
      <c r="F178">
        <v>11.33</v>
      </c>
      <c r="G178" t="s">
        <v>10</v>
      </c>
      <c r="H178" t="s">
        <v>9</v>
      </c>
      <c r="I178" s="10" t="s">
        <v>8</v>
      </c>
      <c r="J178">
        <v>16.059999999999999</v>
      </c>
      <c r="K178" s="10">
        <f t="shared" si="2"/>
        <v>6.2266500622665012E-2</v>
      </c>
    </row>
    <row r="179" spans="1:11" x14ac:dyDescent="0.35">
      <c r="A179" t="s">
        <v>15</v>
      </c>
      <c r="B179" s="3">
        <v>45708</v>
      </c>
      <c r="C179" t="s">
        <v>1329</v>
      </c>
      <c r="D179" t="s">
        <v>1328</v>
      </c>
      <c r="F179">
        <v>9.66</v>
      </c>
      <c r="G179" t="s">
        <v>1327</v>
      </c>
      <c r="H179" t="s">
        <v>33</v>
      </c>
      <c r="I179" s="10" t="s">
        <v>8</v>
      </c>
      <c r="J179">
        <v>81.44</v>
      </c>
      <c r="K179" s="10">
        <f t="shared" si="2"/>
        <v>1.2278978388998036E-2</v>
      </c>
    </row>
    <row r="180" spans="1:11" x14ac:dyDescent="0.35">
      <c r="A180" t="s">
        <v>15</v>
      </c>
      <c r="B180" s="3">
        <v>45827</v>
      </c>
      <c r="C180" t="s">
        <v>1326</v>
      </c>
      <c r="D180" t="s">
        <v>1325</v>
      </c>
      <c r="E180" t="s">
        <v>1324</v>
      </c>
      <c r="F180">
        <v>6.99</v>
      </c>
      <c r="G180" t="s">
        <v>10</v>
      </c>
      <c r="H180" t="s">
        <v>9</v>
      </c>
      <c r="I180" s="10" t="s">
        <v>8</v>
      </c>
      <c r="J180">
        <v>25.62</v>
      </c>
      <c r="K180" s="10">
        <f t="shared" si="2"/>
        <v>3.9032006245121001E-2</v>
      </c>
    </row>
    <row r="181" spans="1:11" x14ac:dyDescent="0.35">
      <c r="A181" t="s">
        <v>15</v>
      </c>
      <c r="B181" s="3">
        <v>45548</v>
      </c>
      <c r="C181" t="s">
        <v>1323</v>
      </c>
      <c r="D181" t="s">
        <v>1322</v>
      </c>
      <c r="E181" t="s">
        <v>1321</v>
      </c>
      <c r="F181">
        <v>6.56</v>
      </c>
      <c r="G181" t="s">
        <v>10</v>
      </c>
      <c r="H181" t="s">
        <v>9</v>
      </c>
      <c r="I181" s="10">
        <v>2.25</v>
      </c>
      <c r="J181">
        <v>3.1</v>
      </c>
      <c r="K181" s="10">
        <f t="shared" si="2"/>
        <v>0.32258064516129031</v>
      </c>
    </row>
    <row r="182" spans="1:11" x14ac:dyDescent="0.35">
      <c r="A182" t="s">
        <v>15</v>
      </c>
      <c r="B182" s="3">
        <v>45812</v>
      </c>
      <c r="C182" t="s">
        <v>1320</v>
      </c>
      <c r="D182" t="s">
        <v>1319</v>
      </c>
      <c r="F182">
        <v>3</v>
      </c>
      <c r="G182" t="s">
        <v>10</v>
      </c>
      <c r="H182" t="s">
        <v>22</v>
      </c>
      <c r="I182" s="10" t="s">
        <v>8</v>
      </c>
      <c r="J182">
        <v>11.33</v>
      </c>
      <c r="K182" s="10">
        <f t="shared" si="2"/>
        <v>8.8261253309797005E-2</v>
      </c>
    </row>
    <row r="183" spans="1:11" x14ac:dyDescent="0.35">
      <c r="A183" t="s">
        <v>15</v>
      </c>
      <c r="B183" s="3">
        <v>45603</v>
      </c>
      <c r="C183" t="s">
        <v>1318</v>
      </c>
      <c r="D183" t="s">
        <v>1317</v>
      </c>
      <c r="E183" t="s">
        <v>128</v>
      </c>
      <c r="F183">
        <v>2.61</v>
      </c>
      <c r="G183" t="s">
        <v>10</v>
      </c>
      <c r="H183" t="s">
        <v>9</v>
      </c>
      <c r="I183" s="10" t="s">
        <v>8</v>
      </c>
      <c r="J183">
        <v>7.79</v>
      </c>
      <c r="K183" s="10">
        <f t="shared" si="2"/>
        <v>0.12836970474967907</v>
      </c>
    </row>
    <row r="184" spans="1:11" x14ac:dyDescent="0.35">
      <c r="A184" t="s">
        <v>15</v>
      </c>
      <c r="B184" s="3">
        <v>45566</v>
      </c>
      <c r="C184" t="s">
        <v>1316</v>
      </c>
      <c r="D184" t="s">
        <v>1315</v>
      </c>
      <c r="F184">
        <v>2.2999999999999998</v>
      </c>
      <c r="G184" t="s">
        <v>10</v>
      </c>
      <c r="H184" t="s">
        <v>9</v>
      </c>
      <c r="I184" s="10" t="s">
        <v>8</v>
      </c>
      <c r="J184">
        <v>12.15</v>
      </c>
      <c r="K184" s="10">
        <f t="shared" si="2"/>
        <v>8.2304526748971193E-2</v>
      </c>
    </row>
    <row r="185" spans="1:11" x14ac:dyDescent="0.35">
      <c r="A185" t="s">
        <v>15</v>
      </c>
      <c r="B185" s="3">
        <v>45650</v>
      </c>
      <c r="C185" t="s">
        <v>1314</v>
      </c>
      <c r="D185" t="s">
        <v>318</v>
      </c>
      <c r="E185" t="s">
        <v>1313</v>
      </c>
      <c r="F185">
        <v>0.5</v>
      </c>
      <c r="G185" t="s">
        <v>10</v>
      </c>
      <c r="H185" t="s">
        <v>9</v>
      </c>
      <c r="I185" s="10" t="s">
        <v>8</v>
      </c>
      <c r="J185">
        <v>28.42</v>
      </c>
      <c r="K185" s="10">
        <f t="shared" si="2"/>
        <v>3.5186488388458829E-2</v>
      </c>
    </row>
    <row r="186" spans="1:11" x14ac:dyDescent="0.35">
      <c r="A186" t="s">
        <v>15</v>
      </c>
      <c r="B186" s="3">
        <v>45546</v>
      </c>
      <c r="C186" t="s">
        <v>1312</v>
      </c>
      <c r="D186" t="s">
        <v>947</v>
      </c>
      <c r="F186" t="s">
        <v>11</v>
      </c>
      <c r="G186" t="s">
        <v>10</v>
      </c>
      <c r="H186" t="s">
        <v>22</v>
      </c>
      <c r="I186" s="10" t="s">
        <v>8</v>
      </c>
      <c r="K186" s="10" t="e">
        <f t="shared" si="2"/>
        <v>#DIV/0!</v>
      </c>
    </row>
    <row r="187" spans="1:11" x14ac:dyDescent="0.35">
      <c r="A187" t="s">
        <v>15</v>
      </c>
      <c r="B187" s="3">
        <v>45554</v>
      </c>
      <c r="C187" t="s">
        <v>1311</v>
      </c>
      <c r="D187" t="s">
        <v>1140</v>
      </c>
      <c r="E187" t="s">
        <v>1310</v>
      </c>
      <c r="F187" t="s">
        <v>11</v>
      </c>
      <c r="G187" t="s">
        <v>10</v>
      </c>
      <c r="H187" t="s">
        <v>22</v>
      </c>
      <c r="I187" s="10" t="s">
        <v>8</v>
      </c>
      <c r="J187">
        <v>87.62</v>
      </c>
      <c r="K187" s="10">
        <f t="shared" si="2"/>
        <v>1.1412919424788861E-2</v>
      </c>
    </row>
    <row r="188" spans="1:11" x14ac:dyDescent="0.35">
      <c r="A188" t="s">
        <v>15</v>
      </c>
      <c r="B188" s="3">
        <v>45565</v>
      </c>
      <c r="C188" t="s">
        <v>1309</v>
      </c>
      <c r="D188" t="s">
        <v>1052</v>
      </c>
      <c r="F188" t="s">
        <v>11</v>
      </c>
      <c r="G188" t="s">
        <v>10</v>
      </c>
      <c r="H188" t="s">
        <v>22</v>
      </c>
      <c r="I188" s="10" t="s">
        <v>8</v>
      </c>
      <c r="J188">
        <v>21.38</v>
      </c>
      <c r="K188" s="10">
        <f t="shared" si="2"/>
        <v>4.6772684752104776E-2</v>
      </c>
    </row>
    <row r="189" spans="1:11" x14ac:dyDescent="0.35">
      <c r="A189" t="s">
        <v>15</v>
      </c>
      <c r="B189" s="3">
        <v>45561</v>
      </c>
      <c r="C189" t="s">
        <v>1308</v>
      </c>
      <c r="D189" t="s">
        <v>991</v>
      </c>
      <c r="F189" t="s">
        <v>11</v>
      </c>
      <c r="G189" t="s">
        <v>10</v>
      </c>
      <c r="H189" t="s">
        <v>22</v>
      </c>
      <c r="I189" s="10" t="s">
        <v>8</v>
      </c>
      <c r="J189">
        <v>5.01</v>
      </c>
      <c r="K189" s="10">
        <f t="shared" si="2"/>
        <v>0.19960079840319361</v>
      </c>
    </row>
    <row r="190" spans="1:11" x14ac:dyDescent="0.35">
      <c r="A190" t="s">
        <v>15</v>
      </c>
      <c r="B190" s="3">
        <v>45565</v>
      </c>
      <c r="C190" t="s">
        <v>1307</v>
      </c>
      <c r="D190" t="s">
        <v>100</v>
      </c>
      <c r="E190" t="s">
        <v>1306</v>
      </c>
      <c r="F190" t="s">
        <v>11</v>
      </c>
      <c r="G190" t="s">
        <v>10</v>
      </c>
      <c r="H190" t="s">
        <v>22</v>
      </c>
      <c r="I190" s="10" t="s">
        <v>8</v>
      </c>
      <c r="J190">
        <v>9.56</v>
      </c>
      <c r="K190" s="10">
        <f t="shared" si="2"/>
        <v>0.10460251046025104</v>
      </c>
    </row>
    <row r="191" spans="1:11" x14ac:dyDescent="0.35">
      <c r="A191" t="s">
        <v>15</v>
      </c>
      <c r="B191" s="3">
        <v>45565</v>
      </c>
      <c r="C191" t="s">
        <v>1305</v>
      </c>
      <c r="D191" t="s">
        <v>1304</v>
      </c>
      <c r="F191" t="s">
        <v>11</v>
      </c>
      <c r="G191" t="s">
        <v>10</v>
      </c>
      <c r="H191" t="s">
        <v>22</v>
      </c>
      <c r="I191" s="10" t="s">
        <v>8</v>
      </c>
      <c r="J191">
        <v>27.24</v>
      </c>
      <c r="K191" s="10">
        <f t="shared" si="2"/>
        <v>3.6710719530102791E-2</v>
      </c>
    </row>
    <row r="192" spans="1:11" x14ac:dyDescent="0.35">
      <c r="A192" t="s">
        <v>15</v>
      </c>
      <c r="B192" s="3">
        <v>45562</v>
      </c>
      <c r="C192" t="s">
        <v>1303</v>
      </c>
      <c r="D192" t="s">
        <v>100</v>
      </c>
      <c r="E192" t="s">
        <v>1302</v>
      </c>
      <c r="F192" t="s">
        <v>11</v>
      </c>
      <c r="G192" t="s">
        <v>10</v>
      </c>
      <c r="H192" t="s">
        <v>22</v>
      </c>
      <c r="I192" s="10" t="s">
        <v>8</v>
      </c>
      <c r="J192">
        <v>8.4</v>
      </c>
      <c r="K192" s="10">
        <f t="shared" si="2"/>
        <v>0.11904761904761904</v>
      </c>
    </row>
    <row r="193" spans="1:11" x14ac:dyDescent="0.35">
      <c r="A193" t="s">
        <v>15</v>
      </c>
      <c r="B193" s="3">
        <v>45558</v>
      </c>
      <c r="C193" t="s">
        <v>1301</v>
      </c>
      <c r="D193" t="s">
        <v>1300</v>
      </c>
      <c r="F193" t="s">
        <v>11</v>
      </c>
      <c r="G193" t="s">
        <v>10</v>
      </c>
      <c r="H193" t="s">
        <v>22</v>
      </c>
      <c r="I193" s="10" t="s">
        <v>8</v>
      </c>
      <c r="J193" t="s">
        <v>8</v>
      </c>
      <c r="K193" s="10" t="e">
        <f t="shared" si="2"/>
        <v>#VALUE!</v>
      </c>
    </row>
    <row r="194" spans="1:11" x14ac:dyDescent="0.35">
      <c r="A194" t="s">
        <v>15</v>
      </c>
      <c r="B194" s="3">
        <v>45552</v>
      </c>
      <c r="C194" t="s">
        <v>1299</v>
      </c>
      <c r="D194" t="s">
        <v>1298</v>
      </c>
      <c r="E194" t="s">
        <v>1297</v>
      </c>
      <c r="F194" t="s">
        <v>11</v>
      </c>
      <c r="G194" t="s">
        <v>10</v>
      </c>
      <c r="H194" t="s">
        <v>22</v>
      </c>
      <c r="I194" s="10" t="s">
        <v>8</v>
      </c>
      <c r="J194">
        <v>36.619999999999997</v>
      </c>
      <c r="K194" s="10">
        <f t="shared" si="2"/>
        <v>2.7307482250136541E-2</v>
      </c>
    </row>
    <row r="195" spans="1:11" x14ac:dyDescent="0.35">
      <c r="A195" t="s">
        <v>15</v>
      </c>
      <c r="B195" s="3">
        <v>45554</v>
      </c>
      <c r="C195" t="s">
        <v>1296</v>
      </c>
      <c r="D195" t="s">
        <v>1295</v>
      </c>
      <c r="F195" t="s">
        <v>11</v>
      </c>
      <c r="G195" t="s">
        <v>10</v>
      </c>
      <c r="H195" t="s">
        <v>22</v>
      </c>
      <c r="I195" s="10" t="s">
        <v>8</v>
      </c>
      <c r="J195">
        <v>17.23</v>
      </c>
      <c r="K195" s="10">
        <f t="shared" ref="K195:K258" si="3">1/J195</f>
        <v>5.8038305281485777E-2</v>
      </c>
    </row>
    <row r="196" spans="1:11" x14ac:dyDescent="0.35">
      <c r="A196" t="s">
        <v>15</v>
      </c>
      <c r="B196" s="3">
        <v>45553</v>
      </c>
      <c r="C196" t="s">
        <v>1294</v>
      </c>
      <c r="D196" t="s">
        <v>650</v>
      </c>
      <c r="F196" t="s">
        <v>11</v>
      </c>
      <c r="G196" t="s">
        <v>10</v>
      </c>
      <c r="H196" t="s">
        <v>22</v>
      </c>
      <c r="I196" s="10" t="s">
        <v>8</v>
      </c>
      <c r="J196">
        <v>8.31</v>
      </c>
      <c r="K196" s="10">
        <f t="shared" si="3"/>
        <v>0.12033694344163658</v>
      </c>
    </row>
    <row r="197" spans="1:11" x14ac:dyDescent="0.35">
      <c r="A197" t="s">
        <v>15</v>
      </c>
      <c r="B197" s="3">
        <v>45560</v>
      </c>
      <c r="C197" t="s">
        <v>1293</v>
      </c>
      <c r="D197" t="s">
        <v>1292</v>
      </c>
      <c r="F197" t="s">
        <v>11</v>
      </c>
      <c r="G197" t="s">
        <v>10</v>
      </c>
      <c r="H197" t="s">
        <v>22</v>
      </c>
      <c r="I197" s="10" t="s">
        <v>8</v>
      </c>
      <c r="J197" t="s">
        <v>8</v>
      </c>
      <c r="K197" s="10" t="e">
        <f t="shared" si="3"/>
        <v>#VALUE!</v>
      </c>
    </row>
    <row r="198" spans="1:11" x14ac:dyDescent="0.35">
      <c r="A198" t="s">
        <v>15</v>
      </c>
      <c r="B198" s="3">
        <v>45567</v>
      </c>
      <c r="C198" t="s">
        <v>1291</v>
      </c>
      <c r="D198" t="s">
        <v>1290</v>
      </c>
      <c r="F198" t="s">
        <v>11</v>
      </c>
      <c r="G198" t="s">
        <v>10</v>
      </c>
      <c r="H198" t="s">
        <v>22</v>
      </c>
      <c r="I198" s="10" t="s">
        <v>8</v>
      </c>
      <c r="J198">
        <v>4.84</v>
      </c>
      <c r="K198" s="10">
        <f t="shared" si="3"/>
        <v>0.20661157024793389</v>
      </c>
    </row>
    <row r="199" spans="1:11" x14ac:dyDescent="0.35">
      <c r="A199" t="s">
        <v>15</v>
      </c>
      <c r="B199" s="3">
        <v>45554</v>
      </c>
      <c r="C199" t="s">
        <v>1289</v>
      </c>
      <c r="D199" t="s">
        <v>1288</v>
      </c>
      <c r="F199" t="s">
        <v>11</v>
      </c>
      <c r="G199" t="s">
        <v>10</v>
      </c>
      <c r="H199" t="s">
        <v>22</v>
      </c>
      <c r="I199" s="10" t="s">
        <v>8</v>
      </c>
      <c r="J199">
        <v>28.08</v>
      </c>
      <c r="K199" s="10">
        <f t="shared" si="3"/>
        <v>3.5612535612535613E-2</v>
      </c>
    </row>
    <row r="200" spans="1:11" x14ac:dyDescent="0.35">
      <c r="A200" t="s">
        <v>15</v>
      </c>
      <c r="B200" s="3">
        <v>45570</v>
      </c>
      <c r="C200" t="s">
        <v>1287</v>
      </c>
      <c r="D200" t="s">
        <v>949</v>
      </c>
      <c r="E200" t="s">
        <v>1286</v>
      </c>
      <c r="F200" t="s">
        <v>11</v>
      </c>
      <c r="G200" t="s">
        <v>10</v>
      </c>
      <c r="H200" t="s">
        <v>22</v>
      </c>
      <c r="I200" s="10" t="s">
        <v>8</v>
      </c>
      <c r="J200">
        <v>4.84</v>
      </c>
      <c r="K200" s="10">
        <f t="shared" si="3"/>
        <v>0.20661157024793389</v>
      </c>
    </row>
    <row r="201" spans="1:11" x14ac:dyDescent="0.35">
      <c r="A201" t="s">
        <v>15</v>
      </c>
      <c r="B201" s="3">
        <v>45572</v>
      </c>
      <c r="C201" t="s">
        <v>1285</v>
      </c>
      <c r="D201" t="s">
        <v>1284</v>
      </c>
      <c r="F201" t="s">
        <v>11</v>
      </c>
      <c r="G201" t="s">
        <v>10</v>
      </c>
      <c r="H201" t="s">
        <v>22</v>
      </c>
      <c r="I201" s="10" t="s">
        <v>8</v>
      </c>
      <c r="J201">
        <v>4.84</v>
      </c>
      <c r="K201" s="10">
        <f t="shared" si="3"/>
        <v>0.20661157024793389</v>
      </c>
    </row>
    <row r="202" spans="1:11" x14ac:dyDescent="0.35">
      <c r="A202" t="s">
        <v>15</v>
      </c>
      <c r="B202" s="3">
        <v>45573</v>
      </c>
      <c r="C202" t="s">
        <v>1283</v>
      </c>
      <c r="D202" t="s">
        <v>1282</v>
      </c>
      <c r="F202" t="s">
        <v>11</v>
      </c>
      <c r="G202" t="s">
        <v>10</v>
      </c>
      <c r="H202" t="s">
        <v>22</v>
      </c>
      <c r="I202" s="10" t="s">
        <v>8</v>
      </c>
      <c r="J202">
        <v>8.4</v>
      </c>
      <c r="K202" s="10">
        <f t="shared" si="3"/>
        <v>0.11904761904761904</v>
      </c>
    </row>
    <row r="203" spans="1:11" x14ac:dyDescent="0.35">
      <c r="A203" t="s">
        <v>15</v>
      </c>
      <c r="B203" s="3">
        <v>45566</v>
      </c>
      <c r="C203" t="s">
        <v>1281</v>
      </c>
      <c r="D203" t="s">
        <v>1280</v>
      </c>
      <c r="F203" t="s">
        <v>11</v>
      </c>
      <c r="G203" t="s">
        <v>10</v>
      </c>
      <c r="H203" t="s">
        <v>22</v>
      </c>
      <c r="I203" s="10" t="s">
        <v>8</v>
      </c>
      <c r="J203" t="s">
        <v>8</v>
      </c>
      <c r="K203" s="10" t="e">
        <f t="shared" si="3"/>
        <v>#VALUE!</v>
      </c>
    </row>
    <row r="204" spans="1:11" x14ac:dyDescent="0.35">
      <c r="A204" t="s">
        <v>15</v>
      </c>
      <c r="B204" s="3">
        <v>45574</v>
      </c>
      <c r="C204" t="s">
        <v>1279</v>
      </c>
      <c r="D204" t="s">
        <v>1278</v>
      </c>
      <c r="F204" t="s">
        <v>11</v>
      </c>
      <c r="G204" t="s">
        <v>10</v>
      </c>
      <c r="H204" t="s">
        <v>22</v>
      </c>
      <c r="I204" s="10" t="s">
        <v>8</v>
      </c>
      <c r="J204" t="s">
        <v>8</v>
      </c>
      <c r="K204" s="10" t="e">
        <f t="shared" si="3"/>
        <v>#VALUE!</v>
      </c>
    </row>
    <row r="205" spans="1:11" x14ac:dyDescent="0.35">
      <c r="A205" t="s">
        <v>15</v>
      </c>
      <c r="B205" s="3">
        <v>45573</v>
      </c>
      <c r="C205" t="s">
        <v>1277</v>
      </c>
      <c r="D205" t="s">
        <v>143</v>
      </c>
      <c r="E205" t="s">
        <v>1276</v>
      </c>
      <c r="F205" t="s">
        <v>11</v>
      </c>
      <c r="G205" t="s">
        <v>10</v>
      </c>
      <c r="H205" t="s">
        <v>22</v>
      </c>
      <c r="I205" s="10" t="s">
        <v>8</v>
      </c>
      <c r="J205" t="s">
        <v>8</v>
      </c>
      <c r="K205" s="10" t="e">
        <f t="shared" si="3"/>
        <v>#VALUE!</v>
      </c>
    </row>
    <row r="206" spans="1:11" x14ac:dyDescent="0.35">
      <c r="A206" t="s">
        <v>15</v>
      </c>
      <c r="B206" s="3">
        <v>45580</v>
      </c>
      <c r="C206" t="s">
        <v>1275</v>
      </c>
      <c r="D206" t="s">
        <v>113</v>
      </c>
      <c r="E206" t="s">
        <v>1274</v>
      </c>
      <c r="F206" t="s">
        <v>11</v>
      </c>
      <c r="G206" t="s">
        <v>10</v>
      </c>
      <c r="H206" t="s">
        <v>22</v>
      </c>
      <c r="I206" s="10" t="s">
        <v>8</v>
      </c>
      <c r="J206" t="s">
        <v>8</v>
      </c>
      <c r="K206" s="10" t="e">
        <f t="shared" si="3"/>
        <v>#VALUE!</v>
      </c>
    </row>
    <row r="207" spans="1:11" x14ac:dyDescent="0.35">
      <c r="A207" t="s">
        <v>15</v>
      </c>
      <c r="B207" s="3">
        <v>45588</v>
      </c>
      <c r="C207" t="s">
        <v>1273</v>
      </c>
      <c r="D207" t="s">
        <v>1272</v>
      </c>
      <c r="F207" t="s">
        <v>11</v>
      </c>
      <c r="G207" t="s">
        <v>10</v>
      </c>
      <c r="H207" t="s">
        <v>22</v>
      </c>
      <c r="I207" s="10" t="s">
        <v>8</v>
      </c>
      <c r="J207" t="s">
        <v>8</v>
      </c>
      <c r="K207" s="10" t="e">
        <f t="shared" si="3"/>
        <v>#VALUE!</v>
      </c>
    </row>
    <row r="208" spans="1:11" x14ac:dyDescent="0.35">
      <c r="A208" t="s">
        <v>15</v>
      </c>
      <c r="B208" s="3">
        <v>45587</v>
      </c>
      <c r="C208" t="s">
        <v>1271</v>
      </c>
      <c r="D208" t="s">
        <v>442</v>
      </c>
      <c r="F208" t="s">
        <v>11</v>
      </c>
      <c r="G208" t="s">
        <v>10</v>
      </c>
      <c r="H208" t="s">
        <v>22</v>
      </c>
      <c r="I208" s="10" t="s">
        <v>8</v>
      </c>
      <c r="J208" t="s">
        <v>8</v>
      </c>
      <c r="K208" s="10" t="e">
        <f t="shared" si="3"/>
        <v>#VALUE!</v>
      </c>
    </row>
    <row r="209" spans="1:11" x14ac:dyDescent="0.35">
      <c r="A209" t="s">
        <v>15</v>
      </c>
      <c r="B209" s="3">
        <v>45582</v>
      </c>
      <c r="C209" t="s">
        <v>1270</v>
      </c>
      <c r="D209" t="s">
        <v>929</v>
      </c>
      <c r="E209" t="s">
        <v>1269</v>
      </c>
      <c r="F209" t="s">
        <v>11</v>
      </c>
      <c r="G209" t="s">
        <v>10</v>
      </c>
      <c r="H209" t="s">
        <v>22</v>
      </c>
      <c r="I209" s="10" t="s">
        <v>8</v>
      </c>
      <c r="J209" t="s">
        <v>8</v>
      </c>
      <c r="K209" s="10" t="e">
        <f t="shared" si="3"/>
        <v>#VALUE!</v>
      </c>
    </row>
    <row r="210" spans="1:11" x14ac:dyDescent="0.35">
      <c r="A210" t="s">
        <v>15</v>
      </c>
      <c r="B210" s="3">
        <v>45565</v>
      </c>
      <c r="C210" t="s">
        <v>1268</v>
      </c>
      <c r="D210" t="s">
        <v>451</v>
      </c>
      <c r="E210" t="s">
        <v>1267</v>
      </c>
      <c r="F210" t="s">
        <v>11</v>
      </c>
      <c r="G210" t="s">
        <v>10</v>
      </c>
      <c r="H210" t="s">
        <v>22</v>
      </c>
      <c r="I210" s="10" t="s">
        <v>8</v>
      </c>
      <c r="J210" t="s">
        <v>8</v>
      </c>
      <c r="K210" s="10" t="e">
        <f t="shared" si="3"/>
        <v>#VALUE!</v>
      </c>
    </row>
    <row r="211" spans="1:11" x14ac:dyDescent="0.35">
      <c r="A211" t="s">
        <v>15</v>
      </c>
      <c r="B211" s="3">
        <v>45582</v>
      </c>
      <c r="C211" t="s">
        <v>1266</v>
      </c>
      <c r="D211" t="s">
        <v>1265</v>
      </c>
      <c r="F211" t="s">
        <v>11</v>
      </c>
      <c r="G211" t="s">
        <v>10</v>
      </c>
      <c r="H211" t="s">
        <v>22</v>
      </c>
      <c r="I211" s="10" t="s">
        <v>8</v>
      </c>
      <c r="J211" t="s">
        <v>8</v>
      </c>
      <c r="K211" s="10" t="e">
        <f t="shared" si="3"/>
        <v>#VALUE!</v>
      </c>
    </row>
    <row r="212" spans="1:11" x14ac:dyDescent="0.35">
      <c r="A212" t="s">
        <v>15</v>
      </c>
      <c r="B212" s="3">
        <v>45565</v>
      </c>
      <c r="C212" t="s">
        <v>1264</v>
      </c>
      <c r="D212" t="s">
        <v>1083</v>
      </c>
      <c r="E212" t="s">
        <v>1263</v>
      </c>
      <c r="F212" t="s">
        <v>11</v>
      </c>
      <c r="G212" t="s">
        <v>10</v>
      </c>
      <c r="H212" t="s">
        <v>22</v>
      </c>
      <c r="I212" s="10" t="s">
        <v>8</v>
      </c>
      <c r="J212" t="s">
        <v>8</v>
      </c>
      <c r="K212" s="10" t="e">
        <f t="shared" si="3"/>
        <v>#VALUE!</v>
      </c>
    </row>
    <row r="213" spans="1:11" x14ac:dyDescent="0.35">
      <c r="A213" t="s">
        <v>15</v>
      </c>
      <c r="B213" s="3">
        <v>45576</v>
      </c>
      <c r="C213" t="s">
        <v>1262</v>
      </c>
      <c r="D213" t="s">
        <v>1261</v>
      </c>
      <c r="F213" t="s">
        <v>11</v>
      </c>
      <c r="G213" t="s">
        <v>10</v>
      </c>
      <c r="H213" t="s">
        <v>22</v>
      </c>
      <c r="I213" s="10" t="s">
        <v>8</v>
      </c>
      <c r="J213" t="s">
        <v>8</v>
      </c>
      <c r="K213" s="10" t="e">
        <f t="shared" si="3"/>
        <v>#VALUE!</v>
      </c>
    </row>
    <row r="214" spans="1:11" x14ac:dyDescent="0.35">
      <c r="A214" t="s">
        <v>15</v>
      </c>
      <c r="B214" s="3">
        <v>45580</v>
      </c>
      <c r="C214" t="s">
        <v>1260</v>
      </c>
      <c r="D214" t="s">
        <v>1121</v>
      </c>
      <c r="E214" t="s">
        <v>1259</v>
      </c>
      <c r="F214" t="s">
        <v>11</v>
      </c>
      <c r="G214" t="s">
        <v>10</v>
      </c>
      <c r="H214" t="s">
        <v>22</v>
      </c>
      <c r="I214" s="10" t="s">
        <v>8</v>
      </c>
      <c r="J214" t="s">
        <v>8</v>
      </c>
      <c r="K214" s="10" t="e">
        <f t="shared" si="3"/>
        <v>#VALUE!</v>
      </c>
    </row>
    <row r="215" spans="1:11" x14ac:dyDescent="0.35">
      <c r="A215" t="s">
        <v>15</v>
      </c>
      <c r="B215" s="3">
        <v>45580</v>
      </c>
      <c r="C215" t="s">
        <v>1258</v>
      </c>
      <c r="D215" t="s">
        <v>1030</v>
      </c>
      <c r="F215" t="s">
        <v>11</v>
      </c>
      <c r="G215" t="s">
        <v>10</v>
      </c>
      <c r="H215" t="s">
        <v>22</v>
      </c>
      <c r="I215" s="10" t="s">
        <v>8</v>
      </c>
      <c r="J215" t="s">
        <v>8</v>
      </c>
      <c r="K215" s="10" t="e">
        <f t="shared" si="3"/>
        <v>#VALUE!</v>
      </c>
    </row>
    <row r="216" spans="1:11" x14ac:dyDescent="0.35">
      <c r="A216" t="s">
        <v>15</v>
      </c>
      <c r="B216" s="3">
        <v>45580</v>
      </c>
      <c r="C216" t="s">
        <v>1257</v>
      </c>
      <c r="D216" t="s">
        <v>1256</v>
      </c>
      <c r="F216" t="s">
        <v>11</v>
      </c>
      <c r="G216" t="s">
        <v>10</v>
      </c>
      <c r="H216" t="s">
        <v>22</v>
      </c>
      <c r="I216" s="10" t="s">
        <v>8</v>
      </c>
      <c r="J216" t="s">
        <v>8</v>
      </c>
      <c r="K216" s="10" t="e">
        <f t="shared" si="3"/>
        <v>#VALUE!</v>
      </c>
    </row>
    <row r="217" spans="1:11" x14ac:dyDescent="0.35">
      <c r="A217" t="s">
        <v>15</v>
      </c>
      <c r="B217" s="3">
        <v>45581</v>
      </c>
      <c r="C217" t="s">
        <v>1255</v>
      </c>
      <c r="D217" t="s">
        <v>1254</v>
      </c>
      <c r="F217" t="s">
        <v>11</v>
      </c>
      <c r="G217" t="s">
        <v>10</v>
      </c>
      <c r="H217" t="s">
        <v>22</v>
      </c>
      <c r="I217" s="10" t="s">
        <v>8</v>
      </c>
      <c r="J217" t="s">
        <v>8</v>
      </c>
      <c r="K217" s="10" t="e">
        <f t="shared" si="3"/>
        <v>#VALUE!</v>
      </c>
    </row>
    <row r="218" spans="1:11" x14ac:dyDescent="0.35">
      <c r="A218" t="s">
        <v>15</v>
      </c>
      <c r="B218" s="3">
        <v>45587</v>
      </c>
      <c r="C218" t="s">
        <v>1253</v>
      </c>
      <c r="D218" t="s">
        <v>28</v>
      </c>
      <c r="F218" t="s">
        <v>11</v>
      </c>
      <c r="G218" t="s">
        <v>10</v>
      </c>
      <c r="H218" t="s">
        <v>22</v>
      </c>
      <c r="I218" s="10" t="s">
        <v>8</v>
      </c>
      <c r="J218" t="s">
        <v>8</v>
      </c>
      <c r="K218" s="10" t="e">
        <f t="shared" si="3"/>
        <v>#VALUE!</v>
      </c>
    </row>
    <row r="219" spans="1:11" x14ac:dyDescent="0.35">
      <c r="A219" t="s">
        <v>15</v>
      </c>
      <c r="B219" s="3">
        <v>45574</v>
      </c>
      <c r="C219" t="s">
        <v>1252</v>
      </c>
      <c r="D219" t="s">
        <v>212</v>
      </c>
      <c r="E219" t="s">
        <v>1251</v>
      </c>
      <c r="F219" t="s">
        <v>11</v>
      </c>
      <c r="G219" t="s">
        <v>10</v>
      </c>
      <c r="H219" t="s">
        <v>22</v>
      </c>
      <c r="I219" s="10" t="s">
        <v>8</v>
      </c>
      <c r="J219" t="s">
        <v>8</v>
      </c>
      <c r="K219" s="10" t="e">
        <f t="shared" si="3"/>
        <v>#VALUE!</v>
      </c>
    </row>
    <row r="220" spans="1:11" x14ac:dyDescent="0.35">
      <c r="A220" t="s">
        <v>15</v>
      </c>
      <c r="B220" s="3">
        <v>45589</v>
      </c>
      <c r="C220" t="s">
        <v>1250</v>
      </c>
      <c r="D220" t="s">
        <v>1249</v>
      </c>
      <c r="F220" t="s">
        <v>11</v>
      </c>
      <c r="G220" t="s">
        <v>10</v>
      </c>
      <c r="H220" t="s">
        <v>22</v>
      </c>
      <c r="I220" s="10" t="s">
        <v>8</v>
      </c>
      <c r="J220" t="s">
        <v>8</v>
      </c>
      <c r="K220" s="10" t="e">
        <f t="shared" si="3"/>
        <v>#VALUE!</v>
      </c>
    </row>
    <row r="221" spans="1:11" x14ac:dyDescent="0.35">
      <c r="A221" t="s">
        <v>15</v>
      </c>
      <c r="B221" s="3">
        <v>45588</v>
      </c>
      <c r="C221" t="s">
        <v>1248</v>
      </c>
      <c r="D221" t="s">
        <v>802</v>
      </c>
      <c r="F221" t="s">
        <v>11</v>
      </c>
      <c r="G221" t="s">
        <v>10</v>
      </c>
      <c r="H221" t="s">
        <v>22</v>
      </c>
      <c r="I221" s="10" t="s">
        <v>8</v>
      </c>
      <c r="J221" t="s">
        <v>8</v>
      </c>
      <c r="K221" s="10" t="e">
        <f t="shared" si="3"/>
        <v>#VALUE!</v>
      </c>
    </row>
    <row r="222" spans="1:11" x14ac:dyDescent="0.35">
      <c r="A222" t="s">
        <v>15</v>
      </c>
      <c r="B222" s="3">
        <v>45593</v>
      </c>
      <c r="C222" t="s">
        <v>1247</v>
      </c>
      <c r="D222" t="s">
        <v>1052</v>
      </c>
      <c r="F222" t="s">
        <v>11</v>
      </c>
      <c r="G222" t="s">
        <v>10</v>
      </c>
      <c r="H222" t="s">
        <v>22</v>
      </c>
      <c r="I222" s="10" t="s">
        <v>8</v>
      </c>
      <c r="J222" t="s">
        <v>8</v>
      </c>
      <c r="K222" s="10" t="e">
        <f t="shared" si="3"/>
        <v>#VALUE!</v>
      </c>
    </row>
    <row r="223" spans="1:11" x14ac:dyDescent="0.35">
      <c r="A223" t="s">
        <v>15</v>
      </c>
      <c r="B223" s="3">
        <v>45569</v>
      </c>
      <c r="C223" t="s">
        <v>1246</v>
      </c>
      <c r="D223" t="s">
        <v>1245</v>
      </c>
      <c r="E223" t="s">
        <v>1244</v>
      </c>
      <c r="F223" t="s">
        <v>11</v>
      </c>
      <c r="G223" t="s">
        <v>10</v>
      </c>
      <c r="H223" t="s">
        <v>22</v>
      </c>
      <c r="I223" s="10" t="s">
        <v>8</v>
      </c>
      <c r="J223" t="s">
        <v>8</v>
      </c>
      <c r="K223" s="10" t="e">
        <f t="shared" si="3"/>
        <v>#VALUE!</v>
      </c>
    </row>
    <row r="224" spans="1:11" x14ac:dyDescent="0.35">
      <c r="A224" t="s">
        <v>15</v>
      </c>
      <c r="B224" s="3">
        <v>45594</v>
      </c>
      <c r="C224" t="s">
        <v>1243</v>
      </c>
      <c r="D224" t="s">
        <v>642</v>
      </c>
      <c r="F224" t="s">
        <v>11</v>
      </c>
      <c r="G224" t="s">
        <v>10</v>
      </c>
      <c r="H224" t="s">
        <v>22</v>
      </c>
      <c r="I224" s="10" t="s">
        <v>8</v>
      </c>
      <c r="J224" t="s">
        <v>8</v>
      </c>
      <c r="K224" s="10" t="e">
        <f t="shared" si="3"/>
        <v>#VALUE!</v>
      </c>
    </row>
    <row r="225" spans="1:11" x14ac:dyDescent="0.35">
      <c r="A225" t="s">
        <v>15</v>
      </c>
      <c r="B225" s="3">
        <v>45565</v>
      </c>
      <c r="C225" t="s">
        <v>1242</v>
      </c>
      <c r="D225" t="s">
        <v>1184</v>
      </c>
      <c r="E225" t="s">
        <v>1241</v>
      </c>
      <c r="F225" t="s">
        <v>11</v>
      </c>
      <c r="G225" t="s">
        <v>10</v>
      </c>
      <c r="H225" t="s">
        <v>22</v>
      </c>
      <c r="I225" s="10" t="s">
        <v>8</v>
      </c>
      <c r="J225" t="s">
        <v>8</v>
      </c>
      <c r="K225" s="10" t="e">
        <f t="shared" si="3"/>
        <v>#VALUE!</v>
      </c>
    </row>
    <row r="226" spans="1:11" x14ac:dyDescent="0.35">
      <c r="A226" t="s">
        <v>15</v>
      </c>
      <c r="B226" s="3">
        <v>45600</v>
      </c>
      <c r="C226" t="s">
        <v>1240</v>
      </c>
      <c r="D226" t="s">
        <v>1239</v>
      </c>
      <c r="F226" t="s">
        <v>11</v>
      </c>
      <c r="G226" t="s">
        <v>10</v>
      </c>
      <c r="H226" t="s">
        <v>22</v>
      </c>
      <c r="I226" s="10" t="s">
        <v>8</v>
      </c>
      <c r="J226" t="s">
        <v>8</v>
      </c>
      <c r="K226" s="10" t="e">
        <f t="shared" si="3"/>
        <v>#VALUE!</v>
      </c>
    </row>
    <row r="227" spans="1:11" x14ac:dyDescent="0.35">
      <c r="A227" t="s">
        <v>15</v>
      </c>
      <c r="B227" s="3">
        <v>45600</v>
      </c>
      <c r="C227" t="s">
        <v>1238</v>
      </c>
      <c r="D227" t="s">
        <v>1237</v>
      </c>
      <c r="E227" t="s">
        <v>1236</v>
      </c>
      <c r="F227" t="s">
        <v>11</v>
      </c>
      <c r="G227" t="s">
        <v>10</v>
      </c>
      <c r="H227" t="s">
        <v>22</v>
      </c>
      <c r="I227" s="10" t="s">
        <v>8</v>
      </c>
      <c r="J227" t="s">
        <v>8</v>
      </c>
      <c r="K227" s="10" t="e">
        <f t="shared" si="3"/>
        <v>#VALUE!</v>
      </c>
    </row>
    <row r="228" spans="1:11" x14ac:dyDescent="0.35">
      <c r="A228" t="s">
        <v>15</v>
      </c>
      <c r="B228" s="3">
        <v>45602</v>
      </c>
      <c r="C228" t="s">
        <v>1235</v>
      </c>
      <c r="D228" t="s">
        <v>590</v>
      </c>
      <c r="F228" t="s">
        <v>11</v>
      </c>
      <c r="G228" t="s">
        <v>10</v>
      </c>
      <c r="H228" t="s">
        <v>22</v>
      </c>
      <c r="I228" s="10" t="s">
        <v>8</v>
      </c>
      <c r="J228" t="s">
        <v>8</v>
      </c>
      <c r="K228" s="10" t="e">
        <f t="shared" si="3"/>
        <v>#VALUE!</v>
      </c>
    </row>
    <row r="229" spans="1:11" x14ac:dyDescent="0.35">
      <c r="A229" t="s">
        <v>15</v>
      </c>
      <c r="B229" s="3">
        <v>45608</v>
      </c>
      <c r="C229" t="s">
        <v>1234</v>
      </c>
      <c r="D229" t="s">
        <v>1233</v>
      </c>
      <c r="F229" t="s">
        <v>11</v>
      </c>
      <c r="G229" t="s">
        <v>10</v>
      </c>
      <c r="H229" t="s">
        <v>22</v>
      </c>
      <c r="I229" s="10" t="s">
        <v>8</v>
      </c>
      <c r="J229" t="s">
        <v>8</v>
      </c>
      <c r="K229" s="10" t="e">
        <f t="shared" si="3"/>
        <v>#VALUE!</v>
      </c>
    </row>
    <row r="230" spans="1:11" x14ac:dyDescent="0.35">
      <c r="A230" t="s">
        <v>15</v>
      </c>
      <c r="B230" s="3">
        <v>45573</v>
      </c>
      <c r="C230" t="s">
        <v>1232</v>
      </c>
      <c r="D230" t="s">
        <v>28</v>
      </c>
      <c r="E230" t="s">
        <v>1215</v>
      </c>
      <c r="F230" t="s">
        <v>11</v>
      </c>
      <c r="G230" t="s">
        <v>10</v>
      </c>
      <c r="H230" t="s">
        <v>22</v>
      </c>
      <c r="I230" s="10" t="s">
        <v>8</v>
      </c>
      <c r="J230" t="s">
        <v>8</v>
      </c>
      <c r="K230" s="10" t="e">
        <f t="shared" si="3"/>
        <v>#VALUE!</v>
      </c>
    </row>
    <row r="231" spans="1:11" x14ac:dyDescent="0.35">
      <c r="A231" t="s">
        <v>15</v>
      </c>
      <c r="B231" s="3">
        <v>45603</v>
      </c>
      <c r="C231" t="s">
        <v>1231</v>
      </c>
      <c r="D231" t="s">
        <v>1230</v>
      </c>
      <c r="F231" t="s">
        <v>11</v>
      </c>
      <c r="G231" t="s">
        <v>10</v>
      </c>
      <c r="H231" t="s">
        <v>22</v>
      </c>
      <c r="I231" s="10" t="s">
        <v>8</v>
      </c>
      <c r="J231" t="s">
        <v>8</v>
      </c>
      <c r="K231" s="10" t="e">
        <f t="shared" si="3"/>
        <v>#VALUE!</v>
      </c>
    </row>
    <row r="232" spans="1:11" x14ac:dyDescent="0.35">
      <c r="A232" t="s">
        <v>15</v>
      </c>
      <c r="B232" s="3">
        <v>45600</v>
      </c>
      <c r="C232" t="s">
        <v>1229</v>
      </c>
      <c r="D232" t="s">
        <v>973</v>
      </c>
      <c r="F232" t="s">
        <v>11</v>
      </c>
      <c r="G232" t="s">
        <v>10</v>
      </c>
      <c r="H232" t="s">
        <v>22</v>
      </c>
      <c r="I232" s="10" t="s">
        <v>8</v>
      </c>
      <c r="J232" t="s">
        <v>8</v>
      </c>
      <c r="K232" s="10" t="e">
        <f t="shared" si="3"/>
        <v>#VALUE!</v>
      </c>
    </row>
    <row r="233" spans="1:11" x14ac:dyDescent="0.35">
      <c r="A233" t="s">
        <v>15</v>
      </c>
      <c r="B233" s="3">
        <v>45609</v>
      </c>
      <c r="C233" t="s">
        <v>1228</v>
      </c>
      <c r="D233" t="s">
        <v>616</v>
      </c>
      <c r="E233" t="s">
        <v>1227</v>
      </c>
      <c r="F233" t="s">
        <v>11</v>
      </c>
      <c r="G233" t="s">
        <v>10</v>
      </c>
      <c r="H233" t="s">
        <v>22</v>
      </c>
      <c r="I233" s="10" t="s">
        <v>8</v>
      </c>
      <c r="J233" t="s">
        <v>8</v>
      </c>
      <c r="K233" s="10" t="e">
        <f t="shared" si="3"/>
        <v>#VALUE!</v>
      </c>
    </row>
    <row r="234" spans="1:11" x14ac:dyDescent="0.35">
      <c r="A234" t="s">
        <v>15</v>
      </c>
      <c r="B234" s="3">
        <v>45601</v>
      </c>
      <c r="C234" t="s">
        <v>1226</v>
      </c>
      <c r="D234" t="s">
        <v>255</v>
      </c>
      <c r="E234" t="s">
        <v>1225</v>
      </c>
      <c r="F234" t="s">
        <v>11</v>
      </c>
      <c r="G234" t="s">
        <v>10</v>
      </c>
      <c r="H234" t="s">
        <v>22</v>
      </c>
      <c r="I234" s="10" t="s">
        <v>8</v>
      </c>
      <c r="J234" t="s">
        <v>8</v>
      </c>
      <c r="K234" s="10" t="e">
        <f t="shared" si="3"/>
        <v>#VALUE!</v>
      </c>
    </row>
    <row r="235" spans="1:11" x14ac:dyDescent="0.35">
      <c r="A235" t="s">
        <v>15</v>
      </c>
      <c r="B235" s="3">
        <v>45608</v>
      </c>
      <c r="C235" t="s">
        <v>1224</v>
      </c>
      <c r="D235" t="s">
        <v>1223</v>
      </c>
      <c r="E235" t="s">
        <v>1222</v>
      </c>
      <c r="F235" t="s">
        <v>11</v>
      </c>
      <c r="G235" t="s">
        <v>10</v>
      </c>
      <c r="H235" t="s">
        <v>22</v>
      </c>
      <c r="I235" s="10" t="s">
        <v>8</v>
      </c>
      <c r="J235" t="s">
        <v>8</v>
      </c>
      <c r="K235" s="10" t="e">
        <f t="shared" si="3"/>
        <v>#VALUE!</v>
      </c>
    </row>
    <row r="236" spans="1:11" x14ac:dyDescent="0.35">
      <c r="A236" t="s">
        <v>15</v>
      </c>
      <c r="B236" s="3">
        <v>45609</v>
      </c>
      <c r="C236" t="s">
        <v>1221</v>
      </c>
      <c r="D236" t="s">
        <v>1097</v>
      </c>
      <c r="F236" t="s">
        <v>11</v>
      </c>
      <c r="G236" t="s">
        <v>10</v>
      </c>
      <c r="H236" t="s">
        <v>22</v>
      </c>
      <c r="I236" s="10" t="s">
        <v>8</v>
      </c>
      <c r="J236" t="s">
        <v>8</v>
      </c>
      <c r="K236" s="10" t="e">
        <f t="shared" si="3"/>
        <v>#VALUE!</v>
      </c>
    </row>
    <row r="237" spans="1:11" x14ac:dyDescent="0.35">
      <c r="A237" t="s">
        <v>15</v>
      </c>
      <c r="B237" s="3">
        <v>45560</v>
      </c>
      <c r="C237" t="s">
        <v>1220</v>
      </c>
      <c r="D237" t="s">
        <v>1219</v>
      </c>
      <c r="E237" t="s">
        <v>1042</v>
      </c>
      <c r="F237" t="s">
        <v>11</v>
      </c>
      <c r="G237" t="s">
        <v>10</v>
      </c>
      <c r="H237" t="s">
        <v>22</v>
      </c>
      <c r="I237" s="10" t="s">
        <v>8</v>
      </c>
      <c r="J237" t="s">
        <v>8</v>
      </c>
      <c r="K237" s="10" t="e">
        <f t="shared" si="3"/>
        <v>#VALUE!</v>
      </c>
    </row>
    <row r="238" spans="1:11" x14ac:dyDescent="0.35">
      <c r="A238" t="s">
        <v>15</v>
      </c>
      <c r="B238" s="3">
        <v>45610</v>
      </c>
      <c r="C238" t="s">
        <v>1218</v>
      </c>
      <c r="D238" t="s">
        <v>1077</v>
      </c>
      <c r="F238" t="s">
        <v>11</v>
      </c>
      <c r="G238" t="s">
        <v>10</v>
      </c>
      <c r="H238" t="s">
        <v>22</v>
      </c>
      <c r="I238" s="10" t="s">
        <v>8</v>
      </c>
      <c r="J238" t="s">
        <v>8</v>
      </c>
      <c r="K238" s="10" t="e">
        <f t="shared" si="3"/>
        <v>#VALUE!</v>
      </c>
    </row>
    <row r="239" spans="1:11" x14ac:dyDescent="0.35">
      <c r="A239" t="s">
        <v>15</v>
      </c>
      <c r="B239" s="3">
        <v>45610</v>
      </c>
      <c r="C239" t="s">
        <v>1217</v>
      </c>
      <c r="D239" t="s">
        <v>1182</v>
      </c>
      <c r="F239" t="s">
        <v>11</v>
      </c>
      <c r="G239" t="s">
        <v>10</v>
      </c>
      <c r="H239" t="s">
        <v>22</v>
      </c>
      <c r="I239" s="10" t="s">
        <v>8</v>
      </c>
      <c r="J239" t="s">
        <v>8</v>
      </c>
      <c r="K239" s="10" t="e">
        <f t="shared" si="3"/>
        <v>#VALUE!</v>
      </c>
    </row>
    <row r="240" spans="1:11" x14ac:dyDescent="0.35">
      <c r="A240" t="s">
        <v>15</v>
      </c>
      <c r="B240" s="3">
        <v>45601</v>
      </c>
      <c r="C240" t="s">
        <v>1216</v>
      </c>
      <c r="D240" t="s">
        <v>1215</v>
      </c>
      <c r="F240" t="s">
        <v>11</v>
      </c>
      <c r="G240" t="s">
        <v>10</v>
      </c>
      <c r="H240" t="s">
        <v>22</v>
      </c>
      <c r="I240" s="10" t="s">
        <v>8</v>
      </c>
      <c r="J240" t="s">
        <v>8</v>
      </c>
      <c r="K240" s="10" t="e">
        <f t="shared" si="3"/>
        <v>#VALUE!</v>
      </c>
    </row>
    <row r="241" spans="1:11" x14ac:dyDescent="0.35">
      <c r="A241" t="s">
        <v>15</v>
      </c>
      <c r="B241" s="3">
        <v>45602</v>
      </c>
      <c r="C241" t="s">
        <v>1214</v>
      </c>
      <c r="D241" t="s">
        <v>587</v>
      </c>
      <c r="F241" t="s">
        <v>11</v>
      </c>
      <c r="G241" t="s">
        <v>10</v>
      </c>
      <c r="H241" t="s">
        <v>22</v>
      </c>
      <c r="I241" s="10" t="s">
        <v>8</v>
      </c>
      <c r="J241" t="s">
        <v>8</v>
      </c>
      <c r="K241" s="10" t="e">
        <f t="shared" si="3"/>
        <v>#VALUE!</v>
      </c>
    </row>
    <row r="242" spans="1:11" x14ac:dyDescent="0.35">
      <c r="A242" t="s">
        <v>15</v>
      </c>
      <c r="B242" s="3">
        <v>45602</v>
      </c>
      <c r="C242" t="s">
        <v>1213</v>
      </c>
      <c r="D242" t="s">
        <v>642</v>
      </c>
      <c r="F242" t="s">
        <v>11</v>
      </c>
      <c r="G242" t="s">
        <v>10</v>
      </c>
      <c r="H242" t="s">
        <v>22</v>
      </c>
      <c r="I242" s="10" t="s">
        <v>8</v>
      </c>
      <c r="J242" t="s">
        <v>8</v>
      </c>
      <c r="K242" s="10" t="e">
        <f t="shared" si="3"/>
        <v>#VALUE!</v>
      </c>
    </row>
    <row r="243" spans="1:11" x14ac:dyDescent="0.35">
      <c r="A243" t="s">
        <v>15</v>
      </c>
      <c r="B243" s="3">
        <v>45605</v>
      </c>
      <c r="C243" t="s">
        <v>1212</v>
      </c>
      <c r="D243" t="s">
        <v>1211</v>
      </c>
      <c r="F243" t="s">
        <v>11</v>
      </c>
      <c r="G243" t="s">
        <v>10</v>
      </c>
      <c r="H243" t="s">
        <v>22</v>
      </c>
      <c r="I243" s="10" t="s">
        <v>8</v>
      </c>
      <c r="J243" t="s">
        <v>8</v>
      </c>
      <c r="K243" s="10" t="e">
        <f t="shared" si="3"/>
        <v>#VALUE!</v>
      </c>
    </row>
    <row r="244" spans="1:11" x14ac:dyDescent="0.35">
      <c r="A244" t="s">
        <v>15</v>
      </c>
      <c r="B244" s="3">
        <v>45565</v>
      </c>
      <c r="C244" t="s">
        <v>1210</v>
      </c>
      <c r="D244" t="s">
        <v>1209</v>
      </c>
      <c r="E244" t="s">
        <v>858</v>
      </c>
      <c r="F244" t="s">
        <v>11</v>
      </c>
      <c r="G244" t="s">
        <v>10</v>
      </c>
      <c r="H244" t="s">
        <v>22</v>
      </c>
      <c r="I244" s="10" t="s">
        <v>8</v>
      </c>
      <c r="J244" t="s">
        <v>8</v>
      </c>
      <c r="K244" s="10" t="e">
        <f t="shared" si="3"/>
        <v>#VALUE!</v>
      </c>
    </row>
    <row r="245" spans="1:11" x14ac:dyDescent="0.35">
      <c r="A245" t="s">
        <v>15</v>
      </c>
      <c r="B245" s="3">
        <v>45594</v>
      </c>
      <c r="C245" t="s">
        <v>1208</v>
      </c>
      <c r="D245" t="s">
        <v>1207</v>
      </c>
      <c r="F245" t="s">
        <v>11</v>
      </c>
      <c r="G245" t="s">
        <v>10</v>
      </c>
      <c r="H245" t="s">
        <v>22</v>
      </c>
      <c r="I245" s="10" t="s">
        <v>8</v>
      </c>
      <c r="J245" t="s">
        <v>8</v>
      </c>
      <c r="K245" s="10" t="e">
        <f t="shared" si="3"/>
        <v>#VALUE!</v>
      </c>
    </row>
    <row r="246" spans="1:11" x14ac:dyDescent="0.35">
      <c r="A246" t="s">
        <v>15</v>
      </c>
      <c r="B246" s="3">
        <v>45622</v>
      </c>
      <c r="C246" t="s">
        <v>1206</v>
      </c>
      <c r="D246" t="s">
        <v>1205</v>
      </c>
      <c r="F246" t="s">
        <v>11</v>
      </c>
      <c r="G246" t="s">
        <v>10</v>
      </c>
      <c r="H246" t="s">
        <v>22</v>
      </c>
      <c r="I246" s="10" t="s">
        <v>8</v>
      </c>
      <c r="J246" t="s">
        <v>8</v>
      </c>
      <c r="K246" s="10" t="e">
        <f t="shared" si="3"/>
        <v>#VALUE!</v>
      </c>
    </row>
    <row r="247" spans="1:11" x14ac:dyDescent="0.35">
      <c r="A247" t="s">
        <v>15</v>
      </c>
      <c r="B247" s="3">
        <v>45621</v>
      </c>
      <c r="C247" t="s">
        <v>1204</v>
      </c>
      <c r="D247" t="s">
        <v>1203</v>
      </c>
      <c r="F247" t="s">
        <v>11</v>
      </c>
      <c r="G247" t="s">
        <v>10</v>
      </c>
      <c r="H247" t="s">
        <v>22</v>
      </c>
      <c r="I247" s="10" t="s">
        <v>8</v>
      </c>
      <c r="J247" t="s">
        <v>8</v>
      </c>
      <c r="K247" s="10" t="e">
        <f t="shared" si="3"/>
        <v>#VALUE!</v>
      </c>
    </row>
    <row r="248" spans="1:11" x14ac:dyDescent="0.35">
      <c r="A248" t="s">
        <v>15</v>
      </c>
      <c r="B248" s="3">
        <v>45589</v>
      </c>
      <c r="C248" t="s">
        <v>1202</v>
      </c>
      <c r="D248" t="s">
        <v>1201</v>
      </c>
      <c r="E248" t="s">
        <v>1200</v>
      </c>
      <c r="F248" t="s">
        <v>11</v>
      </c>
      <c r="G248" t="s">
        <v>10</v>
      </c>
      <c r="H248" t="s">
        <v>22</v>
      </c>
      <c r="I248" s="10" t="s">
        <v>8</v>
      </c>
      <c r="J248" t="s">
        <v>8</v>
      </c>
      <c r="K248" s="10" t="e">
        <f t="shared" si="3"/>
        <v>#VALUE!</v>
      </c>
    </row>
    <row r="249" spans="1:11" x14ac:dyDescent="0.35">
      <c r="A249" t="s">
        <v>15</v>
      </c>
      <c r="B249" s="3">
        <v>45617</v>
      </c>
      <c r="C249" t="s">
        <v>1199</v>
      </c>
      <c r="D249" t="s">
        <v>1198</v>
      </c>
      <c r="F249" t="s">
        <v>11</v>
      </c>
      <c r="G249" t="s">
        <v>10</v>
      </c>
      <c r="H249" t="s">
        <v>22</v>
      </c>
      <c r="I249" s="10" t="s">
        <v>8</v>
      </c>
      <c r="J249" t="s">
        <v>8</v>
      </c>
      <c r="K249" s="10" t="e">
        <f t="shared" si="3"/>
        <v>#VALUE!</v>
      </c>
    </row>
    <row r="250" spans="1:11" x14ac:dyDescent="0.35">
      <c r="A250" t="s">
        <v>15</v>
      </c>
      <c r="B250" s="3">
        <v>45618</v>
      </c>
      <c r="C250" t="s">
        <v>1197</v>
      </c>
      <c r="D250" t="s">
        <v>1196</v>
      </c>
      <c r="E250" t="s">
        <v>1195</v>
      </c>
      <c r="F250" t="s">
        <v>11</v>
      </c>
      <c r="G250" t="s">
        <v>10</v>
      </c>
      <c r="H250" t="s">
        <v>33</v>
      </c>
      <c r="I250" s="10" t="s">
        <v>8</v>
      </c>
      <c r="J250" t="s">
        <v>8</v>
      </c>
      <c r="K250" s="10" t="e">
        <f t="shared" si="3"/>
        <v>#VALUE!</v>
      </c>
    </row>
    <row r="251" spans="1:11" x14ac:dyDescent="0.35">
      <c r="A251" t="s">
        <v>15</v>
      </c>
      <c r="B251" s="3">
        <v>45594</v>
      </c>
      <c r="C251" t="s">
        <v>793</v>
      </c>
      <c r="D251" t="s">
        <v>792</v>
      </c>
      <c r="F251" t="s">
        <v>11</v>
      </c>
      <c r="G251" t="s">
        <v>10</v>
      </c>
      <c r="H251" t="s">
        <v>22</v>
      </c>
      <c r="I251" s="10" t="s">
        <v>8</v>
      </c>
      <c r="J251" t="s">
        <v>8</v>
      </c>
      <c r="K251" s="10" t="e">
        <f t="shared" si="3"/>
        <v>#VALUE!</v>
      </c>
    </row>
    <row r="252" spans="1:11" x14ac:dyDescent="0.35">
      <c r="A252" t="s">
        <v>15</v>
      </c>
      <c r="B252" s="3">
        <v>45616</v>
      </c>
      <c r="C252" t="s">
        <v>1194</v>
      </c>
      <c r="D252" t="s">
        <v>1193</v>
      </c>
      <c r="F252" t="s">
        <v>11</v>
      </c>
      <c r="G252" t="s">
        <v>10</v>
      </c>
      <c r="H252" t="s">
        <v>22</v>
      </c>
      <c r="I252" s="10" t="s">
        <v>8</v>
      </c>
      <c r="J252" t="s">
        <v>8</v>
      </c>
      <c r="K252" s="10" t="e">
        <f t="shared" si="3"/>
        <v>#VALUE!</v>
      </c>
    </row>
    <row r="253" spans="1:11" x14ac:dyDescent="0.35">
      <c r="A253" t="s">
        <v>15</v>
      </c>
      <c r="B253" s="3">
        <v>45617</v>
      </c>
      <c r="C253" t="s">
        <v>1192</v>
      </c>
      <c r="D253" t="s">
        <v>1191</v>
      </c>
      <c r="E253" t="s">
        <v>1190</v>
      </c>
      <c r="F253" t="s">
        <v>11</v>
      </c>
      <c r="G253" t="s">
        <v>10</v>
      </c>
      <c r="H253" t="s">
        <v>22</v>
      </c>
      <c r="I253" s="10" t="s">
        <v>8</v>
      </c>
      <c r="J253" t="s">
        <v>8</v>
      </c>
      <c r="K253" s="10" t="e">
        <f t="shared" si="3"/>
        <v>#VALUE!</v>
      </c>
    </row>
    <row r="254" spans="1:11" x14ac:dyDescent="0.35">
      <c r="A254" t="s">
        <v>15</v>
      </c>
      <c r="B254" s="3">
        <v>45601</v>
      </c>
      <c r="C254" t="s">
        <v>1189</v>
      </c>
      <c r="D254" t="s">
        <v>1059</v>
      </c>
      <c r="F254" t="s">
        <v>11</v>
      </c>
      <c r="G254" t="s">
        <v>10</v>
      </c>
      <c r="H254" t="s">
        <v>22</v>
      </c>
      <c r="I254" s="10" t="s">
        <v>8</v>
      </c>
      <c r="J254" t="s">
        <v>8</v>
      </c>
      <c r="K254" s="10" t="e">
        <f t="shared" si="3"/>
        <v>#VALUE!</v>
      </c>
    </row>
    <row r="255" spans="1:11" x14ac:dyDescent="0.35">
      <c r="A255" t="s">
        <v>15</v>
      </c>
      <c r="B255" s="3">
        <v>45617</v>
      </c>
      <c r="C255" t="s">
        <v>1188</v>
      </c>
      <c r="D255" t="s">
        <v>1187</v>
      </c>
      <c r="E255" t="s">
        <v>1186</v>
      </c>
      <c r="F255" t="s">
        <v>11</v>
      </c>
      <c r="G255" t="s">
        <v>10</v>
      </c>
      <c r="H255" t="s">
        <v>22</v>
      </c>
      <c r="I255" s="10" t="s">
        <v>8</v>
      </c>
      <c r="J255" t="s">
        <v>8</v>
      </c>
      <c r="K255" s="10" t="e">
        <f t="shared" si="3"/>
        <v>#VALUE!</v>
      </c>
    </row>
    <row r="256" spans="1:11" x14ac:dyDescent="0.35">
      <c r="A256" t="s">
        <v>15</v>
      </c>
      <c r="B256" s="3">
        <v>45615</v>
      </c>
      <c r="C256" t="s">
        <v>1185</v>
      </c>
      <c r="D256" t="s">
        <v>405</v>
      </c>
      <c r="E256" t="s">
        <v>1184</v>
      </c>
      <c r="F256" t="s">
        <v>11</v>
      </c>
      <c r="G256" t="s">
        <v>10</v>
      </c>
      <c r="H256" t="s">
        <v>22</v>
      </c>
      <c r="I256" s="10" t="s">
        <v>8</v>
      </c>
      <c r="J256" t="s">
        <v>8</v>
      </c>
      <c r="K256" s="10" t="e">
        <f t="shared" si="3"/>
        <v>#VALUE!</v>
      </c>
    </row>
    <row r="257" spans="1:11" x14ac:dyDescent="0.35">
      <c r="A257" t="s">
        <v>15</v>
      </c>
      <c r="B257" s="3">
        <v>45621</v>
      </c>
      <c r="C257" t="s">
        <v>1183</v>
      </c>
      <c r="D257" t="s">
        <v>1182</v>
      </c>
      <c r="E257" t="s">
        <v>1181</v>
      </c>
      <c r="F257" t="s">
        <v>11</v>
      </c>
      <c r="G257" t="s">
        <v>10</v>
      </c>
      <c r="H257" t="s">
        <v>22</v>
      </c>
      <c r="I257" s="10" t="s">
        <v>8</v>
      </c>
      <c r="J257" t="s">
        <v>8</v>
      </c>
      <c r="K257" s="10" t="e">
        <f t="shared" si="3"/>
        <v>#VALUE!</v>
      </c>
    </row>
    <row r="258" spans="1:11" x14ac:dyDescent="0.35">
      <c r="A258" t="s">
        <v>15</v>
      </c>
      <c r="B258" s="3">
        <v>45611</v>
      </c>
      <c r="C258" t="s">
        <v>1180</v>
      </c>
      <c r="D258" t="s">
        <v>1179</v>
      </c>
      <c r="F258" t="s">
        <v>11</v>
      </c>
      <c r="G258" t="s">
        <v>10</v>
      </c>
      <c r="H258" t="s">
        <v>22</v>
      </c>
      <c r="I258" s="10" t="s">
        <v>8</v>
      </c>
      <c r="J258" t="s">
        <v>8</v>
      </c>
      <c r="K258" s="10" t="e">
        <f t="shared" si="3"/>
        <v>#VALUE!</v>
      </c>
    </row>
    <row r="259" spans="1:11" x14ac:dyDescent="0.35">
      <c r="A259" t="s">
        <v>15</v>
      </c>
      <c r="B259" s="3">
        <v>45628</v>
      </c>
      <c r="C259" t="s">
        <v>1178</v>
      </c>
      <c r="D259" t="s">
        <v>1177</v>
      </c>
      <c r="F259" t="s">
        <v>11</v>
      </c>
      <c r="G259" t="s">
        <v>10</v>
      </c>
      <c r="H259" t="s">
        <v>33</v>
      </c>
      <c r="I259" s="10" t="s">
        <v>8</v>
      </c>
      <c r="J259" t="s">
        <v>8</v>
      </c>
      <c r="K259" s="10" t="e">
        <f t="shared" ref="K259:K322" si="4">1/J259</f>
        <v>#VALUE!</v>
      </c>
    </row>
    <row r="260" spans="1:11" x14ac:dyDescent="0.35">
      <c r="A260" t="s">
        <v>15</v>
      </c>
      <c r="B260" s="3">
        <v>45622</v>
      </c>
      <c r="C260" t="s">
        <v>1176</v>
      </c>
      <c r="D260" t="s">
        <v>143</v>
      </c>
      <c r="F260" t="s">
        <v>11</v>
      </c>
      <c r="G260" t="s">
        <v>10</v>
      </c>
      <c r="H260" t="s">
        <v>22</v>
      </c>
      <c r="I260" s="10" t="s">
        <v>8</v>
      </c>
      <c r="J260" t="s">
        <v>8</v>
      </c>
      <c r="K260" s="10" t="e">
        <f t="shared" si="4"/>
        <v>#VALUE!</v>
      </c>
    </row>
    <row r="261" spans="1:11" x14ac:dyDescent="0.35">
      <c r="A261" t="s">
        <v>15</v>
      </c>
      <c r="B261" s="3">
        <v>45628</v>
      </c>
      <c r="C261" t="s">
        <v>1175</v>
      </c>
      <c r="D261" t="s">
        <v>922</v>
      </c>
      <c r="E261" t="s">
        <v>572</v>
      </c>
      <c r="F261" t="s">
        <v>11</v>
      </c>
      <c r="G261" t="s">
        <v>10</v>
      </c>
      <c r="H261" t="s">
        <v>22</v>
      </c>
      <c r="I261" s="10" t="s">
        <v>8</v>
      </c>
      <c r="J261" t="s">
        <v>8</v>
      </c>
      <c r="K261" s="10" t="e">
        <f t="shared" si="4"/>
        <v>#VALUE!</v>
      </c>
    </row>
    <row r="262" spans="1:11" x14ac:dyDescent="0.35">
      <c r="A262" t="s">
        <v>15</v>
      </c>
      <c r="B262" s="3">
        <v>45629</v>
      </c>
      <c r="C262" t="s">
        <v>1174</v>
      </c>
      <c r="D262" t="s">
        <v>1173</v>
      </c>
      <c r="F262" t="s">
        <v>11</v>
      </c>
      <c r="G262" t="s">
        <v>10</v>
      </c>
      <c r="H262" t="s">
        <v>22</v>
      </c>
      <c r="I262" s="10" t="s">
        <v>8</v>
      </c>
      <c r="J262" t="s">
        <v>8</v>
      </c>
      <c r="K262" s="10" t="e">
        <f t="shared" si="4"/>
        <v>#VALUE!</v>
      </c>
    </row>
    <row r="263" spans="1:11" x14ac:dyDescent="0.35">
      <c r="A263" t="s">
        <v>15</v>
      </c>
      <c r="B263" s="3">
        <v>45638</v>
      </c>
      <c r="C263" t="s">
        <v>1172</v>
      </c>
      <c r="D263" t="s">
        <v>1171</v>
      </c>
      <c r="E263" t="s">
        <v>1170</v>
      </c>
      <c r="F263" t="s">
        <v>11</v>
      </c>
      <c r="G263" t="s">
        <v>10</v>
      </c>
      <c r="H263" t="s">
        <v>22</v>
      </c>
      <c r="I263" s="10" t="s">
        <v>8</v>
      </c>
      <c r="J263" t="s">
        <v>8</v>
      </c>
      <c r="K263" s="10" t="e">
        <f t="shared" si="4"/>
        <v>#VALUE!</v>
      </c>
    </row>
    <row r="264" spans="1:11" x14ac:dyDescent="0.35">
      <c r="A264" t="s">
        <v>15</v>
      </c>
      <c r="B264" s="3">
        <v>45572</v>
      </c>
      <c r="C264" t="s">
        <v>1169</v>
      </c>
      <c r="D264" t="s">
        <v>97</v>
      </c>
      <c r="E264" t="s">
        <v>74</v>
      </c>
      <c r="F264" t="s">
        <v>11</v>
      </c>
      <c r="G264" t="s">
        <v>10</v>
      </c>
      <c r="H264" t="s">
        <v>22</v>
      </c>
      <c r="I264" s="10" t="s">
        <v>8</v>
      </c>
      <c r="J264" t="s">
        <v>8</v>
      </c>
      <c r="K264" s="10" t="e">
        <f t="shared" si="4"/>
        <v>#VALUE!</v>
      </c>
    </row>
    <row r="265" spans="1:11" x14ac:dyDescent="0.35">
      <c r="A265" t="s">
        <v>15</v>
      </c>
      <c r="B265" s="3">
        <v>45644</v>
      </c>
      <c r="C265" t="s">
        <v>1168</v>
      </c>
      <c r="D265" t="s">
        <v>1167</v>
      </c>
      <c r="F265" t="s">
        <v>11</v>
      </c>
      <c r="G265" t="s">
        <v>10</v>
      </c>
      <c r="H265" t="s">
        <v>22</v>
      </c>
      <c r="I265" s="10" t="s">
        <v>8</v>
      </c>
      <c r="J265" t="s">
        <v>8</v>
      </c>
      <c r="K265" s="10" t="e">
        <f t="shared" si="4"/>
        <v>#VALUE!</v>
      </c>
    </row>
    <row r="266" spans="1:11" x14ac:dyDescent="0.35">
      <c r="A266" t="s">
        <v>15</v>
      </c>
      <c r="B266" s="3">
        <v>45645</v>
      </c>
      <c r="C266" t="s">
        <v>1166</v>
      </c>
      <c r="D266" t="s">
        <v>861</v>
      </c>
      <c r="E266" t="s">
        <v>1165</v>
      </c>
      <c r="F266" t="s">
        <v>11</v>
      </c>
      <c r="G266" t="s">
        <v>10</v>
      </c>
      <c r="H266" t="s">
        <v>22</v>
      </c>
      <c r="I266" s="10" t="s">
        <v>8</v>
      </c>
      <c r="J266" t="s">
        <v>8</v>
      </c>
      <c r="K266" s="10" t="e">
        <f t="shared" si="4"/>
        <v>#VALUE!</v>
      </c>
    </row>
    <row r="267" spans="1:11" x14ac:dyDescent="0.35">
      <c r="A267" t="s">
        <v>15</v>
      </c>
      <c r="B267" s="3">
        <v>45631</v>
      </c>
      <c r="C267" t="s">
        <v>1164</v>
      </c>
      <c r="D267" t="s">
        <v>321</v>
      </c>
      <c r="F267" t="s">
        <v>11</v>
      </c>
      <c r="G267" t="s">
        <v>10</v>
      </c>
      <c r="H267" t="s">
        <v>22</v>
      </c>
      <c r="I267" s="10" t="s">
        <v>8</v>
      </c>
      <c r="J267" t="s">
        <v>8</v>
      </c>
      <c r="K267" s="10" t="e">
        <f t="shared" si="4"/>
        <v>#VALUE!</v>
      </c>
    </row>
    <row r="268" spans="1:11" x14ac:dyDescent="0.35">
      <c r="A268" t="s">
        <v>15</v>
      </c>
      <c r="B268" s="3">
        <v>45548</v>
      </c>
      <c r="C268" t="s">
        <v>1163</v>
      </c>
      <c r="D268" t="s">
        <v>1162</v>
      </c>
      <c r="F268" t="s">
        <v>11</v>
      </c>
      <c r="G268" t="s">
        <v>10</v>
      </c>
      <c r="H268" t="s">
        <v>22</v>
      </c>
      <c r="I268" s="10" t="s">
        <v>8</v>
      </c>
      <c r="J268" t="s">
        <v>8</v>
      </c>
      <c r="K268" s="10" t="e">
        <f t="shared" si="4"/>
        <v>#VALUE!</v>
      </c>
    </row>
    <row r="269" spans="1:11" x14ac:dyDescent="0.35">
      <c r="A269" t="s">
        <v>15</v>
      </c>
      <c r="B269" s="3">
        <v>45602</v>
      </c>
      <c r="C269" t="s">
        <v>1161</v>
      </c>
      <c r="D269" t="s">
        <v>1160</v>
      </c>
      <c r="F269" t="s">
        <v>11</v>
      </c>
      <c r="G269" t="s">
        <v>10</v>
      </c>
      <c r="H269" t="s">
        <v>22</v>
      </c>
      <c r="I269" s="10" t="s">
        <v>8</v>
      </c>
      <c r="J269" t="s">
        <v>8</v>
      </c>
      <c r="K269" s="10" t="e">
        <f t="shared" si="4"/>
        <v>#VALUE!</v>
      </c>
    </row>
    <row r="270" spans="1:11" x14ac:dyDescent="0.35">
      <c r="A270" t="s">
        <v>15</v>
      </c>
      <c r="B270" s="3">
        <v>45642</v>
      </c>
      <c r="C270" t="s">
        <v>1159</v>
      </c>
      <c r="D270" t="s">
        <v>28</v>
      </c>
      <c r="F270" t="s">
        <v>11</v>
      </c>
      <c r="G270" t="s">
        <v>10</v>
      </c>
      <c r="H270" t="s">
        <v>33</v>
      </c>
      <c r="I270" s="10" t="s">
        <v>8</v>
      </c>
      <c r="J270" t="s">
        <v>8</v>
      </c>
      <c r="K270" s="10" t="e">
        <f t="shared" si="4"/>
        <v>#VALUE!</v>
      </c>
    </row>
    <row r="271" spans="1:11" x14ac:dyDescent="0.35">
      <c r="A271" t="s">
        <v>15</v>
      </c>
      <c r="B271" s="3">
        <v>45572</v>
      </c>
      <c r="C271" t="s">
        <v>1158</v>
      </c>
      <c r="D271" t="s">
        <v>1052</v>
      </c>
      <c r="F271" t="s">
        <v>11</v>
      </c>
      <c r="G271" t="s">
        <v>10</v>
      </c>
      <c r="H271" t="s">
        <v>22</v>
      </c>
      <c r="I271" s="10" t="s">
        <v>8</v>
      </c>
      <c r="J271" t="s">
        <v>8</v>
      </c>
      <c r="K271" s="10" t="e">
        <f t="shared" si="4"/>
        <v>#VALUE!</v>
      </c>
    </row>
    <row r="272" spans="1:11" x14ac:dyDescent="0.35">
      <c r="A272" t="s">
        <v>15</v>
      </c>
      <c r="B272" s="3">
        <v>45642</v>
      </c>
      <c r="C272" t="s">
        <v>1157</v>
      </c>
      <c r="D272" t="s">
        <v>1042</v>
      </c>
      <c r="E272" t="s">
        <v>922</v>
      </c>
      <c r="F272" t="s">
        <v>11</v>
      </c>
      <c r="G272" t="s">
        <v>10</v>
      </c>
      <c r="H272" t="s">
        <v>22</v>
      </c>
      <c r="I272" s="10" t="s">
        <v>8</v>
      </c>
      <c r="J272" t="s">
        <v>8</v>
      </c>
      <c r="K272" s="10" t="e">
        <f t="shared" si="4"/>
        <v>#VALUE!</v>
      </c>
    </row>
    <row r="273" spans="1:11" x14ac:dyDescent="0.35">
      <c r="A273" t="s">
        <v>15</v>
      </c>
      <c r="B273" s="3">
        <v>45622</v>
      </c>
      <c r="C273" t="s">
        <v>1156</v>
      </c>
      <c r="D273" t="s">
        <v>1155</v>
      </c>
      <c r="E273" t="s">
        <v>1154</v>
      </c>
      <c r="F273" t="s">
        <v>11</v>
      </c>
      <c r="G273" t="s">
        <v>10</v>
      </c>
      <c r="H273" t="s">
        <v>22</v>
      </c>
      <c r="I273" s="10" t="s">
        <v>8</v>
      </c>
      <c r="J273" t="s">
        <v>8</v>
      </c>
      <c r="K273" s="10" t="e">
        <f t="shared" si="4"/>
        <v>#VALUE!</v>
      </c>
    </row>
    <row r="274" spans="1:11" x14ac:dyDescent="0.35">
      <c r="A274" t="s">
        <v>15</v>
      </c>
      <c r="B274" s="3">
        <v>45645</v>
      </c>
      <c r="C274" t="s">
        <v>1153</v>
      </c>
      <c r="D274" t="s">
        <v>165</v>
      </c>
      <c r="F274" t="s">
        <v>11</v>
      </c>
      <c r="G274" t="s">
        <v>10</v>
      </c>
      <c r="H274" t="s">
        <v>22</v>
      </c>
      <c r="I274" s="10" t="s">
        <v>8</v>
      </c>
      <c r="J274" t="s">
        <v>8</v>
      </c>
      <c r="K274" s="10" t="e">
        <f t="shared" si="4"/>
        <v>#VALUE!</v>
      </c>
    </row>
    <row r="275" spans="1:11" x14ac:dyDescent="0.35">
      <c r="A275" t="s">
        <v>15</v>
      </c>
      <c r="B275" s="3">
        <v>45580</v>
      </c>
      <c r="C275" t="s">
        <v>1152</v>
      </c>
      <c r="D275" t="s">
        <v>1050</v>
      </c>
      <c r="E275" t="s">
        <v>1151</v>
      </c>
      <c r="F275" t="s">
        <v>11</v>
      </c>
      <c r="G275" t="s">
        <v>10</v>
      </c>
      <c r="H275" t="s">
        <v>22</v>
      </c>
      <c r="I275" s="10" t="s">
        <v>8</v>
      </c>
      <c r="J275" t="s">
        <v>8</v>
      </c>
      <c r="K275" s="10" t="e">
        <f t="shared" si="4"/>
        <v>#VALUE!</v>
      </c>
    </row>
    <row r="276" spans="1:11" x14ac:dyDescent="0.35">
      <c r="A276" t="s">
        <v>15</v>
      </c>
      <c r="B276" s="3">
        <v>45644</v>
      </c>
      <c r="C276" t="s">
        <v>1150</v>
      </c>
      <c r="D276" t="s">
        <v>1048</v>
      </c>
      <c r="F276" t="s">
        <v>11</v>
      </c>
      <c r="G276" t="s">
        <v>10</v>
      </c>
      <c r="H276" t="s">
        <v>22</v>
      </c>
      <c r="I276" s="10" t="s">
        <v>8</v>
      </c>
      <c r="J276" t="s">
        <v>8</v>
      </c>
      <c r="K276" s="10" t="e">
        <f t="shared" si="4"/>
        <v>#VALUE!</v>
      </c>
    </row>
    <row r="277" spans="1:11" x14ac:dyDescent="0.35">
      <c r="A277" t="s">
        <v>15</v>
      </c>
      <c r="B277" s="3">
        <v>45656</v>
      </c>
      <c r="C277" t="s">
        <v>1149</v>
      </c>
      <c r="D277" t="s">
        <v>1148</v>
      </c>
      <c r="E277" t="s">
        <v>1147</v>
      </c>
      <c r="F277" t="s">
        <v>11</v>
      </c>
      <c r="G277" t="s">
        <v>10</v>
      </c>
      <c r="H277" t="s">
        <v>22</v>
      </c>
      <c r="I277" s="10" t="s">
        <v>8</v>
      </c>
      <c r="J277" t="s">
        <v>8</v>
      </c>
      <c r="K277" s="10" t="e">
        <f t="shared" si="4"/>
        <v>#VALUE!</v>
      </c>
    </row>
    <row r="278" spans="1:11" x14ac:dyDescent="0.35">
      <c r="A278" t="s">
        <v>15</v>
      </c>
      <c r="B278" s="3">
        <v>45566</v>
      </c>
      <c r="C278" t="s">
        <v>1146</v>
      </c>
      <c r="D278" t="s">
        <v>553</v>
      </c>
      <c r="E278" t="s">
        <v>1145</v>
      </c>
      <c r="F278" t="s">
        <v>11</v>
      </c>
      <c r="G278" t="s">
        <v>10</v>
      </c>
      <c r="H278" t="s">
        <v>22</v>
      </c>
      <c r="I278" s="10" t="s">
        <v>8</v>
      </c>
      <c r="J278" t="s">
        <v>8</v>
      </c>
      <c r="K278" s="10" t="e">
        <f t="shared" si="4"/>
        <v>#VALUE!</v>
      </c>
    </row>
    <row r="279" spans="1:11" x14ac:dyDescent="0.35">
      <c r="A279" t="s">
        <v>15</v>
      </c>
      <c r="B279" s="3">
        <v>45637</v>
      </c>
      <c r="C279" t="s">
        <v>1144</v>
      </c>
      <c r="D279" t="s">
        <v>1143</v>
      </c>
      <c r="E279" t="s">
        <v>1142</v>
      </c>
      <c r="F279" t="s">
        <v>11</v>
      </c>
      <c r="G279" t="s">
        <v>10</v>
      </c>
      <c r="H279" t="s">
        <v>22</v>
      </c>
      <c r="I279" s="10" t="s">
        <v>8</v>
      </c>
      <c r="J279" t="s">
        <v>8</v>
      </c>
      <c r="K279" s="10" t="e">
        <f t="shared" si="4"/>
        <v>#VALUE!</v>
      </c>
    </row>
    <row r="280" spans="1:11" x14ac:dyDescent="0.35">
      <c r="A280" t="s">
        <v>15</v>
      </c>
      <c r="B280" s="3">
        <v>45567</v>
      </c>
      <c r="C280" t="s">
        <v>1141</v>
      </c>
      <c r="D280" t="s">
        <v>1140</v>
      </c>
      <c r="E280" t="s">
        <v>1139</v>
      </c>
      <c r="F280" t="s">
        <v>11</v>
      </c>
      <c r="G280" t="s">
        <v>10</v>
      </c>
      <c r="H280" t="s">
        <v>22</v>
      </c>
      <c r="I280" s="10" t="s">
        <v>8</v>
      </c>
      <c r="J280" t="s">
        <v>8</v>
      </c>
      <c r="K280" s="10" t="e">
        <f t="shared" si="4"/>
        <v>#VALUE!</v>
      </c>
    </row>
    <row r="281" spans="1:11" x14ac:dyDescent="0.35">
      <c r="A281" t="s">
        <v>15</v>
      </c>
      <c r="B281" s="3">
        <v>45587</v>
      </c>
      <c r="C281" t="s">
        <v>1138</v>
      </c>
      <c r="D281" t="s">
        <v>1137</v>
      </c>
      <c r="E281" t="s">
        <v>1136</v>
      </c>
      <c r="F281" t="s">
        <v>11</v>
      </c>
      <c r="G281" t="s">
        <v>10</v>
      </c>
      <c r="H281" t="s">
        <v>22</v>
      </c>
      <c r="I281" s="10" t="s">
        <v>8</v>
      </c>
      <c r="J281" t="s">
        <v>8</v>
      </c>
      <c r="K281" s="10" t="e">
        <f t="shared" si="4"/>
        <v>#VALUE!</v>
      </c>
    </row>
    <row r="282" spans="1:11" x14ac:dyDescent="0.35">
      <c r="A282" t="s">
        <v>15</v>
      </c>
      <c r="B282" s="3">
        <v>45629</v>
      </c>
      <c r="C282" t="s">
        <v>1135</v>
      </c>
      <c r="D282" t="s">
        <v>1134</v>
      </c>
      <c r="F282" t="s">
        <v>11</v>
      </c>
      <c r="G282" t="s">
        <v>10</v>
      </c>
      <c r="H282" t="s">
        <v>22</v>
      </c>
      <c r="I282" s="10" t="s">
        <v>8</v>
      </c>
      <c r="J282" t="s">
        <v>8</v>
      </c>
      <c r="K282" s="10" t="e">
        <f t="shared" si="4"/>
        <v>#VALUE!</v>
      </c>
    </row>
    <row r="283" spans="1:11" x14ac:dyDescent="0.35">
      <c r="A283" t="s">
        <v>15</v>
      </c>
      <c r="B283" s="3">
        <v>45614</v>
      </c>
      <c r="C283" t="s">
        <v>1133</v>
      </c>
      <c r="D283" t="s">
        <v>625</v>
      </c>
      <c r="F283" t="s">
        <v>11</v>
      </c>
      <c r="G283" t="s">
        <v>10</v>
      </c>
      <c r="H283" t="s">
        <v>22</v>
      </c>
      <c r="I283" s="10" t="s">
        <v>8</v>
      </c>
      <c r="J283" t="s">
        <v>8</v>
      </c>
      <c r="K283" s="10" t="e">
        <f t="shared" si="4"/>
        <v>#VALUE!</v>
      </c>
    </row>
    <row r="284" spans="1:11" x14ac:dyDescent="0.35">
      <c r="A284" t="s">
        <v>15</v>
      </c>
      <c r="B284" s="3">
        <v>45554</v>
      </c>
      <c r="C284" t="s">
        <v>1132</v>
      </c>
      <c r="D284" t="s">
        <v>238</v>
      </c>
      <c r="E284" t="s">
        <v>117</v>
      </c>
      <c r="F284" t="s">
        <v>11</v>
      </c>
      <c r="G284" t="s">
        <v>10</v>
      </c>
      <c r="H284" t="s">
        <v>22</v>
      </c>
      <c r="I284" s="10" t="s">
        <v>8</v>
      </c>
      <c r="J284" t="s">
        <v>8</v>
      </c>
      <c r="K284" s="10" t="e">
        <f t="shared" si="4"/>
        <v>#VALUE!</v>
      </c>
    </row>
    <row r="285" spans="1:11" x14ac:dyDescent="0.35">
      <c r="A285" t="s">
        <v>15</v>
      </c>
      <c r="B285" s="3">
        <v>45576</v>
      </c>
      <c r="C285" t="s">
        <v>1131</v>
      </c>
      <c r="D285" t="s">
        <v>1130</v>
      </c>
      <c r="F285" t="s">
        <v>11</v>
      </c>
      <c r="G285" t="s">
        <v>10</v>
      </c>
      <c r="H285" t="s">
        <v>22</v>
      </c>
      <c r="I285" s="10" t="s">
        <v>8</v>
      </c>
      <c r="J285" t="s">
        <v>8</v>
      </c>
      <c r="K285" s="10" t="e">
        <f t="shared" si="4"/>
        <v>#VALUE!</v>
      </c>
    </row>
    <row r="286" spans="1:11" x14ac:dyDescent="0.35">
      <c r="A286" t="s">
        <v>15</v>
      </c>
      <c r="B286" s="3">
        <v>45615</v>
      </c>
      <c r="C286" t="s">
        <v>1129</v>
      </c>
      <c r="D286" t="s">
        <v>130</v>
      </c>
      <c r="E286" t="s">
        <v>57</v>
      </c>
      <c r="F286" t="s">
        <v>11</v>
      </c>
      <c r="G286" t="s">
        <v>10</v>
      </c>
      <c r="H286" t="s">
        <v>22</v>
      </c>
      <c r="I286" s="10" t="s">
        <v>8</v>
      </c>
      <c r="J286" t="s">
        <v>8</v>
      </c>
      <c r="K286" s="10" t="e">
        <f t="shared" si="4"/>
        <v>#VALUE!</v>
      </c>
    </row>
    <row r="287" spans="1:11" x14ac:dyDescent="0.35">
      <c r="A287" t="s">
        <v>15</v>
      </c>
      <c r="B287" s="3">
        <v>45566</v>
      </c>
      <c r="C287" t="s">
        <v>1128</v>
      </c>
      <c r="D287" t="s">
        <v>998</v>
      </c>
      <c r="F287" t="s">
        <v>11</v>
      </c>
      <c r="G287" t="s">
        <v>10</v>
      </c>
      <c r="H287" t="s">
        <v>22</v>
      </c>
      <c r="I287" s="10" t="s">
        <v>8</v>
      </c>
      <c r="J287" t="s">
        <v>8</v>
      </c>
      <c r="K287" s="10" t="e">
        <f t="shared" si="4"/>
        <v>#VALUE!</v>
      </c>
    </row>
    <row r="288" spans="1:11" x14ac:dyDescent="0.35">
      <c r="A288" t="s">
        <v>15</v>
      </c>
      <c r="B288" s="3">
        <v>45610</v>
      </c>
      <c r="C288" t="s">
        <v>1127</v>
      </c>
      <c r="D288" t="s">
        <v>1016</v>
      </c>
      <c r="F288" t="s">
        <v>11</v>
      </c>
      <c r="G288" t="s">
        <v>10</v>
      </c>
      <c r="H288" t="s">
        <v>22</v>
      </c>
      <c r="I288" s="10" t="s">
        <v>8</v>
      </c>
      <c r="J288" t="s">
        <v>8</v>
      </c>
      <c r="K288" s="10" t="e">
        <f t="shared" si="4"/>
        <v>#VALUE!</v>
      </c>
    </row>
    <row r="289" spans="1:11" x14ac:dyDescent="0.35">
      <c r="A289" t="s">
        <v>15</v>
      </c>
      <c r="B289" s="3">
        <v>45635</v>
      </c>
      <c r="C289" t="s">
        <v>1126</v>
      </c>
      <c r="D289" t="s">
        <v>54</v>
      </c>
      <c r="F289" t="s">
        <v>11</v>
      </c>
      <c r="G289" t="s">
        <v>10</v>
      </c>
      <c r="H289" t="s">
        <v>22</v>
      </c>
      <c r="I289" s="10" t="s">
        <v>8</v>
      </c>
      <c r="J289" t="s">
        <v>8</v>
      </c>
      <c r="K289" s="10" t="e">
        <f t="shared" si="4"/>
        <v>#VALUE!</v>
      </c>
    </row>
    <row r="290" spans="1:11" x14ac:dyDescent="0.35">
      <c r="A290" t="s">
        <v>15</v>
      </c>
      <c r="B290" s="3">
        <v>45618</v>
      </c>
      <c r="C290" t="s">
        <v>1125</v>
      </c>
      <c r="D290" t="s">
        <v>28</v>
      </c>
      <c r="F290" t="s">
        <v>11</v>
      </c>
      <c r="G290" t="s">
        <v>10</v>
      </c>
      <c r="H290" t="s">
        <v>22</v>
      </c>
      <c r="I290" s="10" t="s">
        <v>8</v>
      </c>
      <c r="J290" t="s">
        <v>8</v>
      </c>
      <c r="K290" s="10" t="e">
        <f t="shared" si="4"/>
        <v>#VALUE!</v>
      </c>
    </row>
    <row r="291" spans="1:11" x14ac:dyDescent="0.35">
      <c r="A291" t="s">
        <v>15</v>
      </c>
      <c r="B291" s="3">
        <v>45596</v>
      </c>
      <c r="C291" t="s">
        <v>1124</v>
      </c>
      <c r="D291" t="s">
        <v>306</v>
      </c>
      <c r="E291" t="s">
        <v>255</v>
      </c>
      <c r="F291" t="s">
        <v>11</v>
      </c>
      <c r="G291" t="s">
        <v>10</v>
      </c>
      <c r="H291" t="s">
        <v>22</v>
      </c>
      <c r="I291" s="10" t="s">
        <v>8</v>
      </c>
      <c r="J291" t="s">
        <v>8</v>
      </c>
      <c r="K291" s="10" t="e">
        <f t="shared" si="4"/>
        <v>#VALUE!</v>
      </c>
    </row>
    <row r="292" spans="1:11" x14ac:dyDescent="0.35">
      <c r="A292" t="s">
        <v>15</v>
      </c>
      <c r="B292" s="3">
        <v>45636</v>
      </c>
      <c r="C292" t="s">
        <v>1123</v>
      </c>
      <c r="D292" t="s">
        <v>465</v>
      </c>
      <c r="F292" t="s">
        <v>11</v>
      </c>
      <c r="G292" t="s">
        <v>10</v>
      </c>
      <c r="H292" t="s">
        <v>22</v>
      </c>
      <c r="I292" s="10" t="s">
        <v>8</v>
      </c>
      <c r="J292" t="s">
        <v>8</v>
      </c>
      <c r="K292" s="10" t="e">
        <f t="shared" si="4"/>
        <v>#VALUE!</v>
      </c>
    </row>
    <row r="293" spans="1:11" x14ac:dyDescent="0.35">
      <c r="A293" t="s">
        <v>15</v>
      </c>
      <c r="B293" s="3">
        <v>45631</v>
      </c>
      <c r="C293" t="s">
        <v>1122</v>
      </c>
      <c r="D293" t="s">
        <v>1121</v>
      </c>
      <c r="E293" t="s">
        <v>512</v>
      </c>
      <c r="F293" t="s">
        <v>11</v>
      </c>
      <c r="G293" t="s">
        <v>10</v>
      </c>
      <c r="H293" t="s">
        <v>22</v>
      </c>
      <c r="I293" s="10" t="s">
        <v>8</v>
      </c>
      <c r="J293" t="s">
        <v>8</v>
      </c>
      <c r="K293" s="10" t="e">
        <f t="shared" si="4"/>
        <v>#VALUE!</v>
      </c>
    </row>
    <row r="294" spans="1:11" x14ac:dyDescent="0.35">
      <c r="A294" t="s">
        <v>15</v>
      </c>
      <c r="B294" s="3">
        <v>45636</v>
      </c>
      <c r="C294" t="s">
        <v>1120</v>
      </c>
      <c r="D294" t="s">
        <v>1119</v>
      </c>
      <c r="F294" t="s">
        <v>11</v>
      </c>
      <c r="G294" t="s">
        <v>10</v>
      </c>
      <c r="H294" t="s">
        <v>22</v>
      </c>
      <c r="I294" s="10" t="s">
        <v>8</v>
      </c>
      <c r="J294" t="s">
        <v>8</v>
      </c>
      <c r="K294" s="10" t="e">
        <f t="shared" si="4"/>
        <v>#VALUE!</v>
      </c>
    </row>
    <row r="295" spans="1:11" x14ac:dyDescent="0.35">
      <c r="A295" t="s">
        <v>15</v>
      </c>
      <c r="B295" s="3">
        <v>45615</v>
      </c>
      <c r="C295" t="s">
        <v>1118</v>
      </c>
      <c r="D295" t="s">
        <v>1117</v>
      </c>
      <c r="E295" t="s">
        <v>1116</v>
      </c>
      <c r="F295" t="s">
        <v>11</v>
      </c>
      <c r="G295" t="s">
        <v>10</v>
      </c>
      <c r="H295" t="s">
        <v>22</v>
      </c>
      <c r="I295" s="10" t="s">
        <v>8</v>
      </c>
      <c r="J295" t="s">
        <v>8</v>
      </c>
      <c r="K295" s="10" t="e">
        <f t="shared" si="4"/>
        <v>#VALUE!</v>
      </c>
    </row>
    <row r="296" spans="1:11" x14ac:dyDescent="0.35">
      <c r="A296" t="s">
        <v>15</v>
      </c>
      <c r="B296" s="3">
        <v>45580</v>
      </c>
      <c r="C296" t="s">
        <v>1115</v>
      </c>
      <c r="D296" t="s">
        <v>323</v>
      </c>
      <c r="E296" t="s">
        <v>1099</v>
      </c>
      <c r="F296" t="s">
        <v>11</v>
      </c>
      <c r="G296" t="s">
        <v>10</v>
      </c>
      <c r="H296" t="s">
        <v>22</v>
      </c>
      <c r="I296" s="10" t="s">
        <v>8</v>
      </c>
      <c r="J296" t="s">
        <v>8</v>
      </c>
      <c r="K296" s="10" t="e">
        <f t="shared" si="4"/>
        <v>#VALUE!</v>
      </c>
    </row>
    <row r="297" spans="1:11" x14ac:dyDescent="0.35">
      <c r="A297" t="s">
        <v>15</v>
      </c>
      <c r="B297" s="3">
        <v>45576</v>
      </c>
      <c r="C297" t="s">
        <v>1114</v>
      </c>
      <c r="D297" t="s">
        <v>1113</v>
      </c>
      <c r="E297" t="s">
        <v>1112</v>
      </c>
      <c r="F297" t="s">
        <v>11</v>
      </c>
      <c r="G297" t="s">
        <v>10</v>
      </c>
      <c r="H297" t="s">
        <v>22</v>
      </c>
      <c r="I297" s="10" t="s">
        <v>8</v>
      </c>
      <c r="J297" t="s">
        <v>8</v>
      </c>
      <c r="K297" s="10" t="e">
        <f t="shared" si="4"/>
        <v>#VALUE!</v>
      </c>
    </row>
    <row r="298" spans="1:11" x14ac:dyDescent="0.35">
      <c r="A298" t="s">
        <v>15</v>
      </c>
      <c r="B298" s="3">
        <v>45614</v>
      </c>
      <c r="C298" t="s">
        <v>1111</v>
      </c>
      <c r="D298" t="s">
        <v>1110</v>
      </c>
      <c r="E298" t="s">
        <v>782</v>
      </c>
      <c r="F298" t="s">
        <v>11</v>
      </c>
      <c r="G298" t="s">
        <v>10</v>
      </c>
      <c r="H298" t="s">
        <v>22</v>
      </c>
      <c r="I298" s="10" t="s">
        <v>8</v>
      </c>
      <c r="J298" t="s">
        <v>8</v>
      </c>
      <c r="K298" s="10" t="e">
        <f t="shared" si="4"/>
        <v>#VALUE!</v>
      </c>
    </row>
    <row r="299" spans="1:11" x14ac:dyDescent="0.35">
      <c r="A299" t="s">
        <v>15</v>
      </c>
      <c r="B299" s="3">
        <v>45630</v>
      </c>
      <c r="C299" t="s">
        <v>1109</v>
      </c>
      <c r="D299" t="s">
        <v>1108</v>
      </c>
      <c r="F299" t="s">
        <v>11</v>
      </c>
      <c r="G299" t="s">
        <v>10</v>
      </c>
      <c r="H299" t="s">
        <v>22</v>
      </c>
      <c r="I299" s="10" t="s">
        <v>8</v>
      </c>
      <c r="J299" t="s">
        <v>8</v>
      </c>
      <c r="K299" s="10" t="e">
        <f t="shared" si="4"/>
        <v>#VALUE!</v>
      </c>
    </row>
    <row r="300" spans="1:11" x14ac:dyDescent="0.35">
      <c r="A300" t="s">
        <v>15</v>
      </c>
      <c r="B300" s="3">
        <v>45640</v>
      </c>
      <c r="C300" t="s">
        <v>1107</v>
      </c>
      <c r="D300" t="s">
        <v>255</v>
      </c>
      <c r="F300" t="s">
        <v>11</v>
      </c>
      <c r="G300" t="s">
        <v>10</v>
      </c>
      <c r="H300" t="s">
        <v>22</v>
      </c>
      <c r="I300" s="10" t="s">
        <v>8</v>
      </c>
      <c r="J300" t="s">
        <v>8</v>
      </c>
      <c r="K300" s="10" t="e">
        <f t="shared" si="4"/>
        <v>#VALUE!</v>
      </c>
    </row>
    <row r="301" spans="1:11" x14ac:dyDescent="0.35">
      <c r="A301" t="s">
        <v>15</v>
      </c>
      <c r="B301" s="3">
        <v>45566</v>
      </c>
      <c r="C301" t="s">
        <v>1106</v>
      </c>
      <c r="D301" t="s">
        <v>28</v>
      </c>
      <c r="E301" t="s">
        <v>1105</v>
      </c>
      <c r="F301" t="s">
        <v>11</v>
      </c>
      <c r="G301" t="s">
        <v>10</v>
      </c>
      <c r="H301" t="s">
        <v>22</v>
      </c>
      <c r="I301" s="10" t="s">
        <v>8</v>
      </c>
      <c r="J301" t="s">
        <v>8</v>
      </c>
      <c r="K301" s="10" t="e">
        <f t="shared" si="4"/>
        <v>#VALUE!</v>
      </c>
    </row>
    <row r="302" spans="1:11" x14ac:dyDescent="0.35">
      <c r="A302" t="s">
        <v>15</v>
      </c>
      <c r="B302" s="3">
        <v>45630</v>
      </c>
      <c r="C302" t="s">
        <v>1104</v>
      </c>
      <c r="D302" t="s">
        <v>663</v>
      </c>
      <c r="F302" t="s">
        <v>11</v>
      </c>
      <c r="G302" t="s">
        <v>10</v>
      </c>
      <c r="H302" t="s">
        <v>22</v>
      </c>
      <c r="I302" s="10" t="s">
        <v>8</v>
      </c>
      <c r="J302" t="s">
        <v>8</v>
      </c>
      <c r="K302" s="10" t="e">
        <f t="shared" si="4"/>
        <v>#VALUE!</v>
      </c>
    </row>
    <row r="303" spans="1:11" x14ac:dyDescent="0.35">
      <c r="A303" t="s">
        <v>15</v>
      </c>
      <c r="B303" s="3">
        <v>45614</v>
      </c>
      <c r="C303" t="s">
        <v>1103</v>
      </c>
      <c r="D303" t="s">
        <v>1069</v>
      </c>
      <c r="E303" t="s">
        <v>1102</v>
      </c>
      <c r="F303" t="s">
        <v>11</v>
      </c>
      <c r="G303" t="s">
        <v>10</v>
      </c>
      <c r="H303" t="s">
        <v>22</v>
      </c>
      <c r="I303" s="10" t="s">
        <v>8</v>
      </c>
      <c r="J303" t="s">
        <v>8</v>
      </c>
      <c r="K303" s="10" t="e">
        <f t="shared" si="4"/>
        <v>#VALUE!</v>
      </c>
    </row>
    <row r="304" spans="1:11" x14ac:dyDescent="0.35">
      <c r="A304" t="s">
        <v>15</v>
      </c>
      <c r="B304" s="3">
        <v>45643</v>
      </c>
      <c r="C304" t="s">
        <v>1101</v>
      </c>
      <c r="D304" t="s">
        <v>1070</v>
      </c>
      <c r="F304" t="s">
        <v>11</v>
      </c>
      <c r="G304" t="s">
        <v>25</v>
      </c>
      <c r="H304" t="s">
        <v>22</v>
      </c>
      <c r="I304" s="10" t="s">
        <v>8</v>
      </c>
      <c r="J304" t="s">
        <v>8</v>
      </c>
      <c r="K304" s="10" t="e">
        <f t="shared" si="4"/>
        <v>#VALUE!</v>
      </c>
    </row>
    <row r="305" spans="1:11" x14ac:dyDescent="0.35">
      <c r="A305" t="s">
        <v>15</v>
      </c>
      <c r="B305" s="3">
        <v>45629</v>
      </c>
      <c r="C305" t="s">
        <v>1100</v>
      </c>
      <c r="D305" t="s">
        <v>227</v>
      </c>
      <c r="E305" t="s">
        <v>1099</v>
      </c>
      <c r="F305" t="s">
        <v>11</v>
      </c>
      <c r="G305" t="s">
        <v>10</v>
      </c>
      <c r="H305" t="s">
        <v>22</v>
      </c>
      <c r="I305" s="10" t="s">
        <v>8</v>
      </c>
      <c r="J305" t="s">
        <v>8</v>
      </c>
      <c r="K305" s="10" t="e">
        <f t="shared" si="4"/>
        <v>#VALUE!</v>
      </c>
    </row>
    <row r="306" spans="1:11" x14ac:dyDescent="0.35">
      <c r="A306" t="s">
        <v>15</v>
      </c>
      <c r="B306" s="3">
        <v>45637</v>
      </c>
      <c r="C306" t="s">
        <v>1098</v>
      </c>
      <c r="D306" t="s">
        <v>1097</v>
      </c>
      <c r="F306" t="s">
        <v>11</v>
      </c>
      <c r="G306" t="s">
        <v>10</v>
      </c>
      <c r="H306" t="s">
        <v>22</v>
      </c>
      <c r="I306" s="10" t="s">
        <v>8</v>
      </c>
      <c r="J306" t="s">
        <v>8</v>
      </c>
      <c r="K306" s="10" t="e">
        <f t="shared" si="4"/>
        <v>#VALUE!</v>
      </c>
    </row>
    <row r="307" spans="1:11" x14ac:dyDescent="0.35">
      <c r="A307" t="s">
        <v>15</v>
      </c>
      <c r="B307" s="3">
        <v>45607</v>
      </c>
      <c r="C307" t="s">
        <v>1096</v>
      </c>
      <c r="D307" t="s">
        <v>449</v>
      </c>
      <c r="F307" t="s">
        <v>11</v>
      </c>
      <c r="G307" t="s">
        <v>10</v>
      </c>
      <c r="H307" t="s">
        <v>22</v>
      </c>
      <c r="I307" s="10" t="s">
        <v>8</v>
      </c>
      <c r="J307" t="s">
        <v>8</v>
      </c>
      <c r="K307" s="10" t="e">
        <f t="shared" si="4"/>
        <v>#VALUE!</v>
      </c>
    </row>
    <row r="308" spans="1:11" x14ac:dyDescent="0.35">
      <c r="A308" t="s">
        <v>15</v>
      </c>
      <c r="B308" s="3">
        <v>45583</v>
      </c>
      <c r="C308" t="s">
        <v>1095</v>
      </c>
      <c r="D308" t="s">
        <v>451</v>
      </c>
      <c r="F308" t="s">
        <v>11</v>
      </c>
      <c r="G308" t="s">
        <v>10</v>
      </c>
      <c r="H308" t="s">
        <v>22</v>
      </c>
      <c r="I308" s="10" t="s">
        <v>8</v>
      </c>
      <c r="J308" t="s">
        <v>8</v>
      </c>
      <c r="K308" s="10" t="e">
        <f t="shared" si="4"/>
        <v>#VALUE!</v>
      </c>
    </row>
    <row r="309" spans="1:11" x14ac:dyDescent="0.35">
      <c r="A309" t="s">
        <v>15</v>
      </c>
      <c r="B309" s="3">
        <v>45693</v>
      </c>
      <c r="C309" t="s">
        <v>1094</v>
      </c>
      <c r="D309" t="s">
        <v>491</v>
      </c>
      <c r="F309" t="s">
        <v>11</v>
      </c>
      <c r="G309" t="s">
        <v>10</v>
      </c>
      <c r="H309" t="s">
        <v>22</v>
      </c>
      <c r="I309" s="10" t="s">
        <v>8</v>
      </c>
      <c r="J309" t="s">
        <v>8</v>
      </c>
      <c r="K309" s="10" t="e">
        <f t="shared" si="4"/>
        <v>#VALUE!</v>
      </c>
    </row>
    <row r="310" spans="1:11" x14ac:dyDescent="0.35">
      <c r="A310" t="s">
        <v>15</v>
      </c>
      <c r="B310" s="3">
        <v>45693</v>
      </c>
      <c r="C310" t="s">
        <v>1093</v>
      </c>
      <c r="D310" t="s">
        <v>1092</v>
      </c>
      <c r="F310" t="s">
        <v>11</v>
      </c>
      <c r="G310" t="s">
        <v>10</v>
      </c>
      <c r="H310" t="s">
        <v>22</v>
      </c>
      <c r="I310" s="10" t="s">
        <v>8</v>
      </c>
      <c r="J310" t="s">
        <v>8</v>
      </c>
      <c r="K310" s="10" t="e">
        <f t="shared" si="4"/>
        <v>#VALUE!</v>
      </c>
    </row>
    <row r="311" spans="1:11" x14ac:dyDescent="0.35">
      <c r="A311" t="s">
        <v>15</v>
      </c>
      <c r="B311" s="3">
        <v>45663</v>
      </c>
      <c r="C311" t="s">
        <v>1091</v>
      </c>
      <c r="D311" t="s">
        <v>898</v>
      </c>
      <c r="F311" t="s">
        <v>11</v>
      </c>
      <c r="G311" t="s">
        <v>10</v>
      </c>
      <c r="H311" t="s">
        <v>22</v>
      </c>
      <c r="I311" s="10" t="s">
        <v>8</v>
      </c>
      <c r="J311" t="s">
        <v>8</v>
      </c>
      <c r="K311" s="10" t="e">
        <f t="shared" si="4"/>
        <v>#VALUE!</v>
      </c>
    </row>
    <row r="312" spans="1:11" x14ac:dyDescent="0.35">
      <c r="A312" t="s">
        <v>15</v>
      </c>
      <c r="B312" s="3">
        <v>45659</v>
      </c>
      <c r="C312" t="s">
        <v>1090</v>
      </c>
      <c r="D312" t="s">
        <v>1089</v>
      </c>
      <c r="F312" t="s">
        <v>11</v>
      </c>
      <c r="G312" t="s">
        <v>10</v>
      </c>
      <c r="H312" t="s">
        <v>22</v>
      </c>
      <c r="I312" s="10" t="s">
        <v>8</v>
      </c>
      <c r="J312" t="s">
        <v>8</v>
      </c>
      <c r="K312" s="10" t="e">
        <f t="shared" si="4"/>
        <v>#VALUE!</v>
      </c>
    </row>
    <row r="313" spans="1:11" x14ac:dyDescent="0.35">
      <c r="A313" t="s">
        <v>15</v>
      </c>
      <c r="B313" s="3">
        <v>45570</v>
      </c>
      <c r="C313" t="s">
        <v>1088</v>
      </c>
      <c r="D313" t="s">
        <v>1087</v>
      </c>
      <c r="E313" t="s">
        <v>1086</v>
      </c>
      <c r="F313" t="s">
        <v>11</v>
      </c>
      <c r="G313" t="s">
        <v>10</v>
      </c>
      <c r="H313" t="s">
        <v>22</v>
      </c>
      <c r="I313" s="10" t="s">
        <v>8</v>
      </c>
      <c r="J313" t="s">
        <v>8</v>
      </c>
      <c r="K313" s="10" t="e">
        <f t="shared" si="4"/>
        <v>#VALUE!</v>
      </c>
    </row>
    <row r="314" spans="1:11" x14ac:dyDescent="0.35">
      <c r="A314" t="s">
        <v>15</v>
      </c>
      <c r="B314" s="3">
        <v>45663</v>
      </c>
      <c r="C314" t="s">
        <v>1085</v>
      </c>
      <c r="D314" t="s">
        <v>1083</v>
      </c>
      <c r="F314" t="s">
        <v>11</v>
      </c>
      <c r="G314" t="s">
        <v>10</v>
      </c>
      <c r="H314" t="s">
        <v>22</v>
      </c>
      <c r="I314" s="10" t="s">
        <v>8</v>
      </c>
      <c r="J314" t="s">
        <v>8</v>
      </c>
      <c r="K314" s="10" t="e">
        <f t="shared" si="4"/>
        <v>#VALUE!</v>
      </c>
    </row>
    <row r="315" spans="1:11" x14ac:dyDescent="0.35">
      <c r="A315" t="s">
        <v>15</v>
      </c>
      <c r="B315" s="3">
        <v>45663</v>
      </c>
      <c r="C315" t="s">
        <v>1084</v>
      </c>
      <c r="D315" t="s">
        <v>1083</v>
      </c>
      <c r="E315" t="s">
        <v>1030</v>
      </c>
      <c r="F315" t="s">
        <v>11</v>
      </c>
      <c r="G315" t="s">
        <v>10</v>
      </c>
      <c r="H315" t="s">
        <v>22</v>
      </c>
      <c r="I315" s="10" t="s">
        <v>8</v>
      </c>
      <c r="J315" t="s">
        <v>8</v>
      </c>
      <c r="K315" s="10" t="e">
        <f t="shared" si="4"/>
        <v>#VALUE!</v>
      </c>
    </row>
    <row r="316" spans="1:11" x14ac:dyDescent="0.35">
      <c r="A316" t="s">
        <v>15</v>
      </c>
      <c r="B316" s="3">
        <v>45663</v>
      </c>
      <c r="C316" t="s">
        <v>1082</v>
      </c>
      <c r="D316" t="s">
        <v>1052</v>
      </c>
      <c r="F316" t="s">
        <v>11</v>
      </c>
      <c r="G316" t="s">
        <v>10</v>
      </c>
      <c r="H316" t="s">
        <v>22</v>
      </c>
      <c r="I316" s="10" t="s">
        <v>8</v>
      </c>
      <c r="J316" t="s">
        <v>8</v>
      </c>
      <c r="K316" s="10" t="e">
        <f t="shared" si="4"/>
        <v>#VALUE!</v>
      </c>
    </row>
    <row r="317" spans="1:11" x14ac:dyDescent="0.35">
      <c r="A317" t="s">
        <v>15</v>
      </c>
      <c r="B317" s="3">
        <v>45642</v>
      </c>
      <c r="C317" t="s">
        <v>1081</v>
      </c>
      <c r="D317" t="s">
        <v>1080</v>
      </c>
      <c r="E317" t="s">
        <v>1079</v>
      </c>
      <c r="F317" t="s">
        <v>11</v>
      </c>
      <c r="G317" t="s">
        <v>10</v>
      </c>
      <c r="H317" t="s">
        <v>22</v>
      </c>
      <c r="I317" s="10" t="s">
        <v>8</v>
      </c>
      <c r="J317" t="s">
        <v>8</v>
      </c>
      <c r="K317" s="10" t="e">
        <f t="shared" si="4"/>
        <v>#VALUE!</v>
      </c>
    </row>
    <row r="318" spans="1:11" x14ac:dyDescent="0.35">
      <c r="A318" t="s">
        <v>15</v>
      </c>
      <c r="B318" s="3">
        <v>45665</v>
      </c>
      <c r="C318" t="s">
        <v>1078</v>
      </c>
      <c r="D318" t="s">
        <v>1077</v>
      </c>
      <c r="F318" t="s">
        <v>11</v>
      </c>
      <c r="G318" t="s">
        <v>10</v>
      </c>
      <c r="H318" t="s">
        <v>22</v>
      </c>
      <c r="I318" s="10" t="s">
        <v>8</v>
      </c>
      <c r="J318" t="s">
        <v>8</v>
      </c>
      <c r="K318" s="10" t="e">
        <f t="shared" si="4"/>
        <v>#VALUE!</v>
      </c>
    </row>
    <row r="319" spans="1:11" x14ac:dyDescent="0.35">
      <c r="A319" t="s">
        <v>15</v>
      </c>
      <c r="B319" s="3">
        <v>45666</v>
      </c>
      <c r="C319" t="s">
        <v>1076</v>
      </c>
      <c r="D319" t="s">
        <v>1075</v>
      </c>
      <c r="F319" t="s">
        <v>11</v>
      </c>
      <c r="G319" t="s">
        <v>10</v>
      </c>
      <c r="H319" t="s">
        <v>22</v>
      </c>
      <c r="I319" s="10" t="s">
        <v>8</v>
      </c>
      <c r="J319" t="s">
        <v>8</v>
      </c>
      <c r="K319" s="10" t="e">
        <f t="shared" si="4"/>
        <v>#VALUE!</v>
      </c>
    </row>
    <row r="320" spans="1:11" x14ac:dyDescent="0.35">
      <c r="A320" t="s">
        <v>15</v>
      </c>
      <c r="B320" s="3">
        <v>45666</v>
      </c>
      <c r="C320" t="s">
        <v>1074</v>
      </c>
      <c r="D320" t="s">
        <v>1073</v>
      </c>
      <c r="E320" t="s">
        <v>1072</v>
      </c>
      <c r="F320" t="s">
        <v>11</v>
      </c>
      <c r="G320" t="s">
        <v>10</v>
      </c>
      <c r="H320" t="s">
        <v>22</v>
      </c>
      <c r="I320" s="10" t="s">
        <v>8</v>
      </c>
      <c r="J320" t="s">
        <v>8</v>
      </c>
      <c r="K320" s="10" t="e">
        <f t="shared" si="4"/>
        <v>#VALUE!</v>
      </c>
    </row>
    <row r="321" spans="1:11" x14ac:dyDescent="0.35">
      <c r="A321" t="s">
        <v>15</v>
      </c>
      <c r="B321" s="3">
        <v>45665</v>
      </c>
      <c r="C321" t="s">
        <v>1071</v>
      </c>
      <c r="D321" t="s">
        <v>1070</v>
      </c>
      <c r="E321" t="s">
        <v>1069</v>
      </c>
      <c r="F321" t="s">
        <v>11</v>
      </c>
      <c r="G321" t="s">
        <v>10</v>
      </c>
      <c r="H321" t="s">
        <v>22</v>
      </c>
      <c r="I321" s="10" t="s">
        <v>8</v>
      </c>
      <c r="J321" t="s">
        <v>8</v>
      </c>
      <c r="K321" s="10" t="e">
        <f t="shared" si="4"/>
        <v>#VALUE!</v>
      </c>
    </row>
    <row r="322" spans="1:11" x14ac:dyDescent="0.35">
      <c r="A322" t="s">
        <v>15</v>
      </c>
      <c r="B322" s="3">
        <v>45617</v>
      </c>
      <c r="C322" t="s">
        <v>1068</v>
      </c>
      <c r="D322" t="s">
        <v>807</v>
      </c>
      <c r="E322" t="s">
        <v>922</v>
      </c>
      <c r="F322" t="s">
        <v>11</v>
      </c>
      <c r="G322" t="s">
        <v>10</v>
      </c>
      <c r="H322" t="s">
        <v>22</v>
      </c>
      <c r="I322" s="10" t="s">
        <v>8</v>
      </c>
      <c r="J322" t="s">
        <v>8</v>
      </c>
      <c r="K322" s="10" t="e">
        <f t="shared" si="4"/>
        <v>#VALUE!</v>
      </c>
    </row>
    <row r="323" spans="1:11" x14ac:dyDescent="0.35">
      <c r="A323" t="s">
        <v>15</v>
      </c>
      <c r="B323" s="3">
        <v>45652</v>
      </c>
      <c r="C323" t="s">
        <v>1067</v>
      </c>
      <c r="D323" t="s">
        <v>1066</v>
      </c>
      <c r="F323" t="s">
        <v>11</v>
      </c>
      <c r="G323" t="s">
        <v>10</v>
      </c>
      <c r="H323" t="s">
        <v>22</v>
      </c>
      <c r="I323" s="10" t="s">
        <v>8</v>
      </c>
      <c r="J323" t="s">
        <v>8</v>
      </c>
      <c r="K323" s="10" t="e">
        <f t="shared" ref="K323:K386" si="5">1/J323</f>
        <v>#VALUE!</v>
      </c>
    </row>
    <row r="324" spans="1:11" x14ac:dyDescent="0.35">
      <c r="A324" t="s">
        <v>15</v>
      </c>
      <c r="B324" s="3">
        <v>45666</v>
      </c>
      <c r="C324" t="s">
        <v>1065</v>
      </c>
      <c r="D324" t="s">
        <v>1064</v>
      </c>
      <c r="E324" t="s">
        <v>1063</v>
      </c>
      <c r="F324" t="s">
        <v>11</v>
      </c>
      <c r="G324" t="s">
        <v>10</v>
      </c>
      <c r="H324" t="s">
        <v>22</v>
      </c>
      <c r="I324" s="10" t="s">
        <v>8</v>
      </c>
      <c r="J324" t="s">
        <v>8</v>
      </c>
      <c r="K324" s="10" t="e">
        <f t="shared" si="5"/>
        <v>#VALUE!</v>
      </c>
    </row>
    <row r="325" spans="1:11" x14ac:dyDescent="0.35">
      <c r="A325" t="s">
        <v>15</v>
      </c>
      <c r="B325" s="3">
        <v>45667</v>
      </c>
      <c r="C325" t="s">
        <v>1062</v>
      </c>
      <c r="D325" t="s">
        <v>779</v>
      </c>
      <c r="E325" t="s">
        <v>1061</v>
      </c>
      <c r="F325" t="s">
        <v>11</v>
      </c>
      <c r="G325" t="s">
        <v>10</v>
      </c>
      <c r="H325" t="s">
        <v>22</v>
      </c>
      <c r="I325" s="10" t="s">
        <v>8</v>
      </c>
      <c r="J325" t="s">
        <v>8</v>
      </c>
      <c r="K325" s="10" t="e">
        <f t="shared" si="5"/>
        <v>#VALUE!</v>
      </c>
    </row>
    <row r="326" spans="1:11" x14ac:dyDescent="0.35">
      <c r="A326" t="s">
        <v>15</v>
      </c>
      <c r="B326" s="3">
        <v>45670</v>
      </c>
      <c r="C326" t="s">
        <v>1060</v>
      </c>
      <c r="D326" t="s">
        <v>1059</v>
      </c>
      <c r="E326" t="s">
        <v>1058</v>
      </c>
      <c r="F326" t="s">
        <v>11</v>
      </c>
      <c r="G326" t="s">
        <v>10</v>
      </c>
      <c r="H326" t="s">
        <v>22</v>
      </c>
      <c r="I326" s="10" t="s">
        <v>8</v>
      </c>
      <c r="J326" t="s">
        <v>8</v>
      </c>
      <c r="K326" s="10" t="e">
        <f t="shared" si="5"/>
        <v>#VALUE!</v>
      </c>
    </row>
    <row r="327" spans="1:11" x14ac:dyDescent="0.35">
      <c r="A327" t="s">
        <v>15</v>
      </c>
      <c r="B327" s="3">
        <v>45671</v>
      </c>
      <c r="C327" t="s">
        <v>1057</v>
      </c>
      <c r="D327" t="s">
        <v>170</v>
      </c>
      <c r="F327" t="s">
        <v>11</v>
      </c>
      <c r="G327" t="s">
        <v>10</v>
      </c>
      <c r="H327" t="s">
        <v>22</v>
      </c>
      <c r="I327" s="10" t="s">
        <v>8</v>
      </c>
      <c r="J327" t="s">
        <v>8</v>
      </c>
      <c r="K327" s="10" t="e">
        <f t="shared" si="5"/>
        <v>#VALUE!</v>
      </c>
    </row>
    <row r="328" spans="1:11" x14ac:dyDescent="0.35">
      <c r="A328" t="s">
        <v>15</v>
      </c>
      <c r="B328" s="3">
        <v>45665</v>
      </c>
      <c r="C328" t="s">
        <v>1056</v>
      </c>
      <c r="D328" t="s">
        <v>1055</v>
      </c>
      <c r="E328" t="s">
        <v>1054</v>
      </c>
      <c r="F328" t="s">
        <v>11</v>
      </c>
      <c r="G328" t="s">
        <v>10</v>
      </c>
      <c r="H328" t="s">
        <v>22</v>
      </c>
      <c r="I328" s="10" t="s">
        <v>8</v>
      </c>
      <c r="J328" t="s">
        <v>8</v>
      </c>
      <c r="K328" s="10" t="e">
        <f t="shared" si="5"/>
        <v>#VALUE!</v>
      </c>
    </row>
    <row r="329" spans="1:11" x14ac:dyDescent="0.35">
      <c r="A329" t="s">
        <v>15</v>
      </c>
      <c r="B329" s="3">
        <v>45670</v>
      </c>
      <c r="C329" t="s">
        <v>1053</v>
      </c>
      <c r="D329" t="s">
        <v>1052</v>
      </c>
      <c r="F329" t="s">
        <v>11</v>
      </c>
      <c r="G329" t="s">
        <v>10</v>
      </c>
      <c r="H329" t="s">
        <v>22</v>
      </c>
      <c r="I329" s="10" t="s">
        <v>8</v>
      </c>
      <c r="J329" t="s">
        <v>8</v>
      </c>
      <c r="K329" s="10" t="e">
        <f t="shared" si="5"/>
        <v>#VALUE!</v>
      </c>
    </row>
    <row r="330" spans="1:11" x14ac:dyDescent="0.35">
      <c r="A330" t="s">
        <v>15</v>
      </c>
      <c r="B330" s="3">
        <v>45673</v>
      </c>
      <c r="C330" t="s">
        <v>1051</v>
      </c>
      <c r="D330" t="s">
        <v>1050</v>
      </c>
      <c r="E330" t="s">
        <v>504</v>
      </c>
      <c r="F330" t="s">
        <v>11</v>
      </c>
      <c r="G330" t="s">
        <v>10</v>
      </c>
      <c r="H330" t="s">
        <v>22</v>
      </c>
      <c r="I330" s="10" t="s">
        <v>8</v>
      </c>
      <c r="J330" t="s">
        <v>8</v>
      </c>
      <c r="K330" s="10" t="e">
        <f t="shared" si="5"/>
        <v>#VALUE!</v>
      </c>
    </row>
    <row r="331" spans="1:11" x14ac:dyDescent="0.35">
      <c r="A331" t="s">
        <v>15</v>
      </c>
      <c r="B331" s="3">
        <v>45630</v>
      </c>
      <c r="C331" t="s">
        <v>1049</v>
      </c>
      <c r="D331" t="s">
        <v>1048</v>
      </c>
      <c r="F331" t="s">
        <v>11</v>
      </c>
      <c r="G331" t="s">
        <v>25</v>
      </c>
      <c r="H331" t="s">
        <v>22</v>
      </c>
      <c r="I331" s="10" t="s">
        <v>8</v>
      </c>
      <c r="J331" t="s">
        <v>8</v>
      </c>
      <c r="K331" s="10" t="e">
        <f t="shared" si="5"/>
        <v>#VALUE!</v>
      </c>
    </row>
    <row r="332" spans="1:11" x14ac:dyDescent="0.35">
      <c r="A332" t="s">
        <v>15</v>
      </c>
      <c r="B332" s="3">
        <v>45608</v>
      </c>
      <c r="C332" t="s">
        <v>1047</v>
      </c>
      <c r="D332" t="s">
        <v>625</v>
      </c>
      <c r="F332" t="s">
        <v>11</v>
      </c>
      <c r="G332" t="s">
        <v>10</v>
      </c>
      <c r="H332" t="s">
        <v>22</v>
      </c>
      <c r="I332" s="10" t="s">
        <v>8</v>
      </c>
      <c r="J332" t="s">
        <v>8</v>
      </c>
      <c r="K332" s="10" t="e">
        <f t="shared" si="5"/>
        <v>#VALUE!</v>
      </c>
    </row>
    <row r="333" spans="1:11" x14ac:dyDescent="0.35">
      <c r="A333" t="s">
        <v>15</v>
      </c>
      <c r="B333" s="3">
        <v>45673</v>
      </c>
      <c r="C333" t="s">
        <v>1046</v>
      </c>
      <c r="D333" t="s">
        <v>1045</v>
      </c>
      <c r="E333" t="s">
        <v>1044</v>
      </c>
      <c r="F333" t="s">
        <v>11</v>
      </c>
      <c r="G333" t="s">
        <v>10</v>
      </c>
      <c r="H333" t="s">
        <v>33</v>
      </c>
      <c r="I333" s="10" t="s">
        <v>8</v>
      </c>
      <c r="J333" t="s">
        <v>8</v>
      </c>
      <c r="K333" s="10" t="e">
        <f t="shared" si="5"/>
        <v>#VALUE!</v>
      </c>
    </row>
    <row r="334" spans="1:11" x14ac:dyDescent="0.35">
      <c r="A334" t="s">
        <v>15</v>
      </c>
      <c r="B334" s="3">
        <v>45665</v>
      </c>
      <c r="C334" t="s">
        <v>1043</v>
      </c>
      <c r="D334" t="s">
        <v>1042</v>
      </c>
      <c r="F334" t="s">
        <v>11</v>
      </c>
      <c r="G334" t="s">
        <v>10</v>
      </c>
      <c r="H334" t="s">
        <v>22</v>
      </c>
      <c r="I334" s="10" t="s">
        <v>8</v>
      </c>
      <c r="J334" t="s">
        <v>8</v>
      </c>
      <c r="K334" s="10" t="e">
        <f t="shared" si="5"/>
        <v>#VALUE!</v>
      </c>
    </row>
    <row r="335" spans="1:11" x14ac:dyDescent="0.35">
      <c r="A335" t="s">
        <v>15</v>
      </c>
      <c r="B335" s="3">
        <v>45659</v>
      </c>
      <c r="C335" t="s">
        <v>1041</v>
      </c>
      <c r="D335" t="s">
        <v>17</v>
      </c>
      <c r="E335" t="s">
        <v>1040</v>
      </c>
      <c r="F335" t="s">
        <v>11</v>
      </c>
      <c r="G335" t="s">
        <v>10</v>
      </c>
      <c r="H335" t="s">
        <v>22</v>
      </c>
      <c r="I335" s="10" t="s">
        <v>8</v>
      </c>
      <c r="J335" t="s">
        <v>8</v>
      </c>
      <c r="K335" s="10" t="e">
        <f t="shared" si="5"/>
        <v>#VALUE!</v>
      </c>
    </row>
    <row r="336" spans="1:11" x14ac:dyDescent="0.35">
      <c r="A336" t="s">
        <v>15</v>
      </c>
      <c r="B336" s="3">
        <v>45686</v>
      </c>
      <c r="C336" t="s">
        <v>1039</v>
      </c>
      <c r="D336" t="s">
        <v>1038</v>
      </c>
      <c r="F336" t="s">
        <v>11</v>
      </c>
      <c r="G336" t="s">
        <v>10</v>
      </c>
      <c r="H336" t="s">
        <v>22</v>
      </c>
      <c r="I336" s="10" t="s">
        <v>8</v>
      </c>
      <c r="J336" t="s">
        <v>8</v>
      </c>
      <c r="K336" s="10" t="e">
        <f t="shared" si="5"/>
        <v>#VALUE!</v>
      </c>
    </row>
    <row r="337" spans="1:11" x14ac:dyDescent="0.35">
      <c r="A337" t="s">
        <v>15</v>
      </c>
      <c r="B337" s="3">
        <v>45680</v>
      </c>
      <c r="C337" t="s">
        <v>1037</v>
      </c>
      <c r="D337" t="s">
        <v>451</v>
      </c>
      <c r="E337" t="s">
        <v>1036</v>
      </c>
      <c r="F337" t="s">
        <v>11</v>
      </c>
      <c r="G337" t="s">
        <v>10</v>
      </c>
      <c r="H337" t="s">
        <v>22</v>
      </c>
      <c r="I337" s="10" t="s">
        <v>8</v>
      </c>
      <c r="J337" t="s">
        <v>8</v>
      </c>
      <c r="K337" s="10" t="e">
        <f t="shared" si="5"/>
        <v>#VALUE!</v>
      </c>
    </row>
    <row r="338" spans="1:11" x14ac:dyDescent="0.35">
      <c r="A338" t="s">
        <v>15</v>
      </c>
      <c r="B338" s="3">
        <v>45642</v>
      </c>
      <c r="C338" t="s">
        <v>1035</v>
      </c>
      <c r="D338" t="s">
        <v>1034</v>
      </c>
      <c r="E338" t="s">
        <v>1033</v>
      </c>
      <c r="F338" t="s">
        <v>11</v>
      </c>
      <c r="G338" t="s">
        <v>10</v>
      </c>
      <c r="H338" t="s">
        <v>22</v>
      </c>
      <c r="I338" s="10" t="s">
        <v>8</v>
      </c>
      <c r="J338" t="s">
        <v>8</v>
      </c>
      <c r="K338" s="10" t="e">
        <f t="shared" si="5"/>
        <v>#VALUE!</v>
      </c>
    </row>
    <row r="339" spans="1:11" x14ac:dyDescent="0.35">
      <c r="A339" t="s">
        <v>15</v>
      </c>
      <c r="B339" s="3">
        <v>45596</v>
      </c>
      <c r="C339" t="s">
        <v>1032</v>
      </c>
      <c r="D339" t="s">
        <v>767</v>
      </c>
      <c r="F339" t="s">
        <v>11</v>
      </c>
      <c r="G339" t="s">
        <v>10</v>
      </c>
      <c r="H339" t="s">
        <v>22</v>
      </c>
      <c r="I339" s="10" t="s">
        <v>8</v>
      </c>
      <c r="J339" t="s">
        <v>8</v>
      </c>
      <c r="K339" s="10" t="e">
        <f t="shared" si="5"/>
        <v>#VALUE!</v>
      </c>
    </row>
    <row r="340" spans="1:11" x14ac:dyDescent="0.35">
      <c r="A340" t="s">
        <v>15</v>
      </c>
      <c r="B340" s="3">
        <v>45638</v>
      </c>
      <c r="C340" t="s">
        <v>1031</v>
      </c>
      <c r="D340" t="s">
        <v>1030</v>
      </c>
      <c r="F340" t="s">
        <v>11</v>
      </c>
      <c r="G340" t="s">
        <v>10</v>
      </c>
      <c r="H340" t="s">
        <v>22</v>
      </c>
      <c r="I340" s="10" t="s">
        <v>8</v>
      </c>
      <c r="J340" t="s">
        <v>8</v>
      </c>
      <c r="K340" s="10" t="e">
        <f t="shared" si="5"/>
        <v>#VALUE!</v>
      </c>
    </row>
    <row r="341" spans="1:11" x14ac:dyDescent="0.35">
      <c r="A341" t="s">
        <v>15</v>
      </c>
      <c r="B341" s="3">
        <v>45673</v>
      </c>
      <c r="C341" t="s">
        <v>1029</v>
      </c>
      <c r="D341" t="s">
        <v>1028</v>
      </c>
      <c r="F341" t="s">
        <v>11</v>
      </c>
      <c r="G341" t="s">
        <v>10</v>
      </c>
      <c r="H341" t="s">
        <v>22</v>
      </c>
      <c r="I341" s="10" t="s">
        <v>8</v>
      </c>
      <c r="J341" t="s">
        <v>8</v>
      </c>
      <c r="K341" s="10" t="e">
        <f t="shared" si="5"/>
        <v>#VALUE!</v>
      </c>
    </row>
    <row r="342" spans="1:11" x14ac:dyDescent="0.35">
      <c r="A342" t="s">
        <v>15</v>
      </c>
      <c r="B342" s="3">
        <v>45678</v>
      </c>
      <c r="C342" t="s">
        <v>1027</v>
      </c>
      <c r="D342" t="s">
        <v>750</v>
      </c>
      <c r="F342" t="s">
        <v>11</v>
      </c>
      <c r="G342" t="s">
        <v>10</v>
      </c>
      <c r="H342" t="s">
        <v>22</v>
      </c>
      <c r="I342" s="10" t="s">
        <v>8</v>
      </c>
      <c r="J342" t="s">
        <v>8</v>
      </c>
      <c r="K342" s="10" t="e">
        <f t="shared" si="5"/>
        <v>#VALUE!</v>
      </c>
    </row>
    <row r="343" spans="1:11" x14ac:dyDescent="0.35">
      <c r="A343" t="s">
        <v>15</v>
      </c>
      <c r="B343" s="3">
        <v>45678</v>
      </c>
      <c r="C343" t="s">
        <v>1026</v>
      </c>
      <c r="D343" t="s">
        <v>1025</v>
      </c>
      <c r="F343" t="s">
        <v>11</v>
      </c>
      <c r="G343" t="s">
        <v>10</v>
      </c>
      <c r="H343" t="s">
        <v>22</v>
      </c>
      <c r="I343" s="10" t="s">
        <v>8</v>
      </c>
      <c r="J343" t="s">
        <v>8</v>
      </c>
      <c r="K343" s="10" t="e">
        <f t="shared" si="5"/>
        <v>#VALUE!</v>
      </c>
    </row>
    <row r="344" spans="1:11" x14ac:dyDescent="0.35">
      <c r="A344" t="s">
        <v>15</v>
      </c>
      <c r="B344" s="3">
        <v>45672</v>
      </c>
      <c r="C344" t="s">
        <v>1024</v>
      </c>
      <c r="D344" t="s">
        <v>1023</v>
      </c>
      <c r="F344" t="s">
        <v>11</v>
      </c>
      <c r="G344" t="s">
        <v>10</v>
      </c>
      <c r="H344" t="s">
        <v>22</v>
      </c>
      <c r="I344" s="10" t="s">
        <v>8</v>
      </c>
      <c r="J344" t="s">
        <v>8</v>
      </c>
      <c r="K344" s="10" t="e">
        <f t="shared" si="5"/>
        <v>#VALUE!</v>
      </c>
    </row>
    <row r="345" spans="1:11" x14ac:dyDescent="0.35">
      <c r="A345" t="s">
        <v>15</v>
      </c>
      <c r="B345" s="3">
        <v>45608</v>
      </c>
      <c r="C345" t="s">
        <v>1022</v>
      </c>
      <c r="D345" t="s">
        <v>1021</v>
      </c>
      <c r="F345" t="s">
        <v>11</v>
      </c>
      <c r="G345" t="s">
        <v>10</v>
      </c>
      <c r="H345" t="s">
        <v>22</v>
      </c>
      <c r="I345" s="10" t="s">
        <v>8</v>
      </c>
      <c r="J345" t="s">
        <v>8</v>
      </c>
      <c r="K345" s="10" t="e">
        <f t="shared" si="5"/>
        <v>#VALUE!</v>
      </c>
    </row>
    <row r="346" spans="1:11" x14ac:dyDescent="0.35">
      <c r="A346" t="s">
        <v>15</v>
      </c>
      <c r="B346" s="3">
        <v>45588</v>
      </c>
      <c r="C346" t="s">
        <v>1020</v>
      </c>
      <c r="D346" t="s">
        <v>1019</v>
      </c>
      <c r="E346" t="s">
        <v>1018</v>
      </c>
      <c r="F346" t="s">
        <v>11</v>
      </c>
      <c r="G346" t="s">
        <v>10</v>
      </c>
      <c r="H346" t="s">
        <v>22</v>
      </c>
      <c r="I346" s="10" t="s">
        <v>8</v>
      </c>
      <c r="J346" t="s">
        <v>8</v>
      </c>
      <c r="K346" s="10" t="e">
        <f t="shared" si="5"/>
        <v>#VALUE!</v>
      </c>
    </row>
    <row r="347" spans="1:11" x14ac:dyDescent="0.35">
      <c r="A347" t="s">
        <v>15</v>
      </c>
      <c r="B347" s="3">
        <v>45667</v>
      </c>
      <c r="C347" t="s">
        <v>1017</v>
      </c>
      <c r="D347" t="s">
        <v>1016</v>
      </c>
      <c r="F347" t="s">
        <v>11</v>
      </c>
      <c r="G347" t="s">
        <v>10</v>
      </c>
      <c r="H347" t="s">
        <v>22</v>
      </c>
      <c r="I347" s="10" t="s">
        <v>8</v>
      </c>
      <c r="J347" t="s">
        <v>8</v>
      </c>
      <c r="K347" s="10" t="e">
        <f t="shared" si="5"/>
        <v>#VALUE!</v>
      </c>
    </row>
    <row r="348" spans="1:11" x14ac:dyDescent="0.35">
      <c r="A348" t="s">
        <v>15</v>
      </c>
      <c r="B348" s="3">
        <v>45692</v>
      </c>
      <c r="C348" t="s">
        <v>1015</v>
      </c>
      <c r="D348" t="s">
        <v>130</v>
      </c>
      <c r="F348" t="s">
        <v>11</v>
      </c>
      <c r="G348" t="s">
        <v>10</v>
      </c>
      <c r="H348" t="s">
        <v>22</v>
      </c>
      <c r="I348" s="10" t="s">
        <v>8</v>
      </c>
      <c r="J348" t="s">
        <v>8</v>
      </c>
      <c r="K348" s="10" t="e">
        <f t="shared" si="5"/>
        <v>#VALUE!</v>
      </c>
    </row>
    <row r="349" spans="1:11" x14ac:dyDescent="0.35">
      <c r="A349" t="s">
        <v>15</v>
      </c>
      <c r="B349" s="3">
        <v>45693</v>
      </c>
      <c r="C349" t="s">
        <v>1014</v>
      </c>
      <c r="D349" t="s">
        <v>1013</v>
      </c>
      <c r="E349" t="s">
        <v>1012</v>
      </c>
      <c r="F349" t="s">
        <v>11</v>
      </c>
      <c r="G349" t="s">
        <v>10</v>
      </c>
      <c r="H349" t="s">
        <v>22</v>
      </c>
      <c r="I349" s="10" t="s">
        <v>8</v>
      </c>
      <c r="J349" t="s">
        <v>8</v>
      </c>
      <c r="K349" s="10" t="e">
        <f t="shared" si="5"/>
        <v>#VALUE!</v>
      </c>
    </row>
    <row r="350" spans="1:11" x14ac:dyDescent="0.35">
      <c r="A350" t="s">
        <v>15</v>
      </c>
      <c r="B350" s="3">
        <v>45621</v>
      </c>
      <c r="C350" t="s">
        <v>1011</v>
      </c>
      <c r="D350" t="s">
        <v>1010</v>
      </c>
      <c r="E350" t="s">
        <v>519</v>
      </c>
      <c r="F350" t="s">
        <v>11</v>
      </c>
      <c r="G350" t="s">
        <v>10</v>
      </c>
      <c r="H350" t="s">
        <v>22</v>
      </c>
      <c r="I350" s="10" t="s">
        <v>8</v>
      </c>
      <c r="J350" t="s">
        <v>8</v>
      </c>
      <c r="K350" s="10" t="e">
        <f t="shared" si="5"/>
        <v>#VALUE!</v>
      </c>
    </row>
    <row r="351" spans="1:11" x14ac:dyDescent="0.35">
      <c r="A351" t="s">
        <v>15</v>
      </c>
      <c r="B351" s="3">
        <v>45574</v>
      </c>
      <c r="C351" t="s">
        <v>1009</v>
      </c>
      <c r="D351" t="s">
        <v>1008</v>
      </c>
      <c r="F351" t="s">
        <v>11</v>
      </c>
      <c r="G351" t="s">
        <v>10</v>
      </c>
      <c r="H351" t="s">
        <v>22</v>
      </c>
      <c r="I351" s="10" t="s">
        <v>8</v>
      </c>
      <c r="J351" t="s">
        <v>8</v>
      </c>
      <c r="K351" s="10" t="e">
        <f t="shared" si="5"/>
        <v>#VALUE!</v>
      </c>
    </row>
    <row r="352" spans="1:11" x14ac:dyDescent="0.35">
      <c r="A352" t="s">
        <v>15</v>
      </c>
      <c r="B352" s="3">
        <v>45702</v>
      </c>
      <c r="C352" t="s">
        <v>1007</v>
      </c>
      <c r="D352" t="s">
        <v>978</v>
      </c>
      <c r="E352" t="s">
        <v>979</v>
      </c>
      <c r="F352" t="s">
        <v>11</v>
      </c>
      <c r="G352" t="s">
        <v>10</v>
      </c>
      <c r="H352" t="s">
        <v>22</v>
      </c>
      <c r="I352" s="10" t="s">
        <v>8</v>
      </c>
      <c r="J352" t="s">
        <v>8</v>
      </c>
      <c r="K352" s="10" t="e">
        <f t="shared" si="5"/>
        <v>#VALUE!</v>
      </c>
    </row>
    <row r="353" spans="1:11" x14ac:dyDescent="0.35">
      <c r="A353" t="s">
        <v>15</v>
      </c>
      <c r="B353" s="3">
        <v>45702</v>
      </c>
      <c r="C353" t="s">
        <v>1006</v>
      </c>
      <c r="D353" t="s">
        <v>1005</v>
      </c>
      <c r="F353" t="s">
        <v>11</v>
      </c>
      <c r="G353" t="s">
        <v>25</v>
      </c>
      <c r="H353" t="s">
        <v>9</v>
      </c>
      <c r="I353" s="10" t="s">
        <v>8</v>
      </c>
      <c r="J353" t="s">
        <v>8</v>
      </c>
      <c r="K353" s="10" t="e">
        <f t="shared" si="5"/>
        <v>#VALUE!</v>
      </c>
    </row>
    <row r="354" spans="1:11" x14ac:dyDescent="0.35">
      <c r="A354" t="s">
        <v>15</v>
      </c>
      <c r="B354" s="3">
        <v>45685</v>
      </c>
      <c r="C354" t="s">
        <v>1004</v>
      </c>
      <c r="D354" t="s">
        <v>1003</v>
      </c>
      <c r="E354" t="s">
        <v>642</v>
      </c>
      <c r="F354" t="s">
        <v>11</v>
      </c>
      <c r="G354" t="s">
        <v>10</v>
      </c>
      <c r="H354" t="s">
        <v>22</v>
      </c>
      <c r="I354" s="10" t="s">
        <v>8</v>
      </c>
      <c r="J354" t="s">
        <v>8</v>
      </c>
      <c r="K354" s="10" t="e">
        <f t="shared" si="5"/>
        <v>#VALUE!</v>
      </c>
    </row>
    <row r="355" spans="1:11" x14ac:dyDescent="0.35">
      <c r="A355" t="s">
        <v>15</v>
      </c>
      <c r="B355" s="3">
        <v>45655</v>
      </c>
      <c r="C355" t="s">
        <v>1002</v>
      </c>
      <c r="D355" t="s">
        <v>1001</v>
      </c>
      <c r="E355" t="s">
        <v>1000</v>
      </c>
      <c r="F355" t="s">
        <v>11</v>
      </c>
      <c r="G355" t="s">
        <v>10</v>
      </c>
      <c r="H355" t="s">
        <v>22</v>
      </c>
      <c r="I355" s="10" t="s">
        <v>8</v>
      </c>
      <c r="J355" t="s">
        <v>8</v>
      </c>
      <c r="K355" s="10" t="e">
        <f t="shared" si="5"/>
        <v>#VALUE!</v>
      </c>
    </row>
    <row r="356" spans="1:11" x14ac:dyDescent="0.35">
      <c r="A356" t="s">
        <v>15</v>
      </c>
      <c r="B356" s="3">
        <v>45694</v>
      </c>
      <c r="C356" t="s">
        <v>999</v>
      </c>
      <c r="D356" t="s">
        <v>998</v>
      </c>
      <c r="F356" t="s">
        <v>11</v>
      </c>
      <c r="G356" t="s">
        <v>10</v>
      </c>
      <c r="H356" t="s">
        <v>22</v>
      </c>
      <c r="I356" s="10" t="s">
        <v>8</v>
      </c>
      <c r="J356" t="s">
        <v>8</v>
      </c>
      <c r="K356" s="10" t="e">
        <f t="shared" si="5"/>
        <v>#VALUE!</v>
      </c>
    </row>
    <row r="357" spans="1:11" x14ac:dyDescent="0.35">
      <c r="A357" t="s">
        <v>15</v>
      </c>
      <c r="B357" s="3">
        <v>45698</v>
      </c>
      <c r="C357" t="s">
        <v>997</v>
      </c>
      <c r="D357" t="s">
        <v>996</v>
      </c>
      <c r="F357" t="s">
        <v>11</v>
      </c>
      <c r="G357" t="s">
        <v>10</v>
      </c>
      <c r="H357" t="s">
        <v>33</v>
      </c>
      <c r="I357" s="10" t="s">
        <v>8</v>
      </c>
      <c r="J357" t="s">
        <v>8</v>
      </c>
      <c r="K357" s="10" t="e">
        <f t="shared" si="5"/>
        <v>#VALUE!</v>
      </c>
    </row>
    <row r="358" spans="1:11" x14ac:dyDescent="0.35">
      <c r="A358" t="s">
        <v>15</v>
      </c>
      <c r="B358" s="3">
        <v>45630</v>
      </c>
      <c r="C358" t="s">
        <v>995</v>
      </c>
      <c r="D358" t="s">
        <v>447</v>
      </c>
      <c r="F358" t="s">
        <v>11</v>
      </c>
      <c r="G358" t="s">
        <v>10</v>
      </c>
      <c r="H358" t="s">
        <v>22</v>
      </c>
      <c r="I358" s="10" t="s">
        <v>8</v>
      </c>
      <c r="J358" t="s">
        <v>8</v>
      </c>
      <c r="K358" s="10" t="e">
        <f t="shared" si="5"/>
        <v>#VALUE!</v>
      </c>
    </row>
    <row r="359" spans="1:11" x14ac:dyDescent="0.35">
      <c r="A359" t="s">
        <v>15</v>
      </c>
      <c r="B359" s="3">
        <v>45700</v>
      </c>
      <c r="C359" t="s">
        <v>994</v>
      </c>
      <c r="D359" t="s">
        <v>993</v>
      </c>
      <c r="F359" t="s">
        <v>11</v>
      </c>
      <c r="G359" t="s">
        <v>10</v>
      </c>
      <c r="H359" t="s">
        <v>22</v>
      </c>
      <c r="I359" s="10" t="s">
        <v>8</v>
      </c>
      <c r="J359" t="s">
        <v>8</v>
      </c>
      <c r="K359" s="10" t="e">
        <f t="shared" si="5"/>
        <v>#VALUE!</v>
      </c>
    </row>
    <row r="360" spans="1:11" x14ac:dyDescent="0.35">
      <c r="A360" t="s">
        <v>15</v>
      </c>
      <c r="B360" s="3">
        <v>45702</v>
      </c>
      <c r="C360" t="s">
        <v>992</v>
      </c>
      <c r="D360" t="s">
        <v>991</v>
      </c>
      <c r="F360" t="s">
        <v>11</v>
      </c>
      <c r="G360" t="s">
        <v>10</v>
      </c>
      <c r="H360" t="s">
        <v>22</v>
      </c>
      <c r="I360" s="10" t="s">
        <v>8</v>
      </c>
      <c r="J360" t="s">
        <v>8</v>
      </c>
      <c r="K360" s="10" t="e">
        <f t="shared" si="5"/>
        <v>#VALUE!</v>
      </c>
    </row>
    <row r="361" spans="1:11" x14ac:dyDescent="0.35">
      <c r="A361" t="s">
        <v>15</v>
      </c>
      <c r="B361" s="3">
        <v>45698</v>
      </c>
      <c r="C361" t="s">
        <v>990</v>
      </c>
      <c r="D361" t="s">
        <v>611</v>
      </c>
      <c r="E361" t="s">
        <v>989</v>
      </c>
      <c r="F361" t="s">
        <v>11</v>
      </c>
      <c r="G361" t="s">
        <v>10</v>
      </c>
      <c r="H361" t="s">
        <v>22</v>
      </c>
      <c r="I361" s="10" t="s">
        <v>8</v>
      </c>
      <c r="J361" t="s">
        <v>8</v>
      </c>
      <c r="K361" s="10" t="e">
        <f t="shared" si="5"/>
        <v>#VALUE!</v>
      </c>
    </row>
    <row r="362" spans="1:11" x14ac:dyDescent="0.35">
      <c r="A362" t="s">
        <v>15</v>
      </c>
      <c r="B362" s="3">
        <v>45709</v>
      </c>
      <c r="C362" t="s">
        <v>988</v>
      </c>
      <c r="D362" t="s">
        <v>987</v>
      </c>
      <c r="E362" t="s">
        <v>986</v>
      </c>
      <c r="F362" t="s">
        <v>11</v>
      </c>
      <c r="G362" t="s">
        <v>10</v>
      </c>
      <c r="H362" t="s">
        <v>33</v>
      </c>
      <c r="I362" s="10" t="s">
        <v>8</v>
      </c>
      <c r="J362" t="s">
        <v>8</v>
      </c>
      <c r="K362" s="10" t="e">
        <f t="shared" si="5"/>
        <v>#VALUE!</v>
      </c>
    </row>
    <row r="363" spans="1:11" x14ac:dyDescent="0.35">
      <c r="A363" t="s">
        <v>15</v>
      </c>
      <c r="B363" s="3">
        <v>45707</v>
      </c>
      <c r="C363" t="s">
        <v>985</v>
      </c>
      <c r="D363" t="s">
        <v>984</v>
      </c>
      <c r="F363" t="s">
        <v>11</v>
      </c>
      <c r="G363" t="s">
        <v>10</v>
      </c>
      <c r="H363" t="s">
        <v>22</v>
      </c>
      <c r="I363" s="10" t="s">
        <v>8</v>
      </c>
      <c r="J363" t="s">
        <v>8</v>
      </c>
      <c r="K363" s="10" t="e">
        <f t="shared" si="5"/>
        <v>#VALUE!</v>
      </c>
    </row>
    <row r="364" spans="1:11" x14ac:dyDescent="0.35">
      <c r="A364" t="s">
        <v>15</v>
      </c>
      <c r="B364" s="3">
        <v>45710</v>
      </c>
      <c r="C364" t="s">
        <v>983</v>
      </c>
      <c r="D364" t="s">
        <v>982</v>
      </c>
      <c r="E364" t="s">
        <v>981</v>
      </c>
      <c r="F364" t="s">
        <v>11</v>
      </c>
      <c r="G364" t="s">
        <v>10</v>
      </c>
      <c r="H364" t="s">
        <v>33</v>
      </c>
      <c r="I364" s="10" t="s">
        <v>8</v>
      </c>
      <c r="J364" t="s">
        <v>8</v>
      </c>
      <c r="K364" s="10" t="e">
        <f t="shared" si="5"/>
        <v>#VALUE!</v>
      </c>
    </row>
    <row r="365" spans="1:11" x14ac:dyDescent="0.35">
      <c r="A365" t="s">
        <v>15</v>
      </c>
      <c r="B365" s="3">
        <v>45700</v>
      </c>
      <c r="C365" t="s">
        <v>980</v>
      </c>
      <c r="D365" t="s">
        <v>853</v>
      </c>
      <c r="F365" t="s">
        <v>11</v>
      </c>
      <c r="G365" t="s">
        <v>10</v>
      </c>
      <c r="H365" t="s">
        <v>22</v>
      </c>
      <c r="I365" s="10" t="s">
        <v>8</v>
      </c>
      <c r="J365" t="s">
        <v>8</v>
      </c>
      <c r="K365" s="10" t="e">
        <f t="shared" si="5"/>
        <v>#VALUE!</v>
      </c>
    </row>
    <row r="366" spans="1:11" x14ac:dyDescent="0.35">
      <c r="A366" t="s">
        <v>15</v>
      </c>
      <c r="B366" s="3">
        <v>45702</v>
      </c>
      <c r="C366" t="s">
        <v>979</v>
      </c>
      <c r="D366" t="s">
        <v>978</v>
      </c>
      <c r="F366" t="s">
        <v>11</v>
      </c>
      <c r="G366" t="s">
        <v>10</v>
      </c>
      <c r="H366" t="s">
        <v>22</v>
      </c>
      <c r="I366" s="10" t="s">
        <v>8</v>
      </c>
      <c r="J366" t="s">
        <v>8</v>
      </c>
      <c r="K366" s="10" t="e">
        <f t="shared" si="5"/>
        <v>#VALUE!</v>
      </c>
    </row>
    <row r="367" spans="1:11" x14ac:dyDescent="0.35">
      <c r="A367" t="s">
        <v>15</v>
      </c>
      <c r="B367" s="3">
        <v>45709</v>
      </c>
      <c r="C367" t="s">
        <v>977</v>
      </c>
      <c r="D367" t="s">
        <v>976</v>
      </c>
      <c r="E367" t="s">
        <v>143</v>
      </c>
      <c r="F367" t="s">
        <v>11</v>
      </c>
      <c r="G367" t="s">
        <v>10</v>
      </c>
      <c r="H367" t="s">
        <v>33</v>
      </c>
      <c r="I367" s="10" t="s">
        <v>8</v>
      </c>
      <c r="J367" t="s">
        <v>8</v>
      </c>
      <c r="K367" s="10" t="e">
        <f t="shared" si="5"/>
        <v>#VALUE!</v>
      </c>
    </row>
    <row r="368" spans="1:11" x14ac:dyDescent="0.35">
      <c r="A368" t="s">
        <v>15</v>
      </c>
      <c r="B368" s="3">
        <v>45685</v>
      </c>
      <c r="C368" t="s">
        <v>975</v>
      </c>
      <c r="D368" t="s">
        <v>974</v>
      </c>
      <c r="E368" t="s">
        <v>973</v>
      </c>
      <c r="F368" t="s">
        <v>11</v>
      </c>
      <c r="G368" t="s">
        <v>10</v>
      </c>
      <c r="H368" t="s">
        <v>22</v>
      </c>
      <c r="I368" s="10" t="s">
        <v>8</v>
      </c>
      <c r="J368" t="s">
        <v>8</v>
      </c>
      <c r="K368" s="10" t="e">
        <f t="shared" si="5"/>
        <v>#VALUE!</v>
      </c>
    </row>
    <row r="369" spans="1:11" x14ac:dyDescent="0.35">
      <c r="A369" t="s">
        <v>15</v>
      </c>
      <c r="B369" s="3">
        <v>45649</v>
      </c>
      <c r="C369" t="s">
        <v>972</v>
      </c>
      <c r="D369" t="s">
        <v>971</v>
      </c>
      <c r="F369" t="s">
        <v>11</v>
      </c>
      <c r="G369" t="s">
        <v>10</v>
      </c>
      <c r="H369" t="s">
        <v>22</v>
      </c>
      <c r="I369" s="10" t="s">
        <v>8</v>
      </c>
      <c r="J369" t="s">
        <v>8</v>
      </c>
      <c r="K369" s="10" t="e">
        <f t="shared" si="5"/>
        <v>#VALUE!</v>
      </c>
    </row>
    <row r="370" spans="1:11" x14ac:dyDescent="0.35">
      <c r="A370" t="s">
        <v>15</v>
      </c>
      <c r="B370" s="3">
        <v>45649</v>
      </c>
      <c r="C370" t="s">
        <v>970</v>
      </c>
      <c r="D370" t="s">
        <v>969</v>
      </c>
      <c r="F370" t="s">
        <v>11</v>
      </c>
      <c r="G370" t="s">
        <v>10</v>
      </c>
      <c r="H370" t="s">
        <v>22</v>
      </c>
      <c r="I370" s="10" t="s">
        <v>8</v>
      </c>
      <c r="J370" t="s">
        <v>8</v>
      </c>
      <c r="K370" s="10" t="e">
        <f t="shared" si="5"/>
        <v>#VALUE!</v>
      </c>
    </row>
    <row r="371" spans="1:11" x14ac:dyDescent="0.35">
      <c r="A371" t="s">
        <v>15</v>
      </c>
      <c r="B371" s="3">
        <v>45720</v>
      </c>
      <c r="C371" t="s">
        <v>968</v>
      </c>
      <c r="D371" t="s">
        <v>967</v>
      </c>
      <c r="F371" t="s">
        <v>11</v>
      </c>
      <c r="G371" t="s">
        <v>10</v>
      </c>
      <c r="H371" t="s">
        <v>22</v>
      </c>
      <c r="I371" s="10" t="s">
        <v>8</v>
      </c>
      <c r="J371" t="s">
        <v>8</v>
      </c>
      <c r="K371" s="10" t="e">
        <f t="shared" si="5"/>
        <v>#VALUE!</v>
      </c>
    </row>
    <row r="372" spans="1:11" x14ac:dyDescent="0.35">
      <c r="A372" t="s">
        <v>15</v>
      </c>
      <c r="B372" s="3">
        <v>45720</v>
      </c>
      <c r="C372" t="s">
        <v>966</v>
      </c>
      <c r="D372" t="s">
        <v>922</v>
      </c>
      <c r="E372" t="s">
        <v>965</v>
      </c>
      <c r="F372" t="s">
        <v>11</v>
      </c>
      <c r="G372" t="s">
        <v>10</v>
      </c>
      <c r="H372" t="s">
        <v>22</v>
      </c>
      <c r="I372" s="10" t="s">
        <v>8</v>
      </c>
      <c r="J372" t="s">
        <v>8</v>
      </c>
      <c r="K372" s="10" t="e">
        <f t="shared" si="5"/>
        <v>#VALUE!</v>
      </c>
    </row>
    <row r="373" spans="1:11" x14ac:dyDescent="0.35">
      <c r="A373" t="s">
        <v>15</v>
      </c>
      <c r="B373" s="3">
        <v>45671</v>
      </c>
      <c r="C373" t="s">
        <v>964</v>
      </c>
      <c r="D373" t="s">
        <v>963</v>
      </c>
      <c r="F373" t="s">
        <v>11</v>
      </c>
      <c r="G373" t="s">
        <v>10</v>
      </c>
      <c r="H373" t="s">
        <v>22</v>
      </c>
      <c r="I373" s="10" t="s">
        <v>8</v>
      </c>
      <c r="J373" t="s">
        <v>8</v>
      </c>
      <c r="K373" s="10" t="e">
        <f t="shared" si="5"/>
        <v>#VALUE!</v>
      </c>
    </row>
    <row r="374" spans="1:11" x14ac:dyDescent="0.35">
      <c r="A374" t="s">
        <v>15</v>
      </c>
      <c r="B374" s="3">
        <v>45657</v>
      </c>
      <c r="C374" t="s">
        <v>962</v>
      </c>
      <c r="D374" t="s">
        <v>128</v>
      </c>
      <c r="E374" t="s">
        <v>961</v>
      </c>
      <c r="F374" t="s">
        <v>11</v>
      </c>
      <c r="G374" t="s">
        <v>10</v>
      </c>
      <c r="H374" t="s">
        <v>142</v>
      </c>
      <c r="I374" s="10" t="s">
        <v>8</v>
      </c>
      <c r="J374" t="s">
        <v>8</v>
      </c>
      <c r="K374" s="10" t="e">
        <f t="shared" si="5"/>
        <v>#VALUE!</v>
      </c>
    </row>
    <row r="375" spans="1:11" x14ac:dyDescent="0.35">
      <c r="A375" t="s">
        <v>15</v>
      </c>
      <c r="B375" s="3">
        <v>45670</v>
      </c>
      <c r="C375" t="s">
        <v>960</v>
      </c>
      <c r="D375" t="s">
        <v>872</v>
      </c>
      <c r="F375" t="s">
        <v>11</v>
      </c>
      <c r="G375" t="s">
        <v>10</v>
      </c>
      <c r="H375" t="s">
        <v>22</v>
      </c>
      <c r="I375" s="10" t="s">
        <v>8</v>
      </c>
      <c r="J375" t="s">
        <v>8</v>
      </c>
      <c r="K375" s="10" t="e">
        <f t="shared" si="5"/>
        <v>#VALUE!</v>
      </c>
    </row>
    <row r="376" spans="1:11" x14ac:dyDescent="0.35">
      <c r="A376" t="s">
        <v>15</v>
      </c>
      <c r="B376" s="3">
        <v>45715</v>
      </c>
      <c r="C376" t="s">
        <v>959</v>
      </c>
      <c r="D376" t="s">
        <v>958</v>
      </c>
      <c r="F376" t="s">
        <v>11</v>
      </c>
      <c r="G376" t="s">
        <v>10</v>
      </c>
      <c r="H376" t="s">
        <v>22</v>
      </c>
      <c r="I376" s="10" t="s">
        <v>8</v>
      </c>
      <c r="J376" t="s">
        <v>8</v>
      </c>
      <c r="K376" s="10" t="e">
        <f t="shared" si="5"/>
        <v>#VALUE!</v>
      </c>
    </row>
    <row r="377" spans="1:11" x14ac:dyDescent="0.35">
      <c r="A377" t="s">
        <v>15</v>
      </c>
      <c r="B377" s="3">
        <v>45691</v>
      </c>
      <c r="C377" t="s">
        <v>957</v>
      </c>
      <c r="D377" t="s">
        <v>956</v>
      </c>
      <c r="E377" t="s">
        <v>914</v>
      </c>
      <c r="F377" t="s">
        <v>11</v>
      </c>
      <c r="G377" t="s">
        <v>10</v>
      </c>
      <c r="H377" t="s">
        <v>22</v>
      </c>
      <c r="I377" s="10" t="s">
        <v>8</v>
      </c>
      <c r="J377" t="s">
        <v>8</v>
      </c>
      <c r="K377" s="10" t="e">
        <f t="shared" si="5"/>
        <v>#VALUE!</v>
      </c>
    </row>
    <row r="378" spans="1:11" x14ac:dyDescent="0.35">
      <c r="A378" t="s">
        <v>15</v>
      </c>
      <c r="B378" s="3">
        <v>45666</v>
      </c>
      <c r="C378" t="s">
        <v>955</v>
      </c>
      <c r="D378" t="s">
        <v>954</v>
      </c>
      <c r="E378" t="s">
        <v>110</v>
      </c>
      <c r="F378" t="s">
        <v>11</v>
      </c>
      <c r="G378" t="s">
        <v>10</v>
      </c>
      <c r="H378" t="s">
        <v>22</v>
      </c>
      <c r="I378" s="10" t="s">
        <v>8</v>
      </c>
      <c r="J378" t="s">
        <v>8</v>
      </c>
      <c r="K378" s="10" t="e">
        <f t="shared" si="5"/>
        <v>#VALUE!</v>
      </c>
    </row>
    <row r="379" spans="1:11" x14ac:dyDescent="0.35">
      <c r="A379" t="s">
        <v>15</v>
      </c>
      <c r="B379" s="3">
        <v>45715</v>
      </c>
      <c r="C379" t="s">
        <v>953</v>
      </c>
      <c r="D379" t="s">
        <v>952</v>
      </c>
      <c r="F379" t="s">
        <v>11</v>
      </c>
      <c r="G379" t="s">
        <v>10</v>
      </c>
      <c r="H379" t="s">
        <v>33</v>
      </c>
      <c r="I379" s="10" t="s">
        <v>8</v>
      </c>
      <c r="J379" t="s">
        <v>8</v>
      </c>
      <c r="K379" s="10" t="e">
        <f t="shared" si="5"/>
        <v>#VALUE!</v>
      </c>
    </row>
    <row r="380" spans="1:11" x14ac:dyDescent="0.35">
      <c r="A380" t="s">
        <v>15</v>
      </c>
      <c r="B380" s="3">
        <v>45719</v>
      </c>
      <c r="C380" t="s">
        <v>951</v>
      </c>
      <c r="D380" t="s">
        <v>165</v>
      </c>
      <c r="F380" t="s">
        <v>11</v>
      </c>
      <c r="G380" t="s">
        <v>10</v>
      </c>
      <c r="H380" t="s">
        <v>22</v>
      </c>
      <c r="I380" s="10" t="s">
        <v>8</v>
      </c>
      <c r="J380" t="s">
        <v>8</v>
      </c>
      <c r="K380" s="10" t="e">
        <f t="shared" si="5"/>
        <v>#VALUE!</v>
      </c>
    </row>
    <row r="381" spans="1:11" x14ac:dyDescent="0.35">
      <c r="A381" t="s">
        <v>15</v>
      </c>
      <c r="B381" s="3">
        <v>45565</v>
      </c>
      <c r="C381" t="s">
        <v>950</v>
      </c>
      <c r="D381" t="s">
        <v>949</v>
      </c>
      <c r="F381" t="s">
        <v>11</v>
      </c>
      <c r="G381" t="s">
        <v>10</v>
      </c>
      <c r="H381" t="s">
        <v>22</v>
      </c>
      <c r="I381" s="10" t="s">
        <v>8</v>
      </c>
      <c r="J381" t="s">
        <v>8</v>
      </c>
      <c r="K381" s="10" t="e">
        <f t="shared" si="5"/>
        <v>#VALUE!</v>
      </c>
    </row>
    <row r="382" spans="1:11" x14ac:dyDescent="0.35">
      <c r="A382" t="s">
        <v>15</v>
      </c>
      <c r="B382" s="3">
        <v>45673</v>
      </c>
      <c r="C382" t="s">
        <v>948</v>
      </c>
      <c r="D382" t="s">
        <v>947</v>
      </c>
      <c r="F382" t="s">
        <v>11</v>
      </c>
      <c r="G382" t="s">
        <v>10</v>
      </c>
      <c r="H382" t="s">
        <v>22</v>
      </c>
      <c r="I382" s="10" t="s">
        <v>8</v>
      </c>
      <c r="J382" t="s">
        <v>8</v>
      </c>
      <c r="K382" s="10" t="e">
        <f t="shared" si="5"/>
        <v>#VALUE!</v>
      </c>
    </row>
    <row r="383" spans="1:11" x14ac:dyDescent="0.35">
      <c r="A383" t="s">
        <v>15</v>
      </c>
      <c r="B383" s="3">
        <v>45715</v>
      </c>
      <c r="C383" t="s">
        <v>946</v>
      </c>
      <c r="D383" t="s">
        <v>566</v>
      </c>
      <c r="E383" t="s">
        <v>945</v>
      </c>
      <c r="F383" t="s">
        <v>11</v>
      </c>
      <c r="G383" t="s">
        <v>10</v>
      </c>
      <c r="H383" t="s">
        <v>22</v>
      </c>
      <c r="I383" s="10" t="s">
        <v>8</v>
      </c>
      <c r="J383" t="s">
        <v>8</v>
      </c>
      <c r="K383" s="10" t="e">
        <f t="shared" si="5"/>
        <v>#VALUE!</v>
      </c>
    </row>
    <row r="384" spans="1:11" x14ac:dyDescent="0.35">
      <c r="A384" t="s">
        <v>15</v>
      </c>
      <c r="B384" s="3">
        <v>45635</v>
      </c>
      <c r="C384" t="s">
        <v>944</v>
      </c>
      <c r="D384" t="s">
        <v>943</v>
      </c>
      <c r="E384" t="s">
        <v>942</v>
      </c>
      <c r="F384" t="s">
        <v>11</v>
      </c>
      <c r="G384" t="s">
        <v>10</v>
      </c>
      <c r="H384" t="s">
        <v>22</v>
      </c>
      <c r="I384" s="10" t="s">
        <v>8</v>
      </c>
      <c r="J384" t="s">
        <v>8</v>
      </c>
      <c r="K384" s="10" t="e">
        <f t="shared" si="5"/>
        <v>#VALUE!</v>
      </c>
    </row>
    <row r="385" spans="1:11" x14ac:dyDescent="0.35">
      <c r="A385" t="s">
        <v>15</v>
      </c>
      <c r="B385" s="3">
        <v>45645</v>
      </c>
      <c r="C385" t="s">
        <v>941</v>
      </c>
      <c r="D385" t="s">
        <v>652</v>
      </c>
      <c r="E385" t="s">
        <v>923</v>
      </c>
      <c r="F385" t="s">
        <v>11</v>
      </c>
      <c r="G385" t="s">
        <v>10</v>
      </c>
      <c r="H385" t="s">
        <v>22</v>
      </c>
      <c r="I385" s="10" t="s">
        <v>8</v>
      </c>
      <c r="J385" t="s">
        <v>8</v>
      </c>
      <c r="K385" s="10" t="e">
        <f t="shared" si="5"/>
        <v>#VALUE!</v>
      </c>
    </row>
    <row r="386" spans="1:11" x14ac:dyDescent="0.35">
      <c r="A386" t="s">
        <v>15</v>
      </c>
      <c r="B386" s="3">
        <v>45699</v>
      </c>
      <c r="C386" t="s">
        <v>940</v>
      </c>
      <c r="D386" t="s">
        <v>792</v>
      </c>
      <c r="E386" t="s">
        <v>939</v>
      </c>
      <c r="F386" t="s">
        <v>11</v>
      </c>
      <c r="G386" t="s">
        <v>10</v>
      </c>
      <c r="H386" t="s">
        <v>22</v>
      </c>
      <c r="I386" s="10" t="s">
        <v>8</v>
      </c>
      <c r="J386" t="s">
        <v>8</v>
      </c>
      <c r="K386" s="10" t="e">
        <f t="shared" si="5"/>
        <v>#VALUE!</v>
      </c>
    </row>
    <row r="387" spans="1:11" x14ac:dyDescent="0.35">
      <c r="A387" t="s">
        <v>15</v>
      </c>
      <c r="B387" s="3">
        <v>45722</v>
      </c>
      <c r="C387" t="s">
        <v>938</v>
      </c>
      <c r="D387" t="s">
        <v>937</v>
      </c>
      <c r="E387" t="s">
        <v>936</v>
      </c>
      <c r="F387" t="s">
        <v>11</v>
      </c>
      <c r="G387" t="s">
        <v>10</v>
      </c>
      <c r="H387" t="s">
        <v>22</v>
      </c>
      <c r="I387" s="10" t="s">
        <v>8</v>
      </c>
      <c r="J387" t="s">
        <v>8</v>
      </c>
      <c r="K387" s="10" t="e">
        <f t="shared" ref="K387:K450" si="6">1/J387</f>
        <v>#VALUE!</v>
      </c>
    </row>
    <row r="388" spans="1:11" x14ac:dyDescent="0.35">
      <c r="A388" t="s">
        <v>15</v>
      </c>
      <c r="B388" s="3">
        <v>45722</v>
      </c>
      <c r="C388" t="s">
        <v>935</v>
      </c>
      <c r="D388" t="s">
        <v>934</v>
      </c>
      <c r="E388" t="s">
        <v>848</v>
      </c>
      <c r="F388" t="s">
        <v>11</v>
      </c>
      <c r="G388" t="s">
        <v>10</v>
      </c>
      <c r="H388" t="s">
        <v>22</v>
      </c>
      <c r="I388" s="10" t="s">
        <v>8</v>
      </c>
      <c r="J388" t="s">
        <v>8</v>
      </c>
      <c r="K388" s="10" t="e">
        <f t="shared" si="6"/>
        <v>#VALUE!</v>
      </c>
    </row>
    <row r="389" spans="1:11" x14ac:dyDescent="0.35">
      <c r="A389" t="s">
        <v>15</v>
      </c>
      <c r="B389" s="3">
        <v>45671</v>
      </c>
      <c r="C389" t="s">
        <v>933</v>
      </c>
      <c r="D389" t="s">
        <v>932</v>
      </c>
      <c r="F389" t="s">
        <v>11</v>
      </c>
      <c r="G389" t="s">
        <v>10</v>
      </c>
      <c r="H389" t="s">
        <v>22</v>
      </c>
      <c r="I389" s="10" t="s">
        <v>8</v>
      </c>
      <c r="J389" t="s">
        <v>8</v>
      </c>
      <c r="K389" s="10" t="e">
        <f t="shared" si="6"/>
        <v>#VALUE!</v>
      </c>
    </row>
    <row r="390" spans="1:11" x14ac:dyDescent="0.35">
      <c r="A390" t="s">
        <v>15</v>
      </c>
      <c r="B390" s="3">
        <v>45644</v>
      </c>
      <c r="C390" t="s">
        <v>931</v>
      </c>
      <c r="D390" t="s">
        <v>930</v>
      </c>
      <c r="E390" t="s">
        <v>929</v>
      </c>
      <c r="F390" t="s">
        <v>11</v>
      </c>
      <c r="G390" t="s">
        <v>10</v>
      </c>
      <c r="H390" t="s">
        <v>22</v>
      </c>
      <c r="I390" s="10" t="s">
        <v>8</v>
      </c>
      <c r="J390" t="s">
        <v>8</v>
      </c>
      <c r="K390" s="10" t="e">
        <f t="shared" si="6"/>
        <v>#VALUE!</v>
      </c>
    </row>
    <row r="391" spans="1:11" x14ac:dyDescent="0.35">
      <c r="A391" t="s">
        <v>15</v>
      </c>
      <c r="B391" s="3">
        <v>45701</v>
      </c>
      <c r="C391" t="s">
        <v>928</v>
      </c>
      <c r="D391" t="s">
        <v>927</v>
      </c>
      <c r="F391" t="s">
        <v>11</v>
      </c>
      <c r="G391" t="s">
        <v>10</v>
      </c>
      <c r="H391" t="s">
        <v>22</v>
      </c>
      <c r="I391" s="10" t="s">
        <v>8</v>
      </c>
      <c r="J391" t="s">
        <v>8</v>
      </c>
      <c r="K391" s="10" t="e">
        <f t="shared" si="6"/>
        <v>#VALUE!</v>
      </c>
    </row>
    <row r="392" spans="1:11" x14ac:dyDescent="0.35">
      <c r="A392" t="s">
        <v>15</v>
      </c>
      <c r="B392" s="3">
        <v>45695</v>
      </c>
      <c r="C392" t="s">
        <v>926</v>
      </c>
      <c r="D392" t="s">
        <v>734</v>
      </c>
      <c r="F392" t="s">
        <v>11</v>
      </c>
      <c r="G392" t="s">
        <v>10</v>
      </c>
      <c r="H392" t="s">
        <v>22</v>
      </c>
      <c r="I392" s="10" t="s">
        <v>8</v>
      </c>
      <c r="J392" t="s">
        <v>8</v>
      </c>
      <c r="K392" s="10" t="e">
        <f t="shared" si="6"/>
        <v>#VALUE!</v>
      </c>
    </row>
    <row r="393" spans="1:11" x14ac:dyDescent="0.35">
      <c r="A393" t="s">
        <v>15</v>
      </c>
      <c r="B393" s="3">
        <v>45687</v>
      </c>
      <c r="C393" t="s">
        <v>925</v>
      </c>
      <c r="D393" t="s">
        <v>638</v>
      </c>
      <c r="E393" t="s">
        <v>217</v>
      </c>
      <c r="F393" t="s">
        <v>11</v>
      </c>
      <c r="G393" t="s">
        <v>10</v>
      </c>
      <c r="H393" t="s">
        <v>22</v>
      </c>
      <c r="I393" s="10" t="s">
        <v>8</v>
      </c>
      <c r="J393" t="s">
        <v>8</v>
      </c>
      <c r="K393" s="10" t="e">
        <f t="shared" si="6"/>
        <v>#VALUE!</v>
      </c>
    </row>
    <row r="394" spans="1:11" x14ac:dyDescent="0.35">
      <c r="A394" t="s">
        <v>15</v>
      </c>
      <c r="B394" s="3">
        <v>45663</v>
      </c>
      <c r="C394" t="s">
        <v>924</v>
      </c>
      <c r="D394" t="s">
        <v>923</v>
      </c>
      <c r="E394" t="s">
        <v>922</v>
      </c>
      <c r="F394" t="s">
        <v>11</v>
      </c>
      <c r="G394" t="s">
        <v>10</v>
      </c>
      <c r="H394" t="s">
        <v>22</v>
      </c>
      <c r="I394" s="10" t="s">
        <v>8</v>
      </c>
      <c r="J394" t="s">
        <v>8</v>
      </c>
      <c r="K394" s="10" t="e">
        <f t="shared" si="6"/>
        <v>#VALUE!</v>
      </c>
    </row>
    <row r="395" spans="1:11" x14ac:dyDescent="0.35">
      <c r="A395" t="s">
        <v>15</v>
      </c>
      <c r="B395" s="3">
        <v>45727</v>
      </c>
      <c r="C395" t="s">
        <v>921</v>
      </c>
      <c r="D395" t="s">
        <v>28</v>
      </c>
      <c r="F395" t="s">
        <v>11</v>
      </c>
      <c r="G395" t="s">
        <v>10</v>
      </c>
      <c r="H395" t="s">
        <v>22</v>
      </c>
      <c r="I395" s="10" t="s">
        <v>8</v>
      </c>
      <c r="J395" t="s">
        <v>8</v>
      </c>
      <c r="K395" s="10" t="e">
        <f t="shared" si="6"/>
        <v>#VALUE!</v>
      </c>
    </row>
    <row r="396" spans="1:11" x14ac:dyDescent="0.35">
      <c r="A396" t="s">
        <v>15</v>
      </c>
      <c r="B396" s="3">
        <v>45721</v>
      </c>
      <c r="C396" t="s">
        <v>920</v>
      </c>
      <c r="D396" t="s">
        <v>919</v>
      </c>
      <c r="F396" t="s">
        <v>11</v>
      </c>
      <c r="G396" t="s">
        <v>10</v>
      </c>
      <c r="H396" t="s">
        <v>22</v>
      </c>
      <c r="I396" s="10" t="s">
        <v>8</v>
      </c>
      <c r="J396" t="s">
        <v>8</v>
      </c>
      <c r="K396" s="10" t="e">
        <f t="shared" si="6"/>
        <v>#VALUE!</v>
      </c>
    </row>
    <row r="397" spans="1:11" x14ac:dyDescent="0.35">
      <c r="A397" t="s">
        <v>15</v>
      </c>
      <c r="B397" s="3">
        <v>45724</v>
      </c>
      <c r="C397" t="s">
        <v>918</v>
      </c>
      <c r="D397" t="s">
        <v>917</v>
      </c>
      <c r="F397" t="s">
        <v>11</v>
      </c>
      <c r="G397" t="s">
        <v>10</v>
      </c>
      <c r="H397" t="s">
        <v>22</v>
      </c>
      <c r="I397" s="10" t="s">
        <v>8</v>
      </c>
      <c r="J397" t="s">
        <v>8</v>
      </c>
      <c r="K397" s="10" t="e">
        <f t="shared" si="6"/>
        <v>#VALUE!</v>
      </c>
    </row>
    <row r="398" spans="1:11" x14ac:dyDescent="0.35">
      <c r="A398" t="s">
        <v>15</v>
      </c>
      <c r="B398" s="3">
        <v>45554</v>
      </c>
      <c r="C398" t="s">
        <v>916</v>
      </c>
      <c r="D398" t="s">
        <v>915</v>
      </c>
      <c r="E398" t="s">
        <v>914</v>
      </c>
      <c r="F398" t="s">
        <v>11</v>
      </c>
      <c r="G398" t="s">
        <v>10</v>
      </c>
      <c r="H398" t="s">
        <v>22</v>
      </c>
      <c r="I398" s="10" t="s">
        <v>8</v>
      </c>
      <c r="J398" t="s">
        <v>8</v>
      </c>
      <c r="K398" s="10" t="e">
        <f t="shared" si="6"/>
        <v>#VALUE!</v>
      </c>
    </row>
    <row r="399" spans="1:11" x14ac:dyDescent="0.35">
      <c r="A399" t="s">
        <v>15</v>
      </c>
      <c r="B399" s="3">
        <v>45726</v>
      </c>
      <c r="C399" t="s">
        <v>913</v>
      </c>
      <c r="D399" t="s">
        <v>872</v>
      </c>
      <c r="F399" t="s">
        <v>11</v>
      </c>
      <c r="G399" t="s">
        <v>10</v>
      </c>
      <c r="H399" t="s">
        <v>22</v>
      </c>
      <c r="I399" s="10" t="s">
        <v>8</v>
      </c>
      <c r="J399" t="s">
        <v>8</v>
      </c>
      <c r="K399" s="10" t="e">
        <f t="shared" si="6"/>
        <v>#VALUE!</v>
      </c>
    </row>
    <row r="400" spans="1:11" x14ac:dyDescent="0.35">
      <c r="A400" t="s">
        <v>15</v>
      </c>
      <c r="B400" s="3">
        <v>45684</v>
      </c>
      <c r="C400" t="s">
        <v>912</v>
      </c>
      <c r="D400" t="s">
        <v>911</v>
      </c>
      <c r="F400" t="s">
        <v>11</v>
      </c>
      <c r="G400" t="s">
        <v>10</v>
      </c>
      <c r="H400" t="s">
        <v>22</v>
      </c>
      <c r="I400" s="10" t="s">
        <v>8</v>
      </c>
      <c r="J400" t="s">
        <v>8</v>
      </c>
      <c r="K400" s="10" t="e">
        <f t="shared" si="6"/>
        <v>#VALUE!</v>
      </c>
    </row>
    <row r="401" spans="1:11" x14ac:dyDescent="0.35">
      <c r="A401" t="s">
        <v>15</v>
      </c>
      <c r="B401" s="3">
        <v>45649</v>
      </c>
      <c r="C401" t="s">
        <v>910</v>
      </c>
      <c r="D401" t="s">
        <v>909</v>
      </c>
      <c r="F401" t="s">
        <v>11</v>
      </c>
      <c r="G401" t="s">
        <v>10</v>
      </c>
      <c r="H401" t="s">
        <v>22</v>
      </c>
      <c r="I401" s="10" t="s">
        <v>8</v>
      </c>
      <c r="J401" t="s">
        <v>8</v>
      </c>
      <c r="K401" s="10" t="e">
        <f t="shared" si="6"/>
        <v>#VALUE!</v>
      </c>
    </row>
    <row r="402" spans="1:11" x14ac:dyDescent="0.35">
      <c r="A402" t="s">
        <v>15</v>
      </c>
      <c r="B402" s="3">
        <v>45729</v>
      </c>
      <c r="C402" t="s">
        <v>908</v>
      </c>
      <c r="D402" t="s">
        <v>907</v>
      </c>
      <c r="F402" t="s">
        <v>11</v>
      </c>
      <c r="G402" t="s">
        <v>10</v>
      </c>
      <c r="H402" t="s">
        <v>33</v>
      </c>
      <c r="I402" s="10" t="s">
        <v>8</v>
      </c>
      <c r="J402" t="s">
        <v>8</v>
      </c>
      <c r="K402" s="10" t="e">
        <f t="shared" si="6"/>
        <v>#VALUE!</v>
      </c>
    </row>
    <row r="403" spans="1:11" x14ac:dyDescent="0.35">
      <c r="A403" t="s">
        <v>15</v>
      </c>
      <c r="B403" s="3">
        <v>45708</v>
      </c>
      <c r="C403" t="s">
        <v>906</v>
      </c>
      <c r="D403" t="s">
        <v>905</v>
      </c>
      <c r="E403" t="s">
        <v>904</v>
      </c>
      <c r="F403" t="s">
        <v>11</v>
      </c>
      <c r="G403" t="s">
        <v>10</v>
      </c>
      <c r="H403" t="s">
        <v>22</v>
      </c>
      <c r="I403" s="10" t="s">
        <v>8</v>
      </c>
      <c r="J403" t="s">
        <v>8</v>
      </c>
      <c r="K403" s="10" t="e">
        <f t="shared" si="6"/>
        <v>#VALUE!</v>
      </c>
    </row>
    <row r="404" spans="1:11" x14ac:dyDescent="0.35">
      <c r="A404" t="s">
        <v>15</v>
      </c>
      <c r="B404" s="3">
        <v>45659</v>
      </c>
      <c r="C404" t="s">
        <v>903</v>
      </c>
      <c r="D404" t="s">
        <v>28</v>
      </c>
      <c r="E404" t="s">
        <v>701</v>
      </c>
      <c r="F404" t="s">
        <v>11</v>
      </c>
      <c r="G404" t="s">
        <v>10</v>
      </c>
      <c r="H404" t="s">
        <v>22</v>
      </c>
      <c r="I404" s="10" t="s">
        <v>8</v>
      </c>
      <c r="J404" t="s">
        <v>8</v>
      </c>
      <c r="K404" s="10" t="e">
        <f t="shared" si="6"/>
        <v>#VALUE!</v>
      </c>
    </row>
    <row r="405" spans="1:11" x14ac:dyDescent="0.35">
      <c r="A405" t="s">
        <v>15</v>
      </c>
      <c r="B405" s="3">
        <v>45733</v>
      </c>
      <c r="C405" t="s">
        <v>902</v>
      </c>
      <c r="D405" t="s">
        <v>901</v>
      </c>
      <c r="E405" t="s">
        <v>900</v>
      </c>
      <c r="F405" t="s">
        <v>11</v>
      </c>
      <c r="G405" t="s">
        <v>10</v>
      </c>
      <c r="H405" t="s">
        <v>22</v>
      </c>
      <c r="I405" s="10" t="s">
        <v>8</v>
      </c>
      <c r="J405" t="s">
        <v>8</v>
      </c>
      <c r="K405" s="10" t="e">
        <f t="shared" si="6"/>
        <v>#VALUE!</v>
      </c>
    </row>
    <row r="406" spans="1:11" x14ac:dyDescent="0.35">
      <c r="A406" t="s">
        <v>15</v>
      </c>
      <c r="B406" s="3">
        <v>45685</v>
      </c>
      <c r="C406" t="s">
        <v>899</v>
      </c>
      <c r="D406" t="s">
        <v>898</v>
      </c>
      <c r="F406" t="s">
        <v>11</v>
      </c>
      <c r="G406" t="s">
        <v>10</v>
      </c>
      <c r="H406" t="s">
        <v>22</v>
      </c>
      <c r="I406" s="10" t="s">
        <v>8</v>
      </c>
      <c r="J406" t="s">
        <v>8</v>
      </c>
      <c r="K406" s="10" t="e">
        <f t="shared" si="6"/>
        <v>#VALUE!</v>
      </c>
    </row>
    <row r="407" spans="1:11" x14ac:dyDescent="0.35">
      <c r="A407" t="s">
        <v>15</v>
      </c>
      <c r="B407" s="3">
        <v>45693</v>
      </c>
      <c r="C407" t="s">
        <v>897</v>
      </c>
      <c r="D407" t="s">
        <v>767</v>
      </c>
      <c r="F407" t="s">
        <v>11</v>
      </c>
      <c r="G407" t="s">
        <v>10</v>
      </c>
      <c r="H407" t="s">
        <v>22</v>
      </c>
      <c r="I407" s="10" t="s">
        <v>8</v>
      </c>
      <c r="J407" t="s">
        <v>8</v>
      </c>
      <c r="K407" s="10" t="e">
        <f t="shared" si="6"/>
        <v>#VALUE!</v>
      </c>
    </row>
    <row r="408" spans="1:11" x14ac:dyDescent="0.35">
      <c r="A408" t="s">
        <v>15</v>
      </c>
      <c r="B408" s="3">
        <v>45733</v>
      </c>
      <c r="C408" t="s">
        <v>896</v>
      </c>
      <c r="D408" t="s">
        <v>895</v>
      </c>
      <c r="E408" t="s">
        <v>894</v>
      </c>
      <c r="F408" t="s">
        <v>11</v>
      </c>
      <c r="G408" t="s">
        <v>10</v>
      </c>
      <c r="H408" t="s">
        <v>22</v>
      </c>
      <c r="I408" s="10" t="s">
        <v>8</v>
      </c>
      <c r="J408" t="s">
        <v>8</v>
      </c>
      <c r="K408" s="10" t="e">
        <f t="shared" si="6"/>
        <v>#VALUE!</v>
      </c>
    </row>
    <row r="409" spans="1:11" x14ac:dyDescent="0.35">
      <c r="A409" t="s">
        <v>15</v>
      </c>
      <c r="B409" s="3">
        <v>45673</v>
      </c>
      <c r="C409" t="s">
        <v>893</v>
      </c>
      <c r="D409" t="s">
        <v>892</v>
      </c>
      <c r="F409" t="s">
        <v>11</v>
      </c>
      <c r="G409" t="s">
        <v>10</v>
      </c>
      <c r="H409" t="s">
        <v>22</v>
      </c>
      <c r="I409" s="10" t="s">
        <v>8</v>
      </c>
      <c r="J409" t="s">
        <v>8</v>
      </c>
      <c r="K409" s="10" t="e">
        <f t="shared" si="6"/>
        <v>#VALUE!</v>
      </c>
    </row>
    <row r="410" spans="1:11" x14ac:dyDescent="0.35">
      <c r="A410" t="s">
        <v>15</v>
      </c>
      <c r="B410" s="3">
        <v>45663</v>
      </c>
      <c r="C410" t="s">
        <v>891</v>
      </c>
      <c r="D410" t="s">
        <v>890</v>
      </c>
      <c r="E410" t="s">
        <v>889</v>
      </c>
      <c r="F410" t="s">
        <v>11</v>
      </c>
      <c r="G410" t="s">
        <v>10</v>
      </c>
      <c r="H410" t="s">
        <v>22</v>
      </c>
      <c r="I410" s="10" t="s">
        <v>8</v>
      </c>
      <c r="J410" t="s">
        <v>8</v>
      </c>
      <c r="K410" s="10" t="e">
        <f t="shared" si="6"/>
        <v>#VALUE!</v>
      </c>
    </row>
    <row r="411" spans="1:11" x14ac:dyDescent="0.35">
      <c r="A411" t="s">
        <v>15</v>
      </c>
      <c r="B411" s="3">
        <v>45736</v>
      </c>
      <c r="C411" t="s">
        <v>888</v>
      </c>
      <c r="D411" t="s">
        <v>885</v>
      </c>
      <c r="E411" t="s">
        <v>887</v>
      </c>
      <c r="F411" t="s">
        <v>11</v>
      </c>
      <c r="G411" t="s">
        <v>10</v>
      </c>
      <c r="H411" t="s">
        <v>22</v>
      </c>
      <c r="I411" s="10" t="s">
        <v>8</v>
      </c>
      <c r="J411" t="s">
        <v>8</v>
      </c>
      <c r="K411" s="10" t="e">
        <f t="shared" si="6"/>
        <v>#VALUE!</v>
      </c>
    </row>
    <row r="412" spans="1:11" x14ac:dyDescent="0.35">
      <c r="A412" t="s">
        <v>15</v>
      </c>
      <c r="B412" s="3">
        <v>45737</v>
      </c>
      <c r="C412" t="s">
        <v>886</v>
      </c>
      <c r="D412" t="s">
        <v>885</v>
      </c>
      <c r="E412" t="s">
        <v>884</v>
      </c>
      <c r="F412" t="s">
        <v>11</v>
      </c>
      <c r="G412" t="s">
        <v>10</v>
      </c>
      <c r="H412" t="s">
        <v>22</v>
      </c>
      <c r="I412" s="10" t="s">
        <v>8</v>
      </c>
      <c r="J412" t="s">
        <v>8</v>
      </c>
      <c r="K412" s="10" t="e">
        <f t="shared" si="6"/>
        <v>#VALUE!</v>
      </c>
    </row>
    <row r="413" spans="1:11" x14ac:dyDescent="0.35">
      <c r="A413" t="s">
        <v>15</v>
      </c>
      <c r="B413" s="3">
        <v>45735</v>
      </c>
      <c r="C413" t="s">
        <v>883</v>
      </c>
      <c r="D413" t="s">
        <v>882</v>
      </c>
      <c r="F413" t="s">
        <v>11</v>
      </c>
      <c r="G413" t="s">
        <v>10</v>
      </c>
      <c r="H413" t="s">
        <v>22</v>
      </c>
      <c r="I413" s="10" t="s">
        <v>8</v>
      </c>
      <c r="J413" t="s">
        <v>8</v>
      </c>
      <c r="K413" s="10" t="e">
        <f t="shared" si="6"/>
        <v>#VALUE!</v>
      </c>
    </row>
    <row r="414" spans="1:11" x14ac:dyDescent="0.35">
      <c r="A414" t="s">
        <v>15</v>
      </c>
      <c r="B414" s="3">
        <v>45730</v>
      </c>
      <c r="C414" t="s">
        <v>881</v>
      </c>
      <c r="D414" t="s">
        <v>880</v>
      </c>
      <c r="E414" t="s">
        <v>879</v>
      </c>
      <c r="F414" t="s">
        <v>11</v>
      </c>
      <c r="G414" t="s">
        <v>10</v>
      </c>
      <c r="H414" t="s">
        <v>33</v>
      </c>
      <c r="I414" s="10" t="s">
        <v>8</v>
      </c>
      <c r="J414" t="s">
        <v>8</v>
      </c>
      <c r="K414" s="10" t="e">
        <f t="shared" si="6"/>
        <v>#VALUE!</v>
      </c>
    </row>
    <row r="415" spans="1:11" x14ac:dyDescent="0.35">
      <c r="A415" t="s">
        <v>15</v>
      </c>
      <c r="B415" s="3">
        <v>45736</v>
      </c>
      <c r="C415" t="s">
        <v>878</v>
      </c>
      <c r="D415" t="s">
        <v>877</v>
      </c>
      <c r="F415" t="s">
        <v>11</v>
      </c>
      <c r="G415" t="s">
        <v>10</v>
      </c>
      <c r="H415" t="s">
        <v>22</v>
      </c>
      <c r="I415" s="10" t="s">
        <v>8</v>
      </c>
      <c r="J415" t="s">
        <v>8</v>
      </c>
      <c r="K415" s="10" t="e">
        <f t="shared" si="6"/>
        <v>#VALUE!</v>
      </c>
    </row>
    <row r="416" spans="1:11" x14ac:dyDescent="0.35">
      <c r="A416" t="s">
        <v>15</v>
      </c>
      <c r="B416" s="3">
        <v>45735</v>
      </c>
      <c r="C416" t="s">
        <v>876</v>
      </c>
      <c r="D416" t="s">
        <v>875</v>
      </c>
      <c r="F416" t="s">
        <v>11</v>
      </c>
      <c r="G416" t="s">
        <v>10</v>
      </c>
      <c r="H416" t="s">
        <v>22</v>
      </c>
      <c r="I416" s="10" t="s">
        <v>8</v>
      </c>
      <c r="J416" t="s">
        <v>8</v>
      </c>
      <c r="K416" s="10" t="e">
        <f t="shared" si="6"/>
        <v>#VALUE!</v>
      </c>
    </row>
    <row r="417" spans="1:11" x14ac:dyDescent="0.35">
      <c r="A417" t="s">
        <v>15</v>
      </c>
      <c r="B417" s="3">
        <v>45712</v>
      </c>
      <c r="C417" t="s">
        <v>874</v>
      </c>
      <c r="D417" t="s">
        <v>848</v>
      </c>
      <c r="F417" t="s">
        <v>11</v>
      </c>
      <c r="G417" t="s">
        <v>10</v>
      </c>
      <c r="H417" t="s">
        <v>22</v>
      </c>
      <c r="I417" s="10" t="s">
        <v>8</v>
      </c>
      <c r="J417" t="s">
        <v>8</v>
      </c>
      <c r="K417" s="10" t="e">
        <f t="shared" si="6"/>
        <v>#VALUE!</v>
      </c>
    </row>
    <row r="418" spans="1:11" x14ac:dyDescent="0.35">
      <c r="A418" t="s">
        <v>15</v>
      </c>
      <c r="B418" s="3">
        <v>45670</v>
      </c>
      <c r="C418" t="s">
        <v>873</v>
      </c>
      <c r="D418" t="s">
        <v>872</v>
      </c>
      <c r="F418" t="s">
        <v>11</v>
      </c>
      <c r="G418" t="s">
        <v>10</v>
      </c>
      <c r="H418" t="s">
        <v>22</v>
      </c>
      <c r="I418" s="10" t="s">
        <v>8</v>
      </c>
      <c r="J418" t="s">
        <v>8</v>
      </c>
      <c r="K418" s="10" t="e">
        <f t="shared" si="6"/>
        <v>#VALUE!</v>
      </c>
    </row>
    <row r="419" spans="1:11" x14ac:dyDescent="0.35">
      <c r="A419" t="s">
        <v>15</v>
      </c>
      <c r="B419" s="3">
        <v>45659</v>
      </c>
      <c r="C419" t="s">
        <v>871</v>
      </c>
      <c r="D419" t="s">
        <v>870</v>
      </c>
      <c r="E419" t="s">
        <v>869</v>
      </c>
      <c r="F419" t="s">
        <v>11</v>
      </c>
      <c r="G419" t="s">
        <v>373</v>
      </c>
      <c r="H419" t="s">
        <v>22</v>
      </c>
      <c r="I419" s="10" t="s">
        <v>8</v>
      </c>
      <c r="J419" t="s">
        <v>8</v>
      </c>
      <c r="K419" s="10" t="e">
        <f t="shared" si="6"/>
        <v>#VALUE!</v>
      </c>
    </row>
    <row r="420" spans="1:11" x14ac:dyDescent="0.35">
      <c r="A420" t="s">
        <v>15</v>
      </c>
      <c r="B420" s="3">
        <v>45664</v>
      </c>
      <c r="C420" t="s">
        <v>868</v>
      </c>
      <c r="D420" t="s">
        <v>867</v>
      </c>
      <c r="E420" t="s">
        <v>866</v>
      </c>
      <c r="F420" t="s">
        <v>11</v>
      </c>
      <c r="G420" t="s">
        <v>10</v>
      </c>
      <c r="H420" t="s">
        <v>22</v>
      </c>
      <c r="I420" s="10" t="s">
        <v>8</v>
      </c>
      <c r="J420" t="s">
        <v>8</v>
      </c>
      <c r="K420" s="10" t="e">
        <f t="shared" si="6"/>
        <v>#VALUE!</v>
      </c>
    </row>
    <row r="421" spans="1:11" x14ac:dyDescent="0.35">
      <c r="A421" t="s">
        <v>15</v>
      </c>
      <c r="B421" s="3">
        <v>45707</v>
      </c>
      <c r="C421" t="s">
        <v>865</v>
      </c>
      <c r="D421" t="s">
        <v>864</v>
      </c>
      <c r="E421" t="s">
        <v>863</v>
      </c>
      <c r="F421" t="s">
        <v>11</v>
      </c>
      <c r="G421" t="s">
        <v>10</v>
      </c>
      <c r="H421" t="s">
        <v>22</v>
      </c>
      <c r="I421" s="10" t="s">
        <v>8</v>
      </c>
      <c r="J421" t="s">
        <v>8</v>
      </c>
      <c r="K421" s="10" t="e">
        <f t="shared" si="6"/>
        <v>#VALUE!</v>
      </c>
    </row>
    <row r="422" spans="1:11" x14ac:dyDescent="0.35">
      <c r="A422" t="s">
        <v>15</v>
      </c>
      <c r="B422" s="3">
        <v>45729</v>
      </c>
      <c r="C422" t="s">
        <v>862</v>
      </c>
      <c r="D422" t="s">
        <v>861</v>
      </c>
      <c r="E422" t="s">
        <v>860</v>
      </c>
      <c r="F422" t="s">
        <v>11</v>
      </c>
      <c r="G422" t="s">
        <v>10</v>
      </c>
      <c r="H422" t="s">
        <v>22</v>
      </c>
      <c r="I422" s="10" t="s">
        <v>8</v>
      </c>
      <c r="J422" t="s">
        <v>8</v>
      </c>
      <c r="K422" s="10" t="e">
        <f t="shared" si="6"/>
        <v>#VALUE!</v>
      </c>
    </row>
    <row r="423" spans="1:11" x14ac:dyDescent="0.35">
      <c r="A423" t="s">
        <v>15</v>
      </c>
      <c r="B423" s="3">
        <v>45693</v>
      </c>
      <c r="C423" t="s">
        <v>859</v>
      </c>
      <c r="D423" t="s">
        <v>858</v>
      </c>
      <c r="F423" t="s">
        <v>11</v>
      </c>
      <c r="G423" t="s">
        <v>10</v>
      </c>
      <c r="H423" t="s">
        <v>22</v>
      </c>
      <c r="I423" s="10" t="s">
        <v>8</v>
      </c>
      <c r="J423" t="s">
        <v>8</v>
      </c>
      <c r="K423" s="10" t="e">
        <f t="shared" si="6"/>
        <v>#VALUE!</v>
      </c>
    </row>
    <row r="424" spans="1:11" x14ac:dyDescent="0.35">
      <c r="A424" t="s">
        <v>15</v>
      </c>
      <c r="B424" s="3">
        <v>45630</v>
      </c>
      <c r="C424" t="s">
        <v>857</v>
      </c>
      <c r="D424" t="s">
        <v>856</v>
      </c>
      <c r="E424" t="s">
        <v>855</v>
      </c>
      <c r="F424" t="s">
        <v>11</v>
      </c>
      <c r="G424" t="s">
        <v>10</v>
      </c>
      <c r="H424" t="s">
        <v>33</v>
      </c>
      <c r="I424" s="10" t="s">
        <v>8</v>
      </c>
      <c r="J424" t="s">
        <v>8</v>
      </c>
      <c r="K424" s="10" t="e">
        <f t="shared" si="6"/>
        <v>#VALUE!</v>
      </c>
    </row>
    <row r="425" spans="1:11" x14ac:dyDescent="0.35">
      <c r="A425" t="s">
        <v>15</v>
      </c>
      <c r="B425" s="3">
        <v>45742</v>
      </c>
      <c r="C425" t="s">
        <v>854</v>
      </c>
      <c r="D425" t="s">
        <v>853</v>
      </c>
      <c r="F425" t="s">
        <v>11</v>
      </c>
      <c r="G425" t="s">
        <v>10</v>
      </c>
      <c r="H425" t="s">
        <v>22</v>
      </c>
      <c r="I425" s="10" t="s">
        <v>8</v>
      </c>
      <c r="J425" t="s">
        <v>8</v>
      </c>
      <c r="K425" s="10" t="e">
        <f t="shared" si="6"/>
        <v>#VALUE!</v>
      </c>
    </row>
    <row r="426" spans="1:11" x14ac:dyDescent="0.35">
      <c r="A426" t="s">
        <v>15</v>
      </c>
      <c r="B426" s="3">
        <v>45566</v>
      </c>
      <c r="C426" t="s">
        <v>852</v>
      </c>
      <c r="D426" t="s">
        <v>851</v>
      </c>
      <c r="F426" t="s">
        <v>11</v>
      </c>
      <c r="G426" t="s">
        <v>10</v>
      </c>
      <c r="H426" t="s">
        <v>22</v>
      </c>
      <c r="I426" s="10" t="s">
        <v>8</v>
      </c>
      <c r="J426" t="s">
        <v>8</v>
      </c>
      <c r="K426" s="10" t="e">
        <f t="shared" si="6"/>
        <v>#VALUE!</v>
      </c>
    </row>
    <row r="427" spans="1:11" x14ac:dyDescent="0.35">
      <c r="A427" t="s">
        <v>15</v>
      </c>
      <c r="B427" s="3">
        <v>45722</v>
      </c>
      <c r="C427" t="s">
        <v>850</v>
      </c>
      <c r="D427" t="s">
        <v>321</v>
      </c>
      <c r="E427" t="s">
        <v>504</v>
      </c>
      <c r="F427" t="s">
        <v>11</v>
      </c>
      <c r="G427" t="s">
        <v>10</v>
      </c>
      <c r="H427" t="s">
        <v>22</v>
      </c>
      <c r="I427" s="10" t="s">
        <v>8</v>
      </c>
      <c r="J427" t="s">
        <v>8</v>
      </c>
      <c r="K427" s="10" t="e">
        <f t="shared" si="6"/>
        <v>#VALUE!</v>
      </c>
    </row>
    <row r="428" spans="1:11" x14ac:dyDescent="0.35">
      <c r="A428" t="s">
        <v>15</v>
      </c>
      <c r="B428" s="3">
        <v>45727</v>
      </c>
      <c r="C428" t="s">
        <v>849</v>
      </c>
      <c r="D428" t="s">
        <v>848</v>
      </c>
      <c r="E428" t="s">
        <v>847</v>
      </c>
      <c r="F428" t="s">
        <v>11</v>
      </c>
      <c r="G428" t="s">
        <v>10</v>
      </c>
      <c r="H428" t="s">
        <v>22</v>
      </c>
      <c r="I428" s="10" t="s">
        <v>8</v>
      </c>
      <c r="J428" t="s">
        <v>8</v>
      </c>
      <c r="K428" s="10" t="e">
        <f t="shared" si="6"/>
        <v>#VALUE!</v>
      </c>
    </row>
    <row r="429" spans="1:11" x14ac:dyDescent="0.35">
      <c r="A429" t="s">
        <v>15</v>
      </c>
      <c r="B429" s="3">
        <v>45744</v>
      </c>
      <c r="C429" t="s">
        <v>846</v>
      </c>
      <c r="D429" t="s">
        <v>143</v>
      </c>
      <c r="E429" t="s">
        <v>845</v>
      </c>
      <c r="F429" t="s">
        <v>11</v>
      </c>
      <c r="G429" t="s">
        <v>10</v>
      </c>
      <c r="H429" t="s">
        <v>22</v>
      </c>
      <c r="I429" s="10" t="s">
        <v>8</v>
      </c>
      <c r="J429" t="s">
        <v>8</v>
      </c>
      <c r="K429" s="10" t="e">
        <f t="shared" si="6"/>
        <v>#VALUE!</v>
      </c>
    </row>
    <row r="430" spans="1:11" x14ac:dyDescent="0.35">
      <c r="A430" t="s">
        <v>15</v>
      </c>
      <c r="B430" s="3">
        <v>45748</v>
      </c>
      <c r="C430" t="s">
        <v>844</v>
      </c>
      <c r="D430" t="s">
        <v>843</v>
      </c>
      <c r="E430" t="s">
        <v>806</v>
      </c>
      <c r="F430" t="s">
        <v>11</v>
      </c>
      <c r="G430" t="s">
        <v>10</v>
      </c>
      <c r="H430" t="s">
        <v>33</v>
      </c>
      <c r="I430" s="10" t="s">
        <v>8</v>
      </c>
      <c r="J430" t="s">
        <v>8</v>
      </c>
      <c r="K430" s="10" t="e">
        <f t="shared" si="6"/>
        <v>#VALUE!</v>
      </c>
    </row>
    <row r="431" spans="1:11" x14ac:dyDescent="0.35">
      <c r="A431" t="s">
        <v>15</v>
      </c>
      <c r="B431" s="3">
        <v>45749</v>
      </c>
      <c r="C431" t="s">
        <v>842</v>
      </c>
      <c r="D431" t="s">
        <v>841</v>
      </c>
      <c r="E431" t="s">
        <v>143</v>
      </c>
      <c r="F431" t="s">
        <v>11</v>
      </c>
      <c r="G431" t="s">
        <v>10</v>
      </c>
      <c r="H431" t="s">
        <v>33</v>
      </c>
      <c r="I431" s="10" t="s">
        <v>8</v>
      </c>
      <c r="J431" t="s">
        <v>8</v>
      </c>
      <c r="K431" s="10" t="e">
        <f t="shared" si="6"/>
        <v>#VALUE!</v>
      </c>
    </row>
    <row r="432" spans="1:11" x14ac:dyDescent="0.35">
      <c r="A432" t="s">
        <v>15</v>
      </c>
      <c r="B432" s="3">
        <v>45581</v>
      </c>
      <c r="C432" t="s">
        <v>840</v>
      </c>
      <c r="D432" t="s">
        <v>85</v>
      </c>
      <c r="E432" t="s">
        <v>839</v>
      </c>
      <c r="F432" t="s">
        <v>11</v>
      </c>
      <c r="G432" t="s">
        <v>10</v>
      </c>
      <c r="H432" t="s">
        <v>22</v>
      </c>
      <c r="I432" s="10" t="s">
        <v>8</v>
      </c>
      <c r="J432" t="s">
        <v>8</v>
      </c>
      <c r="K432" s="10" t="e">
        <f t="shared" si="6"/>
        <v>#VALUE!</v>
      </c>
    </row>
    <row r="433" spans="1:11" x14ac:dyDescent="0.35">
      <c r="A433" t="s">
        <v>15</v>
      </c>
      <c r="B433" s="3">
        <v>45691</v>
      </c>
      <c r="C433" t="s">
        <v>838</v>
      </c>
      <c r="D433" t="s">
        <v>837</v>
      </c>
      <c r="E433" t="s">
        <v>836</v>
      </c>
      <c r="F433" t="s">
        <v>11</v>
      </c>
      <c r="G433" t="s">
        <v>10</v>
      </c>
      <c r="H433" t="s">
        <v>22</v>
      </c>
      <c r="I433" s="10" t="s">
        <v>8</v>
      </c>
      <c r="J433" t="s">
        <v>8</v>
      </c>
      <c r="K433" s="10" t="e">
        <f t="shared" si="6"/>
        <v>#VALUE!</v>
      </c>
    </row>
    <row r="434" spans="1:11" x14ac:dyDescent="0.35">
      <c r="A434" t="s">
        <v>15</v>
      </c>
      <c r="B434" s="3">
        <v>45751</v>
      </c>
      <c r="C434" t="s">
        <v>835</v>
      </c>
      <c r="D434" t="s">
        <v>834</v>
      </c>
      <c r="F434" t="s">
        <v>11</v>
      </c>
      <c r="G434" t="s">
        <v>10</v>
      </c>
      <c r="H434" t="s">
        <v>22</v>
      </c>
      <c r="I434" s="10" t="s">
        <v>8</v>
      </c>
      <c r="J434" t="s">
        <v>8</v>
      </c>
      <c r="K434" s="10" t="e">
        <f t="shared" si="6"/>
        <v>#VALUE!</v>
      </c>
    </row>
    <row r="435" spans="1:11" x14ac:dyDescent="0.35">
      <c r="A435" t="s">
        <v>15</v>
      </c>
      <c r="B435" s="3">
        <v>45667</v>
      </c>
      <c r="C435" t="s">
        <v>833</v>
      </c>
      <c r="D435" t="s">
        <v>832</v>
      </c>
      <c r="E435" t="s">
        <v>831</v>
      </c>
      <c r="F435" t="s">
        <v>11</v>
      </c>
      <c r="G435" t="s">
        <v>10</v>
      </c>
      <c r="H435" t="s">
        <v>22</v>
      </c>
      <c r="I435" s="10" t="s">
        <v>8</v>
      </c>
      <c r="J435" t="s">
        <v>8</v>
      </c>
      <c r="K435" s="10" t="e">
        <f t="shared" si="6"/>
        <v>#VALUE!</v>
      </c>
    </row>
    <row r="436" spans="1:11" x14ac:dyDescent="0.35">
      <c r="A436" t="s">
        <v>15</v>
      </c>
      <c r="B436" s="3">
        <v>45685</v>
      </c>
      <c r="C436" t="s">
        <v>830</v>
      </c>
      <c r="D436" t="s">
        <v>829</v>
      </c>
      <c r="F436" t="s">
        <v>11</v>
      </c>
      <c r="G436" t="s">
        <v>10</v>
      </c>
      <c r="H436" t="s">
        <v>22</v>
      </c>
      <c r="I436" s="10" t="s">
        <v>8</v>
      </c>
      <c r="J436" t="s">
        <v>8</v>
      </c>
      <c r="K436" s="10" t="e">
        <f t="shared" si="6"/>
        <v>#VALUE!</v>
      </c>
    </row>
    <row r="437" spans="1:11" x14ac:dyDescent="0.35">
      <c r="A437" t="s">
        <v>15</v>
      </c>
      <c r="B437" s="3">
        <v>45752</v>
      </c>
      <c r="C437" t="s">
        <v>828</v>
      </c>
      <c r="D437" t="s">
        <v>227</v>
      </c>
      <c r="E437" t="s">
        <v>827</v>
      </c>
      <c r="F437" t="s">
        <v>11</v>
      </c>
      <c r="G437" t="s">
        <v>10</v>
      </c>
      <c r="H437" t="s">
        <v>22</v>
      </c>
      <c r="I437" s="10" t="s">
        <v>8</v>
      </c>
      <c r="J437" t="s">
        <v>8</v>
      </c>
      <c r="K437" s="10" t="e">
        <f t="shared" si="6"/>
        <v>#VALUE!</v>
      </c>
    </row>
    <row r="438" spans="1:11" x14ac:dyDescent="0.35">
      <c r="A438" t="s">
        <v>15</v>
      </c>
      <c r="B438" s="3">
        <v>45751</v>
      </c>
      <c r="C438" t="s">
        <v>826</v>
      </c>
      <c r="D438" t="s">
        <v>825</v>
      </c>
      <c r="F438" t="s">
        <v>11</v>
      </c>
      <c r="G438" t="s">
        <v>10</v>
      </c>
      <c r="H438" t="s">
        <v>22</v>
      </c>
      <c r="I438" s="10" t="s">
        <v>8</v>
      </c>
      <c r="J438" t="s">
        <v>8</v>
      </c>
      <c r="K438" s="10" t="e">
        <f t="shared" si="6"/>
        <v>#VALUE!</v>
      </c>
    </row>
    <row r="439" spans="1:11" x14ac:dyDescent="0.35">
      <c r="A439" t="s">
        <v>15</v>
      </c>
      <c r="B439" s="3">
        <v>45758</v>
      </c>
      <c r="C439" t="s">
        <v>824</v>
      </c>
      <c r="D439" t="s">
        <v>823</v>
      </c>
      <c r="F439" t="s">
        <v>11</v>
      </c>
      <c r="G439" t="s">
        <v>10</v>
      </c>
      <c r="H439" t="s">
        <v>22</v>
      </c>
      <c r="I439" s="10" t="s">
        <v>8</v>
      </c>
      <c r="J439" t="s">
        <v>8</v>
      </c>
      <c r="K439" s="10" t="e">
        <f t="shared" si="6"/>
        <v>#VALUE!</v>
      </c>
    </row>
    <row r="440" spans="1:11" x14ac:dyDescent="0.35">
      <c r="A440" t="s">
        <v>15</v>
      </c>
      <c r="B440" s="3">
        <v>45756</v>
      </c>
      <c r="C440" t="s">
        <v>822</v>
      </c>
      <c r="D440" t="s">
        <v>821</v>
      </c>
      <c r="F440" t="s">
        <v>11</v>
      </c>
      <c r="G440" t="s">
        <v>10</v>
      </c>
      <c r="H440" t="s">
        <v>22</v>
      </c>
      <c r="I440" s="10" t="s">
        <v>8</v>
      </c>
      <c r="J440" t="s">
        <v>8</v>
      </c>
      <c r="K440" s="10" t="e">
        <f t="shared" si="6"/>
        <v>#VALUE!</v>
      </c>
    </row>
    <row r="441" spans="1:11" x14ac:dyDescent="0.35">
      <c r="A441" t="s">
        <v>15</v>
      </c>
      <c r="B441" s="3">
        <v>45763</v>
      </c>
      <c r="C441" t="s">
        <v>820</v>
      </c>
      <c r="D441" t="s">
        <v>425</v>
      </c>
      <c r="F441" t="s">
        <v>11</v>
      </c>
      <c r="G441" t="s">
        <v>10</v>
      </c>
      <c r="H441" t="s">
        <v>22</v>
      </c>
      <c r="I441" s="10" t="s">
        <v>8</v>
      </c>
      <c r="J441" t="s">
        <v>8</v>
      </c>
      <c r="K441" s="10" t="e">
        <f t="shared" si="6"/>
        <v>#VALUE!</v>
      </c>
    </row>
    <row r="442" spans="1:11" x14ac:dyDescent="0.35">
      <c r="A442" t="s">
        <v>15</v>
      </c>
      <c r="B442" s="3">
        <v>45740</v>
      </c>
      <c r="C442" t="s">
        <v>819</v>
      </c>
      <c r="D442" t="s">
        <v>652</v>
      </c>
      <c r="E442" t="s">
        <v>818</v>
      </c>
      <c r="F442" t="s">
        <v>11</v>
      </c>
      <c r="G442" t="s">
        <v>10</v>
      </c>
      <c r="H442" t="s">
        <v>22</v>
      </c>
      <c r="I442" s="10" t="s">
        <v>8</v>
      </c>
      <c r="J442" t="s">
        <v>8</v>
      </c>
      <c r="K442" s="10" t="e">
        <f t="shared" si="6"/>
        <v>#VALUE!</v>
      </c>
    </row>
    <row r="443" spans="1:11" x14ac:dyDescent="0.35">
      <c r="A443" t="s">
        <v>15</v>
      </c>
      <c r="B443" s="3">
        <v>45762</v>
      </c>
      <c r="C443" t="s">
        <v>817</v>
      </c>
      <c r="D443" t="s">
        <v>816</v>
      </c>
      <c r="F443" t="s">
        <v>11</v>
      </c>
      <c r="G443" t="s">
        <v>10</v>
      </c>
      <c r="H443" t="s">
        <v>22</v>
      </c>
      <c r="I443" s="10" t="s">
        <v>8</v>
      </c>
      <c r="J443" t="s">
        <v>8</v>
      </c>
      <c r="K443" s="10" t="e">
        <f t="shared" si="6"/>
        <v>#VALUE!</v>
      </c>
    </row>
    <row r="444" spans="1:11" x14ac:dyDescent="0.35">
      <c r="A444" t="s">
        <v>15</v>
      </c>
      <c r="B444" s="3">
        <v>45649</v>
      </c>
      <c r="C444" t="s">
        <v>815</v>
      </c>
      <c r="D444" t="s">
        <v>814</v>
      </c>
      <c r="F444" t="s">
        <v>11</v>
      </c>
      <c r="G444" t="s">
        <v>10</v>
      </c>
      <c r="H444" t="s">
        <v>22</v>
      </c>
      <c r="I444" s="10" t="s">
        <v>8</v>
      </c>
      <c r="J444" t="s">
        <v>8</v>
      </c>
      <c r="K444" s="10" t="e">
        <f t="shared" si="6"/>
        <v>#VALUE!</v>
      </c>
    </row>
    <row r="445" spans="1:11" x14ac:dyDescent="0.35">
      <c r="A445" t="s">
        <v>15</v>
      </c>
      <c r="B445" s="3">
        <v>45771</v>
      </c>
      <c r="C445" t="s">
        <v>813</v>
      </c>
      <c r="D445" t="s">
        <v>812</v>
      </c>
      <c r="E445" t="s">
        <v>811</v>
      </c>
      <c r="F445" t="s">
        <v>11</v>
      </c>
      <c r="G445" t="s">
        <v>10</v>
      </c>
      <c r="H445" t="s">
        <v>22</v>
      </c>
      <c r="I445" s="10" t="s">
        <v>8</v>
      </c>
      <c r="J445" t="s">
        <v>8</v>
      </c>
      <c r="K445" s="10" t="e">
        <f t="shared" si="6"/>
        <v>#VALUE!</v>
      </c>
    </row>
    <row r="446" spans="1:11" x14ac:dyDescent="0.35">
      <c r="A446" t="s">
        <v>15</v>
      </c>
      <c r="B446" s="3">
        <v>45659</v>
      </c>
      <c r="C446" t="s">
        <v>810</v>
      </c>
      <c r="D446" t="s">
        <v>421</v>
      </c>
      <c r="E446" t="s">
        <v>809</v>
      </c>
      <c r="F446" t="s">
        <v>11</v>
      </c>
      <c r="G446" t="s">
        <v>10</v>
      </c>
      <c r="H446" t="s">
        <v>22</v>
      </c>
      <c r="I446" s="10" t="s">
        <v>8</v>
      </c>
      <c r="J446" t="s">
        <v>8</v>
      </c>
      <c r="K446" s="10" t="e">
        <f t="shared" si="6"/>
        <v>#VALUE!</v>
      </c>
    </row>
    <row r="447" spans="1:11" x14ac:dyDescent="0.35">
      <c r="A447" t="s">
        <v>15</v>
      </c>
      <c r="B447" s="3">
        <v>45727</v>
      </c>
      <c r="C447" t="s">
        <v>808</v>
      </c>
      <c r="D447" t="s">
        <v>143</v>
      </c>
      <c r="F447" t="s">
        <v>11</v>
      </c>
      <c r="G447" t="s">
        <v>10</v>
      </c>
      <c r="H447" t="s">
        <v>33</v>
      </c>
      <c r="I447" s="10" t="s">
        <v>8</v>
      </c>
      <c r="J447" t="s">
        <v>8</v>
      </c>
      <c r="K447" s="10" t="e">
        <f t="shared" si="6"/>
        <v>#VALUE!</v>
      </c>
    </row>
    <row r="448" spans="1:11" x14ac:dyDescent="0.35">
      <c r="A448" t="s">
        <v>15</v>
      </c>
      <c r="B448" s="3">
        <v>45736</v>
      </c>
      <c r="C448" t="s">
        <v>807</v>
      </c>
      <c r="D448" t="s">
        <v>806</v>
      </c>
      <c r="E448" t="s">
        <v>805</v>
      </c>
      <c r="F448" t="s">
        <v>11</v>
      </c>
      <c r="G448" t="s">
        <v>10</v>
      </c>
      <c r="H448" t="s">
        <v>33</v>
      </c>
      <c r="I448" s="10" t="s">
        <v>8</v>
      </c>
      <c r="J448" t="s">
        <v>8</v>
      </c>
      <c r="K448" s="10" t="e">
        <f t="shared" si="6"/>
        <v>#VALUE!</v>
      </c>
    </row>
    <row r="449" spans="1:11" x14ac:dyDescent="0.35">
      <c r="A449" t="s">
        <v>15</v>
      </c>
      <c r="B449" s="3">
        <v>45742</v>
      </c>
      <c r="C449" t="s">
        <v>804</v>
      </c>
      <c r="D449" t="s">
        <v>803</v>
      </c>
      <c r="E449" t="s">
        <v>802</v>
      </c>
      <c r="F449" t="s">
        <v>11</v>
      </c>
      <c r="G449" t="s">
        <v>10</v>
      </c>
      <c r="H449" t="s">
        <v>22</v>
      </c>
      <c r="I449" s="10" t="s">
        <v>8</v>
      </c>
      <c r="J449" t="s">
        <v>8</v>
      </c>
      <c r="K449" s="10" t="e">
        <f t="shared" si="6"/>
        <v>#VALUE!</v>
      </c>
    </row>
    <row r="450" spans="1:11" x14ac:dyDescent="0.35">
      <c r="A450" t="s">
        <v>15</v>
      </c>
      <c r="B450" s="3">
        <v>45768</v>
      </c>
      <c r="C450" t="s">
        <v>801</v>
      </c>
      <c r="D450" t="s">
        <v>800</v>
      </c>
      <c r="E450" t="s">
        <v>799</v>
      </c>
      <c r="F450" t="s">
        <v>11</v>
      </c>
      <c r="G450" t="s">
        <v>10</v>
      </c>
      <c r="H450" t="s">
        <v>33</v>
      </c>
      <c r="I450" s="10" t="s">
        <v>8</v>
      </c>
      <c r="J450" t="s">
        <v>8</v>
      </c>
      <c r="K450" s="10" t="e">
        <f t="shared" si="6"/>
        <v>#VALUE!</v>
      </c>
    </row>
    <row r="451" spans="1:11" x14ac:dyDescent="0.35">
      <c r="A451" t="s">
        <v>15</v>
      </c>
      <c r="B451" s="3">
        <v>45769</v>
      </c>
      <c r="C451" t="s">
        <v>798</v>
      </c>
      <c r="D451" t="s">
        <v>797</v>
      </c>
      <c r="E451" t="s">
        <v>796</v>
      </c>
      <c r="F451" t="s">
        <v>11</v>
      </c>
      <c r="G451" t="s">
        <v>25</v>
      </c>
      <c r="H451" t="s">
        <v>22</v>
      </c>
      <c r="I451" s="10" t="s">
        <v>8</v>
      </c>
      <c r="J451" t="s">
        <v>8</v>
      </c>
      <c r="K451" s="10" t="e">
        <f t="shared" ref="K451:K514" si="7">1/J451</f>
        <v>#VALUE!</v>
      </c>
    </row>
    <row r="452" spans="1:11" x14ac:dyDescent="0.35">
      <c r="A452" t="s">
        <v>15</v>
      </c>
      <c r="B452" s="3">
        <v>45768</v>
      </c>
      <c r="C452" t="s">
        <v>795</v>
      </c>
      <c r="D452" t="s">
        <v>794</v>
      </c>
      <c r="F452" t="s">
        <v>11</v>
      </c>
      <c r="G452" t="s">
        <v>10</v>
      </c>
      <c r="H452" t="s">
        <v>22</v>
      </c>
      <c r="I452" s="10" t="s">
        <v>8</v>
      </c>
      <c r="J452" t="s">
        <v>8</v>
      </c>
      <c r="K452" s="10" t="e">
        <f t="shared" si="7"/>
        <v>#VALUE!</v>
      </c>
    </row>
    <row r="453" spans="1:11" x14ac:dyDescent="0.35">
      <c r="A453" t="s">
        <v>15</v>
      </c>
      <c r="B453" s="3">
        <v>45594</v>
      </c>
      <c r="C453" t="s">
        <v>793</v>
      </c>
      <c r="D453" t="s">
        <v>792</v>
      </c>
      <c r="E453" t="s">
        <v>791</v>
      </c>
      <c r="F453" t="s">
        <v>11</v>
      </c>
      <c r="G453" t="s">
        <v>10</v>
      </c>
      <c r="H453" t="s">
        <v>22</v>
      </c>
      <c r="I453" s="10" t="s">
        <v>8</v>
      </c>
      <c r="J453" t="s">
        <v>8</v>
      </c>
      <c r="K453" s="10" t="e">
        <f t="shared" si="7"/>
        <v>#VALUE!</v>
      </c>
    </row>
    <row r="454" spans="1:11" x14ac:dyDescent="0.35">
      <c r="A454" t="s">
        <v>15</v>
      </c>
      <c r="B454" s="3">
        <v>45608</v>
      </c>
      <c r="C454" t="s">
        <v>790</v>
      </c>
      <c r="D454" t="s">
        <v>779</v>
      </c>
      <c r="F454" t="s">
        <v>11</v>
      </c>
      <c r="G454" t="s">
        <v>25</v>
      </c>
      <c r="H454" t="s">
        <v>22</v>
      </c>
      <c r="I454" s="10" t="s">
        <v>8</v>
      </c>
      <c r="J454" t="s">
        <v>8</v>
      </c>
      <c r="K454" s="10" t="e">
        <f t="shared" si="7"/>
        <v>#VALUE!</v>
      </c>
    </row>
    <row r="455" spans="1:11" x14ac:dyDescent="0.35">
      <c r="A455" t="s">
        <v>15</v>
      </c>
      <c r="B455" s="3">
        <v>45608</v>
      </c>
      <c r="C455" t="s">
        <v>789</v>
      </c>
      <c r="D455" t="s">
        <v>788</v>
      </c>
      <c r="F455" t="s">
        <v>11</v>
      </c>
      <c r="G455" t="s">
        <v>10</v>
      </c>
      <c r="H455" t="s">
        <v>22</v>
      </c>
      <c r="I455" s="10" t="s">
        <v>8</v>
      </c>
      <c r="J455" t="s">
        <v>8</v>
      </c>
      <c r="K455" s="10" t="e">
        <f t="shared" si="7"/>
        <v>#VALUE!</v>
      </c>
    </row>
    <row r="456" spans="1:11" x14ac:dyDescent="0.35">
      <c r="A456" t="s">
        <v>15</v>
      </c>
      <c r="B456" s="3">
        <v>45777</v>
      </c>
      <c r="C456" t="s">
        <v>787</v>
      </c>
      <c r="D456" t="s">
        <v>786</v>
      </c>
      <c r="F456" t="s">
        <v>11</v>
      </c>
      <c r="G456" t="s">
        <v>10</v>
      </c>
      <c r="H456" t="s">
        <v>22</v>
      </c>
      <c r="I456" s="10" t="s">
        <v>8</v>
      </c>
      <c r="J456" t="s">
        <v>8</v>
      </c>
      <c r="K456" s="10" t="e">
        <f t="shared" si="7"/>
        <v>#VALUE!</v>
      </c>
    </row>
    <row r="457" spans="1:11" x14ac:dyDescent="0.35">
      <c r="A457" t="s">
        <v>15</v>
      </c>
      <c r="B457" s="3">
        <v>45768</v>
      </c>
      <c r="C457" t="s">
        <v>785</v>
      </c>
      <c r="D457" t="s">
        <v>784</v>
      </c>
      <c r="F457" t="s">
        <v>11</v>
      </c>
      <c r="G457" t="s">
        <v>10</v>
      </c>
      <c r="H457" t="s">
        <v>22</v>
      </c>
      <c r="I457" s="10" t="s">
        <v>8</v>
      </c>
      <c r="J457" t="s">
        <v>8</v>
      </c>
      <c r="K457" s="10" t="e">
        <f t="shared" si="7"/>
        <v>#VALUE!</v>
      </c>
    </row>
    <row r="458" spans="1:11" x14ac:dyDescent="0.35">
      <c r="A458" t="s">
        <v>15</v>
      </c>
      <c r="B458" s="3">
        <v>45727</v>
      </c>
      <c r="C458" t="s">
        <v>783</v>
      </c>
      <c r="D458" t="s">
        <v>782</v>
      </c>
      <c r="E458" t="s">
        <v>781</v>
      </c>
      <c r="F458" t="s">
        <v>11</v>
      </c>
      <c r="G458" t="s">
        <v>10</v>
      </c>
      <c r="H458" t="s">
        <v>22</v>
      </c>
      <c r="I458" s="10" t="s">
        <v>8</v>
      </c>
      <c r="J458" t="s">
        <v>8</v>
      </c>
      <c r="K458" s="10" t="e">
        <f t="shared" si="7"/>
        <v>#VALUE!</v>
      </c>
    </row>
    <row r="459" spans="1:11" x14ac:dyDescent="0.35">
      <c r="A459" t="s">
        <v>15</v>
      </c>
      <c r="B459" s="3">
        <v>45588</v>
      </c>
      <c r="C459" t="s">
        <v>780</v>
      </c>
      <c r="D459" t="s">
        <v>779</v>
      </c>
      <c r="E459" t="s">
        <v>778</v>
      </c>
      <c r="F459" t="s">
        <v>11</v>
      </c>
      <c r="G459" t="s">
        <v>10</v>
      </c>
      <c r="H459" t="s">
        <v>22</v>
      </c>
      <c r="I459" s="10" t="s">
        <v>8</v>
      </c>
      <c r="J459" t="s">
        <v>8</v>
      </c>
      <c r="K459" s="10" t="e">
        <f t="shared" si="7"/>
        <v>#VALUE!</v>
      </c>
    </row>
    <row r="460" spans="1:11" x14ac:dyDescent="0.35">
      <c r="A460" t="s">
        <v>15</v>
      </c>
      <c r="B460" s="3">
        <v>45754</v>
      </c>
      <c r="C460" t="s">
        <v>777</v>
      </c>
      <c r="D460" t="s">
        <v>776</v>
      </c>
      <c r="F460" t="s">
        <v>11</v>
      </c>
      <c r="G460" t="s">
        <v>10</v>
      </c>
      <c r="H460" t="s">
        <v>22</v>
      </c>
      <c r="I460" s="10" t="s">
        <v>8</v>
      </c>
      <c r="J460" t="s">
        <v>8</v>
      </c>
      <c r="K460" s="10" t="e">
        <f t="shared" si="7"/>
        <v>#VALUE!</v>
      </c>
    </row>
    <row r="461" spans="1:11" x14ac:dyDescent="0.35">
      <c r="A461" t="s">
        <v>15</v>
      </c>
      <c r="B461" s="3">
        <v>45750</v>
      </c>
      <c r="C461" t="s">
        <v>775</v>
      </c>
      <c r="D461" t="s">
        <v>774</v>
      </c>
      <c r="E461" t="s">
        <v>773</v>
      </c>
      <c r="F461" t="s">
        <v>11</v>
      </c>
      <c r="G461" t="s">
        <v>10</v>
      </c>
      <c r="H461" t="s">
        <v>22</v>
      </c>
      <c r="I461" s="10" t="s">
        <v>8</v>
      </c>
      <c r="J461" t="s">
        <v>8</v>
      </c>
      <c r="K461" s="10" t="e">
        <f t="shared" si="7"/>
        <v>#VALUE!</v>
      </c>
    </row>
    <row r="462" spans="1:11" x14ac:dyDescent="0.35">
      <c r="A462" t="s">
        <v>15</v>
      </c>
      <c r="B462" s="3">
        <v>45782</v>
      </c>
      <c r="C462" t="s">
        <v>772</v>
      </c>
      <c r="D462" t="s">
        <v>771</v>
      </c>
      <c r="F462" t="s">
        <v>11</v>
      </c>
      <c r="G462" t="s">
        <v>10</v>
      </c>
      <c r="H462" t="s">
        <v>22</v>
      </c>
      <c r="I462" s="10" t="s">
        <v>8</v>
      </c>
      <c r="J462" t="s">
        <v>8</v>
      </c>
      <c r="K462" s="10" t="e">
        <f t="shared" si="7"/>
        <v>#VALUE!</v>
      </c>
    </row>
    <row r="463" spans="1:11" x14ac:dyDescent="0.35">
      <c r="A463" t="s">
        <v>15</v>
      </c>
      <c r="B463" s="3">
        <v>45792</v>
      </c>
      <c r="C463" t="s">
        <v>770</v>
      </c>
      <c r="D463" t="s">
        <v>769</v>
      </c>
      <c r="F463" t="s">
        <v>11</v>
      </c>
      <c r="G463" t="s">
        <v>25</v>
      </c>
      <c r="H463" t="s">
        <v>22</v>
      </c>
      <c r="I463" s="10" t="s">
        <v>8</v>
      </c>
      <c r="J463" t="s">
        <v>8</v>
      </c>
      <c r="K463" s="10" t="e">
        <f t="shared" si="7"/>
        <v>#VALUE!</v>
      </c>
    </row>
    <row r="464" spans="1:11" x14ac:dyDescent="0.35">
      <c r="A464" t="s">
        <v>15</v>
      </c>
      <c r="B464" s="3">
        <v>45743</v>
      </c>
      <c r="C464" t="s">
        <v>768</v>
      </c>
      <c r="D464" t="s">
        <v>767</v>
      </c>
      <c r="F464" t="s">
        <v>11</v>
      </c>
      <c r="G464" t="s">
        <v>10</v>
      </c>
      <c r="H464" t="s">
        <v>22</v>
      </c>
      <c r="I464" s="10" t="s">
        <v>8</v>
      </c>
      <c r="J464" t="s">
        <v>8</v>
      </c>
      <c r="K464" s="10" t="e">
        <f t="shared" si="7"/>
        <v>#VALUE!</v>
      </c>
    </row>
    <row r="465" spans="1:11" x14ac:dyDescent="0.35">
      <c r="A465" t="s">
        <v>15</v>
      </c>
      <c r="B465" s="3">
        <v>45671</v>
      </c>
      <c r="C465" t="s">
        <v>766</v>
      </c>
      <c r="D465" t="s">
        <v>765</v>
      </c>
      <c r="E465" t="s">
        <v>764</v>
      </c>
      <c r="F465" t="s">
        <v>11</v>
      </c>
      <c r="G465" t="s">
        <v>10</v>
      </c>
      <c r="H465" t="s">
        <v>22</v>
      </c>
      <c r="I465" s="10" t="s">
        <v>8</v>
      </c>
      <c r="J465" t="s">
        <v>8</v>
      </c>
      <c r="K465" s="10" t="e">
        <f t="shared" si="7"/>
        <v>#VALUE!</v>
      </c>
    </row>
    <row r="466" spans="1:11" x14ac:dyDescent="0.35">
      <c r="A466" t="s">
        <v>15</v>
      </c>
      <c r="B466" s="3">
        <v>45792</v>
      </c>
      <c r="C466" t="s">
        <v>763</v>
      </c>
      <c r="D466" t="s">
        <v>762</v>
      </c>
      <c r="E466" t="s">
        <v>761</v>
      </c>
      <c r="F466" t="s">
        <v>11</v>
      </c>
      <c r="G466" t="s">
        <v>10</v>
      </c>
      <c r="H466" t="s">
        <v>33</v>
      </c>
      <c r="I466" s="10" t="s">
        <v>8</v>
      </c>
      <c r="J466" t="s">
        <v>8</v>
      </c>
      <c r="K466" s="10" t="e">
        <f t="shared" si="7"/>
        <v>#VALUE!</v>
      </c>
    </row>
    <row r="467" spans="1:11" x14ac:dyDescent="0.35">
      <c r="A467" t="s">
        <v>15</v>
      </c>
      <c r="B467" s="3">
        <v>45792</v>
      </c>
      <c r="C467" t="s">
        <v>760</v>
      </c>
      <c r="D467" t="s">
        <v>541</v>
      </c>
      <c r="F467" t="s">
        <v>11</v>
      </c>
      <c r="G467" t="s">
        <v>10</v>
      </c>
      <c r="H467" t="s">
        <v>22</v>
      </c>
      <c r="I467" s="10" t="s">
        <v>8</v>
      </c>
      <c r="J467" t="s">
        <v>8</v>
      </c>
      <c r="K467" s="10" t="e">
        <f t="shared" si="7"/>
        <v>#VALUE!</v>
      </c>
    </row>
    <row r="468" spans="1:11" x14ac:dyDescent="0.35">
      <c r="A468" t="s">
        <v>15</v>
      </c>
      <c r="B468" s="3">
        <v>45691</v>
      </c>
      <c r="C468" t="s">
        <v>759</v>
      </c>
      <c r="D468" t="s">
        <v>758</v>
      </c>
      <c r="E468" t="s">
        <v>28</v>
      </c>
      <c r="F468" t="s">
        <v>11</v>
      </c>
      <c r="G468" t="s">
        <v>10</v>
      </c>
      <c r="H468" t="s">
        <v>22</v>
      </c>
      <c r="I468" s="10" t="s">
        <v>8</v>
      </c>
      <c r="J468" t="s">
        <v>8</v>
      </c>
      <c r="K468" s="10" t="e">
        <f t="shared" si="7"/>
        <v>#VALUE!</v>
      </c>
    </row>
    <row r="469" spans="1:11" x14ac:dyDescent="0.35">
      <c r="A469" t="s">
        <v>15</v>
      </c>
      <c r="B469" s="3">
        <v>45784</v>
      </c>
      <c r="C469" t="s">
        <v>757</v>
      </c>
      <c r="D469" t="s">
        <v>750</v>
      </c>
      <c r="F469" t="s">
        <v>11</v>
      </c>
      <c r="G469" t="s">
        <v>10</v>
      </c>
      <c r="H469" t="s">
        <v>22</v>
      </c>
      <c r="I469" s="10" t="s">
        <v>8</v>
      </c>
      <c r="J469" t="s">
        <v>8</v>
      </c>
      <c r="K469" s="10" t="e">
        <f t="shared" si="7"/>
        <v>#VALUE!</v>
      </c>
    </row>
    <row r="470" spans="1:11" x14ac:dyDescent="0.35">
      <c r="A470" t="s">
        <v>15</v>
      </c>
      <c r="B470" s="3">
        <v>45734</v>
      </c>
      <c r="C470" t="s">
        <v>756</v>
      </c>
      <c r="D470" t="s">
        <v>755</v>
      </c>
      <c r="F470" t="s">
        <v>11</v>
      </c>
      <c r="G470" t="s">
        <v>10</v>
      </c>
      <c r="H470" t="s">
        <v>22</v>
      </c>
      <c r="I470" s="10" t="s">
        <v>8</v>
      </c>
      <c r="J470" t="s">
        <v>8</v>
      </c>
      <c r="K470" s="10" t="e">
        <f t="shared" si="7"/>
        <v>#VALUE!</v>
      </c>
    </row>
    <row r="471" spans="1:11" x14ac:dyDescent="0.35">
      <c r="A471" t="s">
        <v>15</v>
      </c>
      <c r="B471" s="3">
        <v>45733</v>
      </c>
      <c r="C471" t="s">
        <v>754</v>
      </c>
      <c r="D471" t="s">
        <v>753</v>
      </c>
      <c r="E471" t="s">
        <v>752</v>
      </c>
      <c r="F471" t="s">
        <v>11</v>
      </c>
      <c r="G471" t="s">
        <v>10</v>
      </c>
      <c r="H471" t="s">
        <v>22</v>
      </c>
      <c r="I471" s="10" t="s">
        <v>8</v>
      </c>
      <c r="J471" t="s">
        <v>8</v>
      </c>
      <c r="K471" s="10" t="e">
        <f t="shared" si="7"/>
        <v>#VALUE!</v>
      </c>
    </row>
    <row r="472" spans="1:11" x14ac:dyDescent="0.35">
      <c r="A472" t="s">
        <v>15</v>
      </c>
      <c r="B472" s="3">
        <v>45786</v>
      </c>
      <c r="C472" t="s">
        <v>751</v>
      </c>
      <c r="D472" t="s">
        <v>750</v>
      </c>
      <c r="F472" t="s">
        <v>11</v>
      </c>
      <c r="G472" t="s">
        <v>10</v>
      </c>
      <c r="H472" t="s">
        <v>22</v>
      </c>
      <c r="I472" s="10" t="s">
        <v>8</v>
      </c>
      <c r="J472" t="s">
        <v>8</v>
      </c>
      <c r="K472" s="10" t="e">
        <f t="shared" si="7"/>
        <v>#VALUE!</v>
      </c>
    </row>
    <row r="473" spans="1:11" x14ac:dyDescent="0.35">
      <c r="A473" t="s">
        <v>15</v>
      </c>
      <c r="B473" s="3">
        <v>45552</v>
      </c>
      <c r="C473" t="s">
        <v>749</v>
      </c>
      <c r="D473" t="s">
        <v>113</v>
      </c>
      <c r="E473" t="s">
        <v>748</v>
      </c>
      <c r="F473" t="s">
        <v>11</v>
      </c>
      <c r="G473" t="s">
        <v>10</v>
      </c>
      <c r="H473" t="s">
        <v>22</v>
      </c>
      <c r="I473" s="10" t="s">
        <v>8</v>
      </c>
      <c r="J473" t="s">
        <v>8</v>
      </c>
      <c r="K473" s="10" t="e">
        <f t="shared" si="7"/>
        <v>#VALUE!</v>
      </c>
    </row>
    <row r="474" spans="1:11" x14ac:dyDescent="0.35">
      <c r="A474" t="s">
        <v>15</v>
      </c>
      <c r="B474" s="3">
        <v>45782</v>
      </c>
      <c r="C474" t="s">
        <v>747</v>
      </c>
      <c r="D474" t="s">
        <v>746</v>
      </c>
      <c r="F474" t="s">
        <v>11</v>
      </c>
      <c r="G474" t="s">
        <v>10</v>
      </c>
      <c r="H474" t="s">
        <v>22</v>
      </c>
      <c r="I474" s="10" t="s">
        <v>8</v>
      </c>
      <c r="J474" t="s">
        <v>8</v>
      </c>
      <c r="K474" s="10" t="e">
        <f t="shared" si="7"/>
        <v>#VALUE!</v>
      </c>
    </row>
    <row r="475" spans="1:11" x14ac:dyDescent="0.35">
      <c r="A475" t="s">
        <v>15</v>
      </c>
      <c r="B475" s="3">
        <v>45785</v>
      </c>
      <c r="C475" t="s">
        <v>745</v>
      </c>
      <c r="D475" t="s">
        <v>744</v>
      </c>
      <c r="F475" t="s">
        <v>11</v>
      </c>
      <c r="G475" t="s">
        <v>10</v>
      </c>
      <c r="H475" t="s">
        <v>22</v>
      </c>
      <c r="I475" s="10" t="s">
        <v>8</v>
      </c>
      <c r="J475" t="s">
        <v>8</v>
      </c>
      <c r="K475" s="10" t="e">
        <f t="shared" si="7"/>
        <v>#VALUE!</v>
      </c>
    </row>
    <row r="476" spans="1:11" x14ac:dyDescent="0.35">
      <c r="A476" t="s">
        <v>15</v>
      </c>
      <c r="B476" s="3">
        <v>45790</v>
      </c>
      <c r="C476" t="s">
        <v>743</v>
      </c>
      <c r="D476" t="s">
        <v>742</v>
      </c>
      <c r="F476" t="s">
        <v>11</v>
      </c>
      <c r="G476" t="s">
        <v>10</v>
      </c>
      <c r="H476" t="s">
        <v>22</v>
      </c>
      <c r="I476" s="10" t="s">
        <v>8</v>
      </c>
      <c r="J476" t="s">
        <v>8</v>
      </c>
      <c r="K476" s="10" t="e">
        <f t="shared" si="7"/>
        <v>#VALUE!</v>
      </c>
    </row>
    <row r="477" spans="1:11" x14ac:dyDescent="0.35">
      <c r="A477" t="s">
        <v>15</v>
      </c>
      <c r="B477" s="3">
        <v>45790</v>
      </c>
      <c r="C477" t="s">
        <v>741</v>
      </c>
      <c r="D477" t="s">
        <v>740</v>
      </c>
      <c r="F477" t="s">
        <v>11</v>
      </c>
      <c r="G477" t="s">
        <v>10</v>
      </c>
      <c r="H477" t="s">
        <v>22</v>
      </c>
      <c r="I477" s="10" t="s">
        <v>8</v>
      </c>
      <c r="J477" t="s">
        <v>8</v>
      </c>
      <c r="K477" s="10" t="e">
        <f t="shared" si="7"/>
        <v>#VALUE!</v>
      </c>
    </row>
    <row r="478" spans="1:11" x14ac:dyDescent="0.35">
      <c r="A478" t="s">
        <v>15</v>
      </c>
      <c r="B478" s="3">
        <v>45785</v>
      </c>
      <c r="C478" t="s">
        <v>739</v>
      </c>
      <c r="D478" t="s">
        <v>738</v>
      </c>
      <c r="F478" t="s">
        <v>11</v>
      </c>
      <c r="G478" t="s">
        <v>10</v>
      </c>
      <c r="H478" t="s">
        <v>22</v>
      </c>
      <c r="I478" s="10" t="s">
        <v>8</v>
      </c>
      <c r="J478" t="s">
        <v>8</v>
      </c>
      <c r="K478" s="10" t="e">
        <f t="shared" si="7"/>
        <v>#VALUE!</v>
      </c>
    </row>
    <row r="479" spans="1:11" x14ac:dyDescent="0.35">
      <c r="A479" t="s">
        <v>15</v>
      </c>
      <c r="B479" s="3">
        <v>45792</v>
      </c>
      <c r="C479" t="s">
        <v>737</v>
      </c>
      <c r="D479" t="s">
        <v>736</v>
      </c>
      <c r="F479" t="s">
        <v>11</v>
      </c>
      <c r="G479" t="s">
        <v>10</v>
      </c>
      <c r="H479" t="s">
        <v>22</v>
      </c>
      <c r="I479" s="10" t="s">
        <v>8</v>
      </c>
      <c r="J479" t="s">
        <v>8</v>
      </c>
      <c r="K479" s="10" t="e">
        <f t="shared" si="7"/>
        <v>#VALUE!</v>
      </c>
    </row>
    <row r="480" spans="1:11" x14ac:dyDescent="0.35">
      <c r="A480" t="s">
        <v>15</v>
      </c>
      <c r="B480" s="3">
        <v>45810</v>
      </c>
      <c r="C480" t="s">
        <v>735</v>
      </c>
      <c r="D480" t="s">
        <v>734</v>
      </c>
      <c r="F480" t="s">
        <v>11</v>
      </c>
      <c r="G480" t="s">
        <v>10</v>
      </c>
      <c r="H480" t="s">
        <v>22</v>
      </c>
      <c r="I480" s="10" t="s">
        <v>8</v>
      </c>
      <c r="J480" t="s">
        <v>8</v>
      </c>
      <c r="K480" s="10" t="e">
        <f t="shared" si="7"/>
        <v>#VALUE!</v>
      </c>
    </row>
    <row r="481" spans="1:11" x14ac:dyDescent="0.35">
      <c r="A481" t="s">
        <v>15</v>
      </c>
      <c r="B481" s="3">
        <v>45805</v>
      </c>
      <c r="C481" t="s">
        <v>733</v>
      </c>
      <c r="D481" t="s">
        <v>143</v>
      </c>
      <c r="F481" t="s">
        <v>11</v>
      </c>
      <c r="G481" t="s">
        <v>10</v>
      </c>
      <c r="H481" t="s">
        <v>33</v>
      </c>
      <c r="I481" s="10" t="s">
        <v>8</v>
      </c>
      <c r="J481" t="s">
        <v>8</v>
      </c>
      <c r="K481" s="10" t="e">
        <f t="shared" si="7"/>
        <v>#VALUE!</v>
      </c>
    </row>
    <row r="482" spans="1:11" x14ac:dyDescent="0.35">
      <c r="A482" t="s">
        <v>15</v>
      </c>
      <c r="B482" s="3">
        <v>45747</v>
      </c>
      <c r="C482" t="s">
        <v>732</v>
      </c>
      <c r="D482" t="s">
        <v>731</v>
      </c>
      <c r="F482" t="s">
        <v>11</v>
      </c>
      <c r="G482" t="s">
        <v>10</v>
      </c>
      <c r="H482" t="s">
        <v>22</v>
      </c>
      <c r="I482" s="10" t="s">
        <v>8</v>
      </c>
      <c r="J482" t="s">
        <v>8</v>
      </c>
      <c r="K482" s="10" t="e">
        <f t="shared" si="7"/>
        <v>#VALUE!</v>
      </c>
    </row>
    <row r="483" spans="1:11" x14ac:dyDescent="0.35">
      <c r="A483" t="s">
        <v>15</v>
      </c>
      <c r="B483" s="3">
        <v>45770</v>
      </c>
      <c r="C483" t="s">
        <v>730</v>
      </c>
      <c r="D483" t="s">
        <v>729</v>
      </c>
      <c r="E483" t="s">
        <v>173</v>
      </c>
      <c r="F483" t="s">
        <v>11</v>
      </c>
      <c r="G483" t="s">
        <v>10</v>
      </c>
      <c r="H483" t="s">
        <v>22</v>
      </c>
      <c r="I483" s="10" t="s">
        <v>8</v>
      </c>
      <c r="J483" t="s">
        <v>8</v>
      </c>
      <c r="K483" s="10" t="e">
        <f t="shared" si="7"/>
        <v>#VALUE!</v>
      </c>
    </row>
    <row r="484" spans="1:11" x14ac:dyDescent="0.35">
      <c r="A484" t="s">
        <v>15</v>
      </c>
      <c r="B484" s="3">
        <v>45747</v>
      </c>
      <c r="C484" t="s">
        <v>728</v>
      </c>
      <c r="D484" t="s">
        <v>727</v>
      </c>
      <c r="E484" t="s">
        <v>726</v>
      </c>
      <c r="F484" t="s">
        <v>11</v>
      </c>
      <c r="G484" t="s">
        <v>10</v>
      </c>
      <c r="H484" t="s">
        <v>22</v>
      </c>
      <c r="I484" s="10" t="s">
        <v>8</v>
      </c>
      <c r="J484" t="s">
        <v>8</v>
      </c>
      <c r="K484" s="10" t="e">
        <f t="shared" si="7"/>
        <v>#VALUE!</v>
      </c>
    </row>
    <row r="485" spans="1:11" x14ac:dyDescent="0.35">
      <c r="A485" t="s">
        <v>15</v>
      </c>
      <c r="B485" s="3">
        <v>45797</v>
      </c>
      <c r="C485" t="s">
        <v>725</v>
      </c>
      <c r="D485" t="s">
        <v>724</v>
      </c>
      <c r="E485" t="s">
        <v>723</v>
      </c>
      <c r="F485" t="s">
        <v>11</v>
      </c>
      <c r="G485" t="s">
        <v>10</v>
      </c>
      <c r="H485" t="s">
        <v>33</v>
      </c>
      <c r="I485" s="10" t="s">
        <v>8</v>
      </c>
      <c r="J485" t="s">
        <v>8</v>
      </c>
      <c r="K485" s="10" t="e">
        <f t="shared" si="7"/>
        <v>#VALUE!</v>
      </c>
    </row>
    <row r="486" spans="1:11" x14ac:dyDescent="0.35">
      <c r="A486" t="s">
        <v>15</v>
      </c>
      <c r="B486" s="3">
        <v>45574</v>
      </c>
      <c r="C486" t="s">
        <v>722</v>
      </c>
      <c r="D486" t="s">
        <v>721</v>
      </c>
      <c r="F486" t="s">
        <v>11</v>
      </c>
      <c r="G486" t="s">
        <v>10</v>
      </c>
      <c r="H486" t="s">
        <v>142</v>
      </c>
      <c r="I486" s="10" t="s">
        <v>8</v>
      </c>
      <c r="J486" t="s">
        <v>8</v>
      </c>
      <c r="K486" s="10" t="e">
        <f t="shared" si="7"/>
        <v>#VALUE!</v>
      </c>
    </row>
    <row r="487" spans="1:11" x14ac:dyDescent="0.35">
      <c r="A487" t="s">
        <v>15</v>
      </c>
      <c r="B487" s="3">
        <v>45804</v>
      </c>
      <c r="C487" t="s">
        <v>720</v>
      </c>
      <c r="D487" t="s">
        <v>719</v>
      </c>
      <c r="F487" t="s">
        <v>11</v>
      </c>
      <c r="G487" t="s">
        <v>10</v>
      </c>
      <c r="H487" t="s">
        <v>22</v>
      </c>
      <c r="I487" s="10" t="s">
        <v>8</v>
      </c>
      <c r="J487" t="s">
        <v>8</v>
      </c>
      <c r="K487" s="10" t="e">
        <f t="shared" si="7"/>
        <v>#VALUE!</v>
      </c>
    </row>
    <row r="488" spans="1:11" x14ac:dyDescent="0.35">
      <c r="A488" t="s">
        <v>15</v>
      </c>
      <c r="B488" s="3">
        <v>45698</v>
      </c>
      <c r="C488" t="s">
        <v>718</v>
      </c>
      <c r="D488" t="s">
        <v>134</v>
      </c>
      <c r="E488" t="s">
        <v>130</v>
      </c>
      <c r="F488" t="s">
        <v>11</v>
      </c>
      <c r="G488" t="s">
        <v>10</v>
      </c>
      <c r="H488" t="s">
        <v>22</v>
      </c>
      <c r="I488" s="10" t="s">
        <v>8</v>
      </c>
      <c r="J488" t="s">
        <v>8</v>
      </c>
      <c r="K488" s="10" t="e">
        <f t="shared" si="7"/>
        <v>#VALUE!</v>
      </c>
    </row>
    <row r="489" spans="1:11" x14ac:dyDescent="0.35">
      <c r="A489" t="s">
        <v>15</v>
      </c>
      <c r="B489" s="3">
        <v>45757</v>
      </c>
      <c r="C489" t="s">
        <v>717</v>
      </c>
      <c r="D489" t="s">
        <v>716</v>
      </c>
      <c r="E489" t="s">
        <v>715</v>
      </c>
      <c r="F489" t="s">
        <v>11</v>
      </c>
      <c r="G489" t="s">
        <v>10</v>
      </c>
      <c r="H489" t="s">
        <v>22</v>
      </c>
      <c r="I489" s="10" t="s">
        <v>8</v>
      </c>
      <c r="J489" t="s">
        <v>8</v>
      </c>
      <c r="K489" s="10" t="e">
        <f t="shared" si="7"/>
        <v>#VALUE!</v>
      </c>
    </row>
    <row r="490" spans="1:11" x14ac:dyDescent="0.35">
      <c r="A490" t="s">
        <v>15</v>
      </c>
      <c r="B490" s="3">
        <v>45551</v>
      </c>
      <c r="C490" t="s">
        <v>714</v>
      </c>
      <c r="D490" t="s">
        <v>713</v>
      </c>
      <c r="F490" t="s">
        <v>11</v>
      </c>
      <c r="G490" t="s">
        <v>10</v>
      </c>
      <c r="H490" t="s">
        <v>33</v>
      </c>
      <c r="I490" s="10" t="s">
        <v>8</v>
      </c>
      <c r="J490" t="s">
        <v>8</v>
      </c>
      <c r="K490" s="10" t="e">
        <f t="shared" si="7"/>
        <v>#VALUE!</v>
      </c>
    </row>
    <row r="491" spans="1:11" x14ac:dyDescent="0.35">
      <c r="A491" t="s">
        <v>15</v>
      </c>
      <c r="B491" s="3">
        <v>45798</v>
      </c>
      <c r="C491" t="s">
        <v>712</v>
      </c>
      <c r="D491" t="s">
        <v>711</v>
      </c>
      <c r="E491" t="s">
        <v>710</v>
      </c>
      <c r="F491" t="s">
        <v>11</v>
      </c>
      <c r="G491" t="s">
        <v>10</v>
      </c>
      <c r="H491" t="s">
        <v>22</v>
      </c>
      <c r="I491" s="10" t="s">
        <v>8</v>
      </c>
      <c r="J491" t="s">
        <v>8</v>
      </c>
      <c r="K491" s="10" t="e">
        <f t="shared" si="7"/>
        <v>#VALUE!</v>
      </c>
    </row>
    <row r="492" spans="1:11" x14ac:dyDescent="0.35">
      <c r="A492" t="s">
        <v>15</v>
      </c>
      <c r="B492" s="3">
        <v>45777</v>
      </c>
      <c r="C492" t="s">
        <v>709</v>
      </c>
      <c r="D492" t="s">
        <v>143</v>
      </c>
      <c r="F492" t="s">
        <v>11</v>
      </c>
      <c r="G492" t="s">
        <v>10</v>
      </c>
      <c r="H492" t="s">
        <v>142</v>
      </c>
      <c r="I492" s="10" t="s">
        <v>8</v>
      </c>
      <c r="J492" t="s">
        <v>8</v>
      </c>
      <c r="K492" s="10" t="e">
        <f t="shared" si="7"/>
        <v>#VALUE!</v>
      </c>
    </row>
    <row r="493" spans="1:11" x14ac:dyDescent="0.35">
      <c r="A493" t="s">
        <v>15</v>
      </c>
      <c r="B493" s="3">
        <v>45803</v>
      </c>
      <c r="C493" t="s">
        <v>708</v>
      </c>
      <c r="D493" t="s">
        <v>707</v>
      </c>
      <c r="F493" t="s">
        <v>11</v>
      </c>
      <c r="G493" t="s">
        <v>10</v>
      </c>
      <c r="H493" t="s">
        <v>22</v>
      </c>
      <c r="I493" s="10" t="s">
        <v>8</v>
      </c>
      <c r="J493" t="s">
        <v>8</v>
      </c>
      <c r="K493" s="10" t="e">
        <f t="shared" si="7"/>
        <v>#VALUE!</v>
      </c>
    </row>
    <row r="494" spans="1:11" x14ac:dyDescent="0.35">
      <c r="A494" t="s">
        <v>15</v>
      </c>
      <c r="B494" s="3">
        <v>45769</v>
      </c>
      <c r="C494" t="s">
        <v>706</v>
      </c>
      <c r="D494" t="s">
        <v>705</v>
      </c>
      <c r="E494" t="s">
        <v>704</v>
      </c>
      <c r="F494" t="s">
        <v>11</v>
      </c>
      <c r="G494" t="s">
        <v>10</v>
      </c>
      <c r="H494" t="s">
        <v>22</v>
      </c>
      <c r="I494" s="10" t="s">
        <v>8</v>
      </c>
      <c r="J494" t="s">
        <v>8</v>
      </c>
      <c r="K494" s="10" t="e">
        <f t="shared" si="7"/>
        <v>#VALUE!</v>
      </c>
    </row>
    <row r="495" spans="1:11" x14ac:dyDescent="0.35">
      <c r="A495" t="s">
        <v>15</v>
      </c>
      <c r="B495" s="3">
        <v>45812</v>
      </c>
      <c r="C495" t="s">
        <v>703</v>
      </c>
      <c r="D495" t="s">
        <v>57</v>
      </c>
      <c r="F495" t="s">
        <v>11</v>
      </c>
      <c r="G495" t="s">
        <v>25</v>
      </c>
      <c r="H495" t="s">
        <v>9</v>
      </c>
      <c r="I495" s="10" t="s">
        <v>8</v>
      </c>
      <c r="J495" t="s">
        <v>8</v>
      </c>
      <c r="K495" s="10" t="e">
        <f t="shared" si="7"/>
        <v>#VALUE!</v>
      </c>
    </row>
    <row r="496" spans="1:11" x14ac:dyDescent="0.35">
      <c r="A496" t="s">
        <v>15</v>
      </c>
      <c r="B496" s="3">
        <v>45762</v>
      </c>
      <c r="C496" t="s">
        <v>702</v>
      </c>
      <c r="D496" t="s">
        <v>701</v>
      </c>
      <c r="E496" t="s">
        <v>700</v>
      </c>
      <c r="F496" t="s">
        <v>11</v>
      </c>
      <c r="G496" t="s">
        <v>10</v>
      </c>
      <c r="H496" t="s">
        <v>22</v>
      </c>
      <c r="I496" s="10" t="s">
        <v>8</v>
      </c>
      <c r="J496" t="s">
        <v>8</v>
      </c>
      <c r="K496" s="10" t="e">
        <f t="shared" si="7"/>
        <v>#VALUE!</v>
      </c>
    </row>
    <row r="497" spans="1:11" x14ac:dyDescent="0.35">
      <c r="A497" t="s">
        <v>15</v>
      </c>
      <c r="B497" s="3">
        <v>45798</v>
      </c>
      <c r="C497" t="s">
        <v>699</v>
      </c>
      <c r="D497" t="s">
        <v>238</v>
      </c>
      <c r="E497" t="s">
        <v>698</v>
      </c>
      <c r="F497" t="s">
        <v>11</v>
      </c>
      <c r="G497" t="s">
        <v>10</v>
      </c>
      <c r="H497" t="s">
        <v>22</v>
      </c>
      <c r="I497" s="10" t="s">
        <v>8</v>
      </c>
      <c r="J497" t="s">
        <v>8</v>
      </c>
      <c r="K497" s="10" t="e">
        <f t="shared" si="7"/>
        <v>#VALUE!</v>
      </c>
    </row>
    <row r="498" spans="1:11" x14ac:dyDescent="0.35">
      <c r="A498" t="s">
        <v>15</v>
      </c>
      <c r="B498" s="3">
        <v>45589</v>
      </c>
      <c r="C498" t="s">
        <v>697</v>
      </c>
      <c r="D498" t="s">
        <v>199</v>
      </c>
      <c r="F498" t="s">
        <v>11</v>
      </c>
      <c r="G498" t="s">
        <v>10</v>
      </c>
      <c r="H498" t="s">
        <v>22</v>
      </c>
      <c r="I498" s="10" t="s">
        <v>8</v>
      </c>
      <c r="J498" t="s">
        <v>8</v>
      </c>
      <c r="K498" s="10" t="e">
        <f t="shared" si="7"/>
        <v>#VALUE!</v>
      </c>
    </row>
    <row r="499" spans="1:11" x14ac:dyDescent="0.35">
      <c r="A499" t="s">
        <v>15</v>
      </c>
      <c r="B499" s="3">
        <v>45748</v>
      </c>
      <c r="C499" t="s">
        <v>696</v>
      </c>
      <c r="D499" t="s">
        <v>695</v>
      </c>
      <c r="E499" t="s">
        <v>694</v>
      </c>
      <c r="F499" t="s">
        <v>11</v>
      </c>
      <c r="G499" t="s">
        <v>10</v>
      </c>
      <c r="H499" t="s">
        <v>22</v>
      </c>
      <c r="I499" s="10" t="s">
        <v>8</v>
      </c>
      <c r="J499" t="s">
        <v>8</v>
      </c>
      <c r="K499" s="10" t="e">
        <f t="shared" si="7"/>
        <v>#VALUE!</v>
      </c>
    </row>
    <row r="500" spans="1:11" x14ac:dyDescent="0.35">
      <c r="A500" t="s">
        <v>15</v>
      </c>
      <c r="B500" s="3">
        <v>45582</v>
      </c>
      <c r="C500" t="s">
        <v>693</v>
      </c>
      <c r="D500" t="s">
        <v>199</v>
      </c>
      <c r="E500" t="s">
        <v>692</v>
      </c>
      <c r="F500" t="s">
        <v>11</v>
      </c>
      <c r="G500" t="s">
        <v>10</v>
      </c>
      <c r="H500" t="s">
        <v>22</v>
      </c>
      <c r="I500" s="10" t="s">
        <v>8</v>
      </c>
      <c r="J500" t="s">
        <v>8</v>
      </c>
      <c r="K500" s="10" t="e">
        <f t="shared" si="7"/>
        <v>#VALUE!</v>
      </c>
    </row>
    <row r="501" spans="1:11" x14ac:dyDescent="0.35">
      <c r="A501" t="s">
        <v>15</v>
      </c>
      <c r="B501" s="3">
        <v>45817</v>
      </c>
      <c r="C501" t="s">
        <v>691</v>
      </c>
      <c r="D501" t="s">
        <v>28</v>
      </c>
      <c r="F501" t="s">
        <v>11</v>
      </c>
      <c r="G501" t="s">
        <v>10</v>
      </c>
      <c r="H501" t="s">
        <v>22</v>
      </c>
      <c r="I501" s="10" t="s">
        <v>8</v>
      </c>
      <c r="J501" t="s">
        <v>8</v>
      </c>
      <c r="K501" s="10" t="e">
        <f t="shared" si="7"/>
        <v>#VALUE!</v>
      </c>
    </row>
    <row r="502" spans="1:11" x14ac:dyDescent="0.35">
      <c r="A502" t="s">
        <v>15</v>
      </c>
      <c r="B502" s="3">
        <v>45818</v>
      </c>
      <c r="C502" t="s">
        <v>690</v>
      </c>
      <c r="D502" t="s">
        <v>689</v>
      </c>
      <c r="F502" t="s">
        <v>11</v>
      </c>
      <c r="G502" t="s">
        <v>10</v>
      </c>
      <c r="H502" t="s">
        <v>22</v>
      </c>
      <c r="I502" s="10" t="s">
        <v>8</v>
      </c>
      <c r="J502" t="s">
        <v>8</v>
      </c>
      <c r="K502" s="10" t="e">
        <f t="shared" si="7"/>
        <v>#VALUE!</v>
      </c>
    </row>
    <row r="503" spans="1:11" x14ac:dyDescent="0.35">
      <c r="A503" t="s">
        <v>15</v>
      </c>
      <c r="B503" s="3">
        <v>45819</v>
      </c>
      <c r="C503" t="s">
        <v>688</v>
      </c>
      <c r="D503" t="s">
        <v>687</v>
      </c>
      <c r="F503" t="s">
        <v>11</v>
      </c>
      <c r="G503" t="s">
        <v>25</v>
      </c>
      <c r="H503" t="s">
        <v>22</v>
      </c>
      <c r="I503" s="10" t="s">
        <v>8</v>
      </c>
      <c r="J503" t="s">
        <v>8</v>
      </c>
      <c r="K503" s="10" t="e">
        <f t="shared" si="7"/>
        <v>#VALUE!</v>
      </c>
    </row>
    <row r="504" spans="1:11" x14ac:dyDescent="0.35">
      <c r="A504" t="s">
        <v>15</v>
      </c>
      <c r="B504" s="3">
        <v>45817</v>
      </c>
      <c r="C504" t="s">
        <v>686</v>
      </c>
      <c r="D504" t="s">
        <v>685</v>
      </c>
      <c r="E504" t="s">
        <v>12</v>
      </c>
      <c r="F504" t="s">
        <v>11</v>
      </c>
      <c r="G504" t="s">
        <v>10</v>
      </c>
      <c r="H504" t="s">
        <v>22</v>
      </c>
      <c r="I504" s="10" t="s">
        <v>8</v>
      </c>
      <c r="J504" t="s">
        <v>8</v>
      </c>
      <c r="K504" s="10" t="e">
        <f t="shared" si="7"/>
        <v>#VALUE!</v>
      </c>
    </row>
    <row r="505" spans="1:11" x14ac:dyDescent="0.35">
      <c r="A505" t="s">
        <v>15</v>
      </c>
      <c r="B505" s="3">
        <v>45748</v>
      </c>
      <c r="C505" t="s">
        <v>684</v>
      </c>
      <c r="D505" t="s">
        <v>57</v>
      </c>
      <c r="F505" t="s">
        <v>11</v>
      </c>
      <c r="G505" t="s">
        <v>10</v>
      </c>
      <c r="H505" t="s">
        <v>22</v>
      </c>
      <c r="I505" s="10" t="s">
        <v>8</v>
      </c>
      <c r="J505" t="s">
        <v>8</v>
      </c>
      <c r="K505" s="10" t="e">
        <f t="shared" si="7"/>
        <v>#VALUE!</v>
      </c>
    </row>
    <row r="506" spans="1:11" x14ac:dyDescent="0.35">
      <c r="A506" t="s">
        <v>15</v>
      </c>
      <c r="B506" s="3">
        <v>45819</v>
      </c>
      <c r="C506" t="s">
        <v>683</v>
      </c>
      <c r="D506" t="s">
        <v>682</v>
      </c>
      <c r="E506" t="s">
        <v>681</v>
      </c>
      <c r="F506" t="s">
        <v>11</v>
      </c>
      <c r="G506" t="s">
        <v>10</v>
      </c>
      <c r="H506" t="s">
        <v>22</v>
      </c>
      <c r="I506" s="10" t="s">
        <v>8</v>
      </c>
      <c r="J506" t="s">
        <v>8</v>
      </c>
      <c r="K506" s="10" t="e">
        <f t="shared" si="7"/>
        <v>#VALUE!</v>
      </c>
    </row>
    <row r="507" spans="1:11" x14ac:dyDescent="0.35">
      <c r="A507" t="s">
        <v>15</v>
      </c>
      <c r="B507" s="3">
        <v>45811</v>
      </c>
      <c r="C507" t="s">
        <v>680</v>
      </c>
      <c r="D507" t="s">
        <v>679</v>
      </c>
      <c r="F507" t="s">
        <v>11</v>
      </c>
      <c r="G507" t="s">
        <v>10</v>
      </c>
      <c r="H507" t="s">
        <v>22</v>
      </c>
      <c r="I507" s="10" t="s">
        <v>8</v>
      </c>
      <c r="J507" t="s">
        <v>8</v>
      </c>
      <c r="K507" s="10" t="e">
        <f t="shared" si="7"/>
        <v>#VALUE!</v>
      </c>
    </row>
    <row r="508" spans="1:11" x14ac:dyDescent="0.35">
      <c r="A508" t="s">
        <v>15</v>
      </c>
      <c r="B508" s="3">
        <v>45756</v>
      </c>
      <c r="C508" t="s">
        <v>678</v>
      </c>
      <c r="D508" t="s">
        <v>677</v>
      </c>
      <c r="F508" t="s">
        <v>11</v>
      </c>
      <c r="G508" t="s">
        <v>10</v>
      </c>
      <c r="H508" t="s">
        <v>22</v>
      </c>
      <c r="I508" s="10" t="s">
        <v>8</v>
      </c>
      <c r="J508" t="s">
        <v>8</v>
      </c>
      <c r="K508" s="10" t="e">
        <f t="shared" si="7"/>
        <v>#VALUE!</v>
      </c>
    </row>
    <row r="509" spans="1:11" x14ac:dyDescent="0.35">
      <c r="A509" t="s">
        <v>15</v>
      </c>
      <c r="B509" s="3">
        <v>45813</v>
      </c>
      <c r="C509" t="s">
        <v>676</v>
      </c>
      <c r="D509" t="s">
        <v>675</v>
      </c>
      <c r="F509" t="s">
        <v>11</v>
      </c>
      <c r="G509" t="s">
        <v>10</v>
      </c>
      <c r="H509" t="s">
        <v>22</v>
      </c>
      <c r="I509" s="10" t="s">
        <v>8</v>
      </c>
      <c r="J509" t="s">
        <v>8</v>
      </c>
      <c r="K509" s="10" t="e">
        <f t="shared" si="7"/>
        <v>#VALUE!</v>
      </c>
    </row>
    <row r="510" spans="1:11" x14ac:dyDescent="0.35">
      <c r="A510" t="s">
        <v>15</v>
      </c>
      <c r="B510" s="3">
        <v>45771</v>
      </c>
      <c r="C510" t="s">
        <v>674</v>
      </c>
      <c r="D510" t="s">
        <v>673</v>
      </c>
      <c r="E510" t="s">
        <v>17</v>
      </c>
      <c r="F510" t="s">
        <v>11</v>
      </c>
      <c r="G510" t="s">
        <v>10</v>
      </c>
      <c r="H510" t="s">
        <v>22</v>
      </c>
      <c r="I510" s="10" t="s">
        <v>8</v>
      </c>
      <c r="J510" t="s">
        <v>8</v>
      </c>
      <c r="K510" s="10" t="e">
        <f t="shared" si="7"/>
        <v>#VALUE!</v>
      </c>
    </row>
    <row r="511" spans="1:11" x14ac:dyDescent="0.35">
      <c r="A511" t="s">
        <v>15</v>
      </c>
      <c r="B511" s="3">
        <v>45811</v>
      </c>
      <c r="C511" t="s">
        <v>672</v>
      </c>
      <c r="D511" t="s">
        <v>671</v>
      </c>
      <c r="F511" t="s">
        <v>11</v>
      </c>
      <c r="G511" t="s">
        <v>10</v>
      </c>
      <c r="H511" t="s">
        <v>22</v>
      </c>
      <c r="I511" s="10" t="s">
        <v>8</v>
      </c>
      <c r="J511" t="s">
        <v>8</v>
      </c>
      <c r="K511" s="10" t="e">
        <f t="shared" si="7"/>
        <v>#VALUE!</v>
      </c>
    </row>
    <row r="512" spans="1:11" x14ac:dyDescent="0.35">
      <c r="A512" t="s">
        <v>15</v>
      </c>
      <c r="B512" s="3">
        <v>45793</v>
      </c>
      <c r="C512" t="s">
        <v>670</v>
      </c>
      <c r="D512" t="s">
        <v>128</v>
      </c>
      <c r="F512" t="s">
        <v>11</v>
      </c>
      <c r="G512" t="s">
        <v>10</v>
      </c>
      <c r="H512" t="s">
        <v>142</v>
      </c>
      <c r="I512" s="10" t="s">
        <v>8</v>
      </c>
      <c r="J512" t="s">
        <v>8</v>
      </c>
      <c r="K512" s="10" t="e">
        <f t="shared" si="7"/>
        <v>#VALUE!</v>
      </c>
    </row>
    <row r="513" spans="1:11" x14ac:dyDescent="0.35">
      <c r="A513" t="s">
        <v>15</v>
      </c>
      <c r="B513" s="3">
        <v>45778</v>
      </c>
      <c r="C513" t="s">
        <v>669</v>
      </c>
      <c r="D513" t="s">
        <v>668</v>
      </c>
      <c r="F513" t="s">
        <v>11</v>
      </c>
      <c r="G513" t="s">
        <v>10</v>
      </c>
      <c r="H513" t="s">
        <v>22</v>
      </c>
      <c r="I513" s="10" t="s">
        <v>8</v>
      </c>
      <c r="J513" t="s">
        <v>8</v>
      </c>
      <c r="K513" s="10" t="e">
        <f t="shared" si="7"/>
        <v>#VALUE!</v>
      </c>
    </row>
    <row r="514" spans="1:11" x14ac:dyDescent="0.35">
      <c r="A514" t="s">
        <v>15</v>
      </c>
      <c r="B514" s="3">
        <v>45821</v>
      </c>
      <c r="C514" t="s">
        <v>667</v>
      </c>
      <c r="D514" t="s">
        <v>666</v>
      </c>
      <c r="E514" t="s">
        <v>665</v>
      </c>
      <c r="F514" t="s">
        <v>11</v>
      </c>
      <c r="G514" t="s">
        <v>25</v>
      </c>
      <c r="H514" t="s">
        <v>33</v>
      </c>
      <c r="I514" s="10" t="s">
        <v>8</v>
      </c>
      <c r="J514" t="s">
        <v>8</v>
      </c>
      <c r="K514" s="10" t="e">
        <f t="shared" si="7"/>
        <v>#VALUE!</v>
      </c>
    </row>
    <row r="515" spans="1:11" x14ac:dyDescent="0.35">
      <c r="A515" t="s">
        <v>15</v>
      </c>
      <c r="B515" s="3">
        <v>45785</v>
      </c>
      <c r="C515" t="s">
        <v>664</v>
      </c>
      <c r="D515" t="s">
        <v>663</v>
      </c>
      <c r="F515" t="s">
        <v>11</v>
      </c>
      <c r="G515" t="s">
        <v>10</v>
      </c>
      <c r="H515" t="s">
        <v>22</v>
      </c>
      <c r="I515" s="10" t="s">
        <v>8</v>
      </c>
      <c r="J515" t="s">
        <v>8</v>
      </c>
      <c r="K515" s="10" t="e">
        <f t="shared" ref="K515:K578" si="8">1/J515</f>
        <v>#VALUE!</v>
      </c>
    </row>
    <row r="516" spans="1:11" x14ac:dyDescent="0.35">
      <c r="A516" t="s">
        <v>15</v>
      </c>
      <c r="B516" s="3">
        <v>45798</v>
      </c>
      <c r="C516" t="s">
        <v>662</v>
      </c>
      <c r="D516" t="s">
        <v>661</v>
      </c>
      <c r="F516" t="s">
        <v>11</v>
      </c>
      <c r="G516" t="s">
        <v>10</v>
      </c>
      <c r="H516" t="s">
        <v>22</v>
      </c>
      <c r="I516" s="10" t="s">
        <v>8</v>
      </c>
      <c r="J516" t="s">
        <v>8</v>
      </c>
      <c r="K516" s="10" t="e">
        <f t="shared" si="8"/>
        <v>#VALUE!</v>
      </c>
    </row>
    <row r="517" spans="1:11" x14ac:dyDescent="0.35">
      <c r="A517" t="s">
        <v>15</v>
      </c>
      <c r="B517" s="3">
        <v>45743</v>
      </c>
      <c r="C517" t="s">
        <v>660</v>
      </c>
      <c r="D517" t="s">
        <v>659</v>
      </c>
      <c r="F517" t="s">
        <v>11</v>
      </c>
      <c r="G517" t="s">
        <v>10</v>
      </c>
      <c r="H517" t="s">
        <v>22</v>
      </c>
      <c r="I517" s="10" t="s">
        <v>8</v>
      </c>
      <c r="J517" t="s">
        <v>8</v>
      </c>
      <c r="K517" s="10" t="e">
        <f t="shared" si="8"/>
        <v>#VALUE!</v>
      </c>
    </row>
    <row r="518" spans="1:11" x14ac:dyDescent="0.35">
      <c r="A518" t="s">
        <v>15</v>
      </c>
      <c r="B518" s="3">
        <v>45824</v>
      </c>
      <c r="C518" t="s">
        <v>658</v>
      </c>
      <c r="D518" t="s">
        <v>657</v>
      </c>
      <c r="E518" t="s">
        <v>656</v>
      </c>
      <c r="F518" t="s">
        <v>11</v>
      </c>
      <c r="G518" t="s">
        <v>10</v>
      </c>
      <c r="H518" t="s">
        <v>22</v>
      </c>
      <c r="I518" s="10" t="s">
        <v>8</v>
      </c>
      <c r="J518" t="s">
        <v>8</v>
      </c>
      <c r="K518" s="10" t="e">
        <f t="shared" si="8"/>
        <v>#VALUE!</v>
      </c>
    </row>
    <row r="519" spans="1:11" x14ac:dyDescent="0.35">
      <c r="A519" t="s">
        <v>15</v>
      </c>
      <c r="B519" s="3">
        <v>45831</v>
      </c>
      <c r="C519" t="s">
        <v>655</v>
      </c>
      <c r="D519" t="s">
        <v>654</v>
      </c>
      <c r="F519" t="s">
        <v>11</v>
      </c>
      <c r="G519" t="s">
        <v>10</v>
      </c>
      <c r="H519" t="s">
        <v>22</v>
      </c>
      <c r="I519" s="10" t="s">
        <v>8</v>
      </c>
      <c r="J519" t="s">
        <v>8</v>
      </c>
      <c r="K519" s="10" t="e">
        <f t="shared" si="8"/>
        <v>#VALUE!</v>
      </c>
    </row>
    <row r="520" spans="1:11" x14ac:dyDescent="0.35">
      <c r="A520" t="s">
        <v>15</v>
      </c>
      <c r="B520" s="3">
        <v>45804</v>
      </c>
      <c r="C520" t="s">
        <v>653</v>
      </c>
      <c r="D520" t="s">
        <v>652</v>
      </c>
      <c r="E520" t="s">
        <v>592</v>
      </c>
      <c r="F520" t="s">
        <v>11</v>
      </c>
      <c r="G520" t="s">
        <v>10</v>
      </c>
      <c r="H520" t="s">
        <v>22</v>
      </c>
      <c r="I520" s="10" t="s">
        <v>8</v>
      </c>
      <c r="J520" t="s">
        <v>8</v>
      </c>
      <c r="K520" s="10" t="e">
        <f t="shared" si="8"/>
        <v>#VALUE!</v>
      </c>
    </row>
    <row r="521" spans="1:11" x14ac:dyDescent="0.35">
      <c r="A521" t="s">
        <v>15</v>
      </c>
      <c r="B521" s="3">
        <v>45826</v>
      </c>
      <c r="C521" t="s">
        <v>651</v>
      </c>
      <c r="D521" t="s">
        <v>650</v>
      </c>
      <c r="F521" t="s">
        <v>11</v>
      </c>
      <c r="G521" t="s">
        <v>10</v>
      </c>
      <c r="H521" t="s">
        <v>22</v>
      </c>
      <c r="I521" s="10" t="s">
        <v>8</v>
      </c>
      <c r="J521" t="s">
        <v>8</v>
      </c>
      <c r="K521" s="10" t="e">
        <f t="shared" si="8"/>
        <v>#VALUE!</v>
      </c>
    </row>
    <row r="522" spans="1:11" x14ac:dyDescent="0.35">
      <c r="A522" t="s">
        <v>15</v>
      </c>
      <c r="B522" s="3">
        <v>45702</v>
      </c>
      <c r="C522" t="s">
        <v>649</v>
      </c>
      <c r="D522" t="s">
        <v>128</v>
      </c>
      <c r="E522" t="s">
        <v>39</v>
      </c>
      <c r="F522" t="s">
        <v>11</v>
      </c>
      <c r="G522" t="s">
        <v>10</v>
      </c>
      <c r="H522" t="s">
        <v>22</v>
      </c>
      <c r="I522" s="10" t="s">
        <v>8</v>
      </c>
      <c r="J522" t="s">
        <v>8</v>
      </c>
      <c r="K522" s="10" t="e">
        <f t="shared" si="8"/>
        <v>#VALUE!</v>
      </c>
    </row>
    <row r="523" spans="1:11" x14ac:dyDescent="0.35">
      <c r="A523" t="s">
        <v>15</v>
      </c>
      <c r="B523" s="3">
        <v>45824</v>
      </c>
      <c r="C523" t="s">
        <v>648</v>
      </c>
      <c r="D523" t="s">
        <v>647</v>
      </c>
      <c r="F523" t="s">
        <v>11</v>
      </c>
      <c r="G523" t="s">
        <v>10</v>
      </c>
      <c r="H523" t="s">
        <v>33</v>
      </c>
      <c r="I523" s="10" t="s">
        <v>8</v>
      </c>
      <c r="J523" t="s">
        <v>8</v>
      </c>
      <c r="K523" s="10" t="e">
        <f t="shared" si="8"/>
        <v>#VALUE!</v>
      </c>
    </row>
    <row r="524" spans="1:11" x14ac:dyDescent="0.35">
      <c r="A524" t="s">
        <v>15</v>
      </c>
      <c r="B524" s="3">
        <v>45824</v>
      </c>
      <c r="C524" t="s">
        <v>646</v>
      </c>
      <c r="D524" t="s">
        <v>451</v>
      </c>
      <c r="F524" t="s">
        <v>11</v>
      </c>
      <c r="G524" t="s">
        <v>10</v>
      </c>
      <c r="H524" t="s">
        <v>22</v>
      </c>
      <c r="I524" s="10" t="s">
        <v>8</v>
      </c>
      <c r="J524" t="s">
        <v>8</v>
      </c>
      <c r="K524" s="10" t="e">
        <f t="shared" si="8"/>
        <v>#VALUE!</v>
      </c>
    </row>
    <row r="525" spans="1:11" x14ac:dyDescent="0.35">
      <c r="A525" t="s">
        <v>15</v>
      </c>
      <c r="B525" s="3">
        <v>45790</v>
      </c>
      <c r="C525" t="s">
        <v>645</v>
      </c>
      <c r="D525" t="s">
        <v>280</v>
      </c>
      <c r="E525" t="s">
        <v>644</v>
      </c>
      <c r="F525" t="s">
        <v>11</v>
      </c>
      <c r="G525" t="s">
        <v>10</v>
      </c>
      <c r="H525" t="s">
        <v>22</v>
      </c>
      <c r="I525" s="10" t="s">
        <v>8</v>
      </c>
      <c r="J525" t="s">
        <v>8</v>
      </c>
      <c r="K525" s="10" t="e">
        <f t="shared" si="8"/>
        <v>#VALUE!</v>
      </c>
    </row>
    <row r="526" spans="1:11" x14ac:dyDescent="0.35">
      <c r="A526" t="s">
        <v>15</v>
      </c>
      <c r="B526" s="3">
        <v>45821</v>
      </c>
      <c r="C526" t="s">
        <v>643</v>
      </c>
      <c r="D526" t="s">
        <v>642</v>
      </c>
      <c r="F526" t="s">
        <v>11</v>
      </c>
      <c r="G526" t="s">
        <v>10</v>
      </c>
      <c r="H526" t="s">
        <v>22</v>
      </c>
      <c r="I526" s="10" t="s">
        <v>8</v>
      </c>
      <c r="J526" t="s">
        <v>8</v>
      </c>
      <c r="K526" s="10" t="e">
        <f t="shared" si="8"/>
        <v>#VALUE!</v>
      </c>
    </row>
    <row r="527" spans="1:11" x14ac:dyDescent="0.35">
      <c r="A527" t="s">
        <v>15</v>
      </c>
      <c r="B527" s="3">
        <v>45824</v>
      </c>
      <c r="C527" t="s">
        <v>641</v>
      </c>
      <c r="D527" t="s">
        <v>640</v>
      </c>
      <c r="E527" t="s">
        <v>57</v>
      </c>
      <c r="F527" t="s">
        <v>11</v>
      </c>
      <c r="G527" t="s">
        <v>10</v>
      </c>
      <c r="H527" t="s">
        <v>22</v>
      </c>
      <c r="I527" s="10" t="s">
        <v>8</v>
      </c>
      <c r="J527" t="s">
        <v>8</v>
      </c>
      <c r="K527" s="10" t="e">
        <f t="shared" si="8"/>
        <v>#VALUE!</v>
      </c>
    </row>
    <row r="528" spans="1:11" x14ac:dyDescent="0.35">
      <c r="A528" t="s">
        <v>15</v>
      </c>
      <c r="B528" s="3">
        <v>45812</v>
      </c>
      <c r="C528" t="s">
        <v>639</v>
      </c>
      <c r="D528" t="s">
        <v>638</v>
      </c>
      <c r="F528" t="s">
        <v>11</v>
      </c>
      <c r="G528" t="s">
        <v>10</v>
      </c>
      <c r="H528" t="s">
        <v>22</v>
      </c>
      <c r="I528" s="10" t="s">
        <v>8</v>
      </c>
      <c r="J528" t="s">
        <v>8</v>
      </c>
      <c r="K528" s="10" t="e">
        <f t="shared" si="8"/>
        <v>#VALUE!</v>
      </c>
    </row>
    <row r="529" spans="1:11" x14ac:dyDescent="0.35">
      <c r="A529" t="s">
        <v>15</v>
      </c>
      <c r="B529" s="3">
        <v>45750</v>
      </c>
      <c r="C529" t="s">
        <v>637</v>
      </c>
      <c r="D529" t="s">
        <v>636</v>
      </c>
      <c r="E529" t="s">
        <v>635</v>
      </c>
      <c r="F529" t="s">
        <v>11</v>
      </c>
      <c r="G529" t="s">
        <v>10</v>
      </c>
      <c r="H529" t="s">
        <v>22</v>
      </c>
      <c r="I529" s="10" t="s">
        <v>8</v>
      </c>
      <c r="J529" t="s">
        <v>8</v>
      </c>
      <c r="K529" s="10" t="e">
        <f t="shared" si="8"/>
        <v>#VALUE!</v>
      </c>
    </row>
    <row r="530" spans="1:11" x14ac:dyDescent="0.35">
      <c r="A530" t="s">
        <v>15</v>
      </c>
      <c r="B530" s="3">
        <v>45825</v>
      </c>
      <c r="C530" t="s">
        <v>634</v>
      </c>
      <c r="D530" t="s">
        <v>633</v>
      </c>
      <c r="F530" t="s">
        <v>11</v>
      </c>
      <c r="G530" t="s">
        <v>10</v>
      </c>
      <c r="H530" t="s">
        <v>22</v>
      </c>
      <c r="I530" s="10" t="s">
        <v>8</v>
      </c>
      <c r="J530" t="s">
        <v>8</v>
      </c>
      <c r="K530" s="10" t="e">
        <f t="shared" si="8"/>
        <v>#VALUE!</v>
      </c>
    </row>
    <row r="531" spans="1:11" x14ac:dyDescent="0.35">
      <c r="A531" t="s">
        <v>15</v>
      </c>
      <c r="B531" s="3">
        <v>45826</v>
      </c>
      <c r="C531" t="s">
        <v>632</v>
      </c>
      <c r="D531" t="s">
        <v>631</v>
      </c>
      <c r="F531" t="s">
        <v>11</v>
      </c>
      <c r="G531" t="s">
        <v>10</v>
      </c>
      <c r="H531" t="s">
        <v>22</v>
      </c>
      <c r="I531" s="10" t="s">
        <v>8</v>
      </c>
      <c r="J531" t="s">
        <v>8</v>
      </c>
      <c r="K531" s="10" t="e">
        <f t="shared" si="8"/>
        <v>#VALUE!</v>
      </c>
    </row>
    <row r="532" spans="1:11" x14ac:dyDescent="0.35">
      <c r="A532" t="s">
        <v>15</v>
      </c>
      <c r="B532" s="3">
        <v>45783</v>
      </c>
      <c r="C532" t="s">
        <v>630</v>
      </c>
      <c r="D532" t="s">
        <v>629</v>
      </c>
      <c r="F532" t="s">
        <v>11</v>
      </c>
      <c r="G532" t="s">
        <v>10</v>
      </c>
      <c r="H532" t="s">
        <v>22</v>
      </c>
      <c r="I532" s="10" t="s">
        <v>8</v>
      </c>
      <c r="J532" t="s">
        <v>8</v>
      </c>
      <c r="K532" s="10" t="e">
        <f t="shared" si="8"/>
        <v>#VALUE!</v>
      </c>
    </row>
    <row r="533" spans="1:11" x14ac:dyDescent="0.35">
      <c r="A533" t="s">
        <v>15</v>
      </c>
      <c r="B533" s="3">
        <v>45827</v>
      </c>
      <c r="C533" t="s">
        <v>628</v>
      </c>
      <c r="D533" t="s">
        <v>627</v>
      </c>
      <c r="F533" t="s">
        <v>11</v>
      </c>
      <c r="G533" t="s">
        <v>10</v>
      </c>
      <c r="H533" t="s">
        <v>22</v>
      </c>
      <c r="I533" s="10" t="s">
        <v>8</v>
      </c>
      <c r="J533" t="s">
        <v>8</v>
      </c>
      <c r="K533" s="10" t="e">
        <f t="shared" si="8"/>
        <v>#VALUE!</v>
      </c>
    </row>
    <row r="534" spans="1:11" x14ac:dyDescent="0.35">
      <c r="A534" t="s">
        <v>15</v>
      </c>
      <c r="B534" s="3">
        <v>45763</v>
      </c>
      <c r="C534" t="s">
        <v>626</v>
      </c>
      <c r="D534" t="s">
        <v>625</v>
      </c>
      <c r="F534" t="s">
        <v>11</v>
      </c>
      <c r="G534" t="s">
        <v>10</v>
      </c>
      <c r="H534" t="s">
        <v>22</v>
      </c>
      <c r="I534" s="10" t="s">
        <v>8</v>
      </c>
      <c r="J534" t="s">
        <v>8</v>
      </c>
      <c r="K534" s="10" t="e">
        <f t="shared" si="8"/>
        <v>#VALUE!</v>
      </c>
    </row>
    <row r="535" spans="1:11" x14ac:dyDescent="0.35">
      <c r="A535" t="s">
        <v>15</v>
      </c>
      <c r="B535" s="3">
        <v>45618</v>
      </c>
      <c r="C535" t="s">
        <v>624</v>
      </c>
      <c r="D535" t="s">
        <v>227</v>
      </c>
      <c r="E535" t="s">
        <v>333</v>
      </c>
      <c r="F535" t="s">
        <v>11</v>
      </c>
      <c r="G535" t="s">
        <v>10</v>
      </c>
      <c r="H535" t="s">
        <v>22</v>
      </c>
      <c r="I535" s="10" t="s">
        <v>8</v>
      </c>
      <c r="J535" t="s">
        <v>8</v>
      </c>
      <c r="K535" s="10" t="e">
        <f t="shared" si="8"/>
        <v>#VALUE!</v>
      </c>
    </row>
    <row r="536" spans="1:11" x14ac:dyDescent="0.35">
      <c r="A536" t="s">
        <v>15</v>
      </c>
      <c r="B536" s="3">
        <v>45832</v>
      </c>
      <c r="C536" t="s">
        <v>623</v>
      </c>
      <c r="D536" t="s">
        <v>622</v>
      </c>
      <c r="F536" t="s">
        <v>11</v>
      </c>
      <c r="G536" t="s">
        <v>10</v>
      </c>
      <c r="H536" t="s">
        <v>22</v>
      </c>
      <c r="I536" s="10" t="s">
        <v>8</v>
      </c>
      <c r="J536" t="s">
        <v>8</v>
      </c>
      <c r="K536" s="10" t="e">
        <f t="shared" si="8"/>
        <v>#VALUE!</v>
      </c>
    </row>
    <row r="537" spans="1:11" x14ac:dyDescent="0.35">
      <c r="A537" t="s">
        <v>15</v>
      </c>
      <c r="B537" s="3">
        <v>45828</v>
      </c>
      <c r="C537" t="s">
        <v>621</v>
      </c>
      <c r="D537" t="s">
        <v>429</v>
      </c>
      <c r="F537" t="s">
        <v>11</v>
      </c>
      <c r="G537" t="s">
        <v>10</v>
      </c>
      <c r="H537" t="s">
        <v>22</v>
      </c>
      <c r="I537" s="10" t="s">
        <v>8</v>
      </c>
      <c r="J537" t="s">
        <v>8</v>
      </c>
      <c r="K537" s="10" t="e">
        <f t="shared" si="8"/>
        <v>#VALUE!</v>
      </c>
    </row>
    <row r="538" spans="1:11" x14ac:dyDescent="0.35">
      <c r="A538" t="s">
        <v>15</v>
      </c>
      <c r="B538" s="3">
        <v>45826</v>
      </c>
      <c r="C538" t="s">
        <v>620</v>
      </c>
      <c r="D538" t="s">
        <v>619</v>
      </c>
      <c r="E538" t="s">
        <v>618</v>
      </c>
      <c r="F538" t="s">
        <v>11</v>
      </c>
      <c r="G538" t="s">
        <v>10</v>
      </c>
      <c r="H538" t="s">
        <v>22</v>
      </c>
      <c r="I538" s="10" t="s">
        <v>8</v>
      </c>
      <c r="J538" t="s">
        <v>8</v>
      </c>
      <c r="K538" s="10" t="e">
        <f t="shared" si="8"/>
        <v>#VALUE!</v>
      </c>
    </row>
    <row r="539" spans="1:11" x14ac:dyDescent="0.35">
      <c r="A539" t="s">
        <v>15</v>
      </c>
      <c r="B539" s="3">
        <v>45789</v>
      </c>
      <c r="C539" t="s">
        <v>617</v>
      </c>
      <c r="D539" t="s">
        <v>616</v>
      </c>
      <c r="E539" t="s">
        <v>615</v>
      </c>
      <c r="F539" t="s">
        <v>11</v>
      </c>
      <c r="G539" t="s">
        <v>10</v>
      </c>
      <c r="H539" t="s">
        <v>22</v>
      </c>
      <c r="I539" s="10" t="s">
        <v>8</v>
      </c>
      <c r="J539" t="s">
        <v>8</v>
      </c>
      <c r="K539" s="10" t="e">
        <f t="shared" si="8"/>
        <v>#VALUE!</v>
      </c>
    </row>
    <row r="540" spans="1:11" x14ac:dyDescent="0.35">
      <c r="A540" t="s">
        <v>15</v>
      </c>
      <c r="B540" s="3">
        <v>45666</v>
      </c>
      <c r="C540" t="s">
        <v>614</v>
      </c>
      <c r="D540" t="s">
        <v>613</v>
      </c>
      <c r="F540" t="s">
        <v>11</v>
      </c>
      <c r="G540" t="s">
        <v>10</v>
      </c>
      <c r="H540" t="s">
        <v>22</v>
      </c>
      <c r="I540" s="10" t="s">
        <v>8</v>
      </c>
      <c r="J540" t="s">
        <v>8</v>
      </c>
      <c r="K540" s="10" t="e">
        <f t="shared" si="8"/>
        <v>#VALUE!</v>
      </c>
    </row>
    <row r="541" spans="1:11" x14ac:dyDescent="0.35">
      <c r="A541" t="s">
        <v>15</v>
      </c>
      <c r="B541" s="3">
        <v>45728</v>
      </c>
      <c r="C541" t="s">
        <v>612</v>
      </c>
      <c r="D541" t="s">
        <v>611</v>
      </c>
      <c r="F541" t="s">
        <v>11</v>
      </c>
      <c r="G541" t="s">
        <v>10</v>
      </c>
      <c r="H541" t="s">
        <v>22</v>
      </c>
      <c r="I541" s="10" t="s">
        <v>8</v>
      </c>
      <c r="J541" t="s">
        <v>8</v>
      </c>
      <c r="K541" s="10" t="e">
        <f t="shared" si="8"/>
        <v>#VALUE!</v>
      </c>
    </row>
    <row r="542" spans="1:11" x14ac:dyDescent="0.35">
      <c r="A542" t="s">
        <v>15</v>
      </c>
      <c r="B542" s="3">
        <v>45777</v>
      </c>
      <c r="C542" t="s">
        <v>610</v>
      </c>
      <c r="D542" t="s">
        <v>609</v>
      </c>
      <c r="F542" t="s">
        <v>11</v>
      </c>
      <c r="G542" t="s">
        <v>10</v>
      </c>
      <c r="H542" t="s">
        <v>22</v>
      </c>
      <c r="I542" s="10" t="s">
        <v>8</v>
      </c>
      <c r="J542" t="s">
        <v>8</v>
      </c>
      <c r="K542" s="10" t="e">
        <f t="shared" si="8"/>
        <v>#VALUE!</v>
      </c>
    </row>
    <row r="543" spans="1:11" x14ac:dyDescent="0.35">
      <c r="A543" t="s">
        <v>15</v>
      </c>
      <c r="B543" s="3">
        <v>45828</v>
      </c>
      <c r="C543" t="s">
        <v>608</v>
      </c>
      <c r="D543" t="s">
        <v>607</v>
      </c>
      <c r="F543" t="s">
        <v>11</v>
      </c>
      <c r="G543" t="s">
        <v>10</v>
      </c>
      <c r="H543" t="s">
        <v>22</v>
      </c>
      <c r="I543" s="10" t="s">
        <v>8</v>
      </c>
      <c r="J543" t="s">
        <v>8</v>
      </c>
      <c r="K543" s="10" t="e">
        <f t="shared" si="8"/>
        <v>#VALUE!</v>
      </c>
    </row>
    <row r="544" spans="1:11" x14ac:dyDescent="0.35">
      <c r="A544" t="s">
        <v>15</v>
      </c>
      <c r="B544" s="3">
        <v>45782</v>
      </c>
      <c r="C544" t="s">
        <v>606</v>
      </c>
      <c r="D544" t="s">
        <v>605</v>
      </c>
      <c r="E544" t="s">
        <v>604</v>
      </c>
      <c r="F544" t="s">
        <v>11</v>
      </c>
      <c r="G544" t="s">
        <v>10</v>
      </c>
      <c r="H544" t="s">
        <v>22</v>
      </c>
      <c r="I544" s="10" t="s">
        <v>8</v>
      </c>
      <c r="J544" t="s">
        <v>8</v>
      </c>
      <c r="K544" s="10" t="e">
        <f t="shared" si="8"/>
        <v>#VALUE!</v>
      </c>
    </row>
    <row r="545" spans="1:11" x14ac:dyDescent="0.35">
      <c r="A545" t="s">
        <v>15</v>
      </c>
      <c r="B545" s="3">
        <v>45729</v>
      </c>
      <c r="C545" t="s">
        <v>603</v>
      </c>
      <c r="D545" t="s">
        <v>28</v>
      </c>
      <c r="F545" t="s">
        <v>11</v>
      </c>
      <c r="G545" t="s">
        <v>10</v>
      </c>
      <c r="H545" t="s">
        <v>22</v>
      </c>
      <c r="I545" s="10" t="s">
        <v>8</v>
      </c>
      <c r="J545" t="s">
        <v>8</v>
      </c>
      <c r="K545" s="10" t="e">
        <f t="shared" si="8"/>
        <v>#VALUE!</v>
      </c>
    </row>
    <row r="546" spans="1:11" x14ac:dyDescent="0.35">
      <c r="A546" t="s">
        <v>15</v>
      </c>
      <c r="B546" s="3">
        <v>45826</v>
      </c>
      <c r="C546" t="s">
        <v>602</v>
      </c>
      <c r="D546" t="s">
        <v>601</v>
      </c>
      <c r="F546" t="s">
        <v>11</v>
      </c>
      <c r="G546" t="s">
        <v>10</v>
      </c>
      <c r="H546" t="s">
        <v>22</v>
      </c>
      <c r="I546" s="10" t="s">
        <v>8</v>
      </c>
      <c r="J546" t="s">
        <v>8</v>
      </c>
      <c r="K546" s="10" t="e">
        <f t="shared" si="8"/>
        <v>#VALUE!</v>
      </c>
    </row>
    <row r="547" spans="1:11" x14ac:dyDescent="0.35">
      <c r="A547" t="s">
        <v>15</v>
      </c>
      <c r="B547" s="3">
        <v>45701</v>
      </c>
      <c r="C547" t="s">
        <v>600</v>
      </c>
      <c r="D547" t="s">
        <v>421</v>
      </c>
      <c r="E547" t="s">
        <v>599</v>
      </c>
      <c r="F547" t="s">
        <v>11</v>
      </c>
      <c r="G547" t="s">
        <v>10</v>
      </c>
      <c r="H547" t="s">
        <v>22</v>
      </c>
      <c r="I547" s="10" t="s">
        <v>8</v>
      </c>
      <c r="J547" t="s">
        <v>8</v>
      </c>
      <c r="K547" s="10" t="e">
        <f t="shared" si="8"/>
        <v>#VALUE!</v>
      </c>
    </row>
    <row r="548" spans="1:11" x14ac:dyDescent="0.35">
      <c r="A548" t="s">
        <v>15</v>
      </c>
      <c r="B548" s="3">
        <v>45782</v>
      </c>
      <c r="C548" t="s">
        <v>598</v>
      </c>
      <c r="D548" t="s">
        <v>530</v>
      </c>
      <c r="F548" t="s">
        <v>11</v>
      </c>
      <c r="G548" t="s">
        <v>10</v>
      </c>
      <c r="H548" t="s">
        <v>22</v>
      </c>
      <c r="I548" s="10" t="s">
        <v>8</v>
      </c>
      <c r="J548" t="s">
        <v>8</v>
      </c>
      <c r="K548" s="10" t="e">
        <f t="shared" si="8"/>
        <v>#VALUE!</v>
      </c>
    </row>
    <row r="549" spans="1:11" x14ac:dyDescent="0.35">
      <c r="A549" t="s">
        <v>15</v>
      </c>
      <c r="B549" s="3">
        <v>45678</v>
      </c>
      <c r="C549" t="s">
        <v>597</v>
      </c>
      <c r="D549" t="s">
        <v>451</v>
      </c>
      <c r="E549" t="s">
        <v>530</v>
      </c>
      <c r="F549" t="s">
        <v>11</v>
      </c>
      <c r="G549" t="s">
        <v>10</v>
      </c>
      <c r="H549" t="s">
        <v>22</v>
      </c>
      <c r="I549" s="10" t="s">
        <v>8</v>
      </c>
      <c r="J549" t="s">
        <v>8</v>
      </c>
      <c r="K549" s="10" t="e">
        <f t="shared" si="8"/>
        <v>#VALUE!</v>
      </c>
    </row>
    <row r="550" spans="1:11" x14ac:dyDescent="0.35">
      <c r="A550" t="s">
        <v>15</v>
      </c>
      <c r="B550" s="3">
        <v>45722</v>
      </c>
      <c r="C550" t="s">
        <v>596</v>
      </c>
      <c r="D550" t="s">
        <v>165</v>
      </c>
      <c r="F550" t="s">
        <v>11</v>
      </c>
      <c r="G550" t="s">
        <v>10</v>
      </c>
      <c r="H550" t="s">
        <v>22</v>
      </c>
      <c r="I550" s="10" t="s">
        <v>8</v>
      </c>
      <c r="J550" t="s">
        <v>8</v>
      </c>
      <c r="K550" s="10" t="e">
        <f t="shared" si="8"/>
        <v>#VALUE!</v>
      </c>
    </row>
    <row r="551" spans="1:11" x14ac:dyDescent="0.35">
      <c r="A551" t="s">
        <v>15</v>
      </c>
      <c r="B551" s="3">
        <v>45754</v>
      </c>
      <c r="C551" t="s">
        <v>595</v>
      </c>
      <c r="D551" t="s">
        <v>113</v>
      </c>
      <c r="E551" t="s">
        <v>594</v>
      </c>
      <c r="F551" t="s">
        <v>11</v>
      </c>
      <c r="G551" t="s">
        <v>10</v>
      </c>
      <c r="H551" t="s">
        <v>22</v>
      </c>
      <c r="I551" s="10" t="s">
        <v>8</v>
      </c>
      <c r="J551" t="s">
        <v>8</v>
      </c>
      <c r="K551" s="10" t="e">
        <f t="shared" si="8"/>
        <v>#VALUE!</v>
      </c>
    </row>
    <row r="552" spans="1:11" x14ac:dyDescent="0.35">
      <c r="A552" t="s">
        <v>15</v>
      </c>
      <c r="B552" s="3">
        <v>45839</v>
      </c>
      <c r="C552" t="s">
        <v>593</v>
      </c>
      <c r="D552" t="s">
        <v>592</v>
      </c>
      <c r="E552" t="s">
        <v>496</v>
      </c>
      <c r="F552" t="s">
        <v>11</v>
      </c>
      <c r="G552" t="s">
        <v>10</v>
      </c>
      <c r="H552" t="s">
        <v>22</v>
      </c>
      <c r="I552" s="10" t="s">
        <v>8</v>
      </c>
      <c r="J552" t="s">
        <v>8</v>
      </c>
      <c r="K552" s="10" t="e">
        <f t="shared" si="8"/>
        <v>#VALUE!</v>
      </c>
    </row>
    <row r="553" spans="1:11" x14ac:dyDescent="0.35">
      <c r="A553" t="s">
        <v>15</v>
      </c>
      <c r="B553" s="3">
        <v>45835</v>
      </c>
      <c r="C553" t="s">
        <v>591</v>
      </c>
      <c r="D553" t="s">
        <v>590</v>
      </c>
      <c r="E553" t="s">
        <v>589</v>
      </c>
      <c r="F553" t="s">
        <v>11</v>
      </c>
      <c r="G553" t="s">
        <v>10</v>
      </c>
      <c r="H553" t="s">
        <v>22</v>
      </c>
      <c r="I553" s="10" t="s">
        <v>8</v>
      </c>
      <c r="J553" t="s">
        <v>8</v>
      </c>
      <c r="K553" s="10" t="e">
        <f t="shared" si="8"/>
        <v>#VALUE!</v>
      </c>
    </row>
    <row r="554" spans="1:11" x14ac:dyDescent="0.35">
      <c r="A554" t="s">
        <v>15</v>
      </c>
      <c r="B554" s="3">
        <v>45840</v>
      </c>
      <c r="C554" t="s">
        <v>588</v>
      </c>
      <c r="D554" t="s">
        <v>587</v>
      </c>
      <c r="F554" t="s">
        <v>11</v>
      </c>
      <c r="G554" t="s">
        <v>10</v>
      </c>
      <c r="H554" t="s">
        <v>22</v>
      </c>
      <c r="I554" s="10" t="s">
        <v>8</v>
      </c>
      <c r="J554" t="s">
        <v>8</v>
      </c>
      <c r="K554" s="10" t="e">
        <f t="shared" si="8"/>
        <v>#VALUE!</v>
      </c>
    </row>
    <row r="555" spans="1:11" x14ac:dyDescent="0.35">
      <c r="A555" t="s">
        <v>15</v>
      </c>
      <c r="B555" s="3">
        <v>45839</v>
      </c>
      <c r="C555" t="s">
        <v>586</v>
      </c>
      <c r="D555" t="s">
        <v>455</v>
      </c>
      <c r="F555" t="s">
        <v>11</v>
      </c>
      <c r="G555" t="s">
        <v>10</v>
      </c>
      <c r="H555" t="s">
        <v>22</v>
      </c>
      <c r="I555" s="10" t="s">
        <v>8</v>
      </c>
      <c r="J555" t="s">
        <v>8</v>
      </c>
      <c r="K555" s="10" t="e">
        <f t="shared" si="8"/>
        <v>#VALUE!</v>
      </c>
    </row>
    <row r="556" spans="1:11" x14ac:dyDescent="0.35">
      <c r="A556" t="s">
        <v>15</v>
      </c>
      <c r="B556" s="3">
        <v>45840</v>
      </c>
      <c r="C556" t="s">
        <v>585</v>
      </c>
      <c r="D556" t="s">
        <v>584</v>
      </c>
      <c r="F556" t="s">
        <v>11</v>
      </c>
      <c r="G556" t="s">
        <v>10</v>
      </c>
      <c r="H556" t="s">
        <v>22</v>
      </c>
      <c r="I556" s="10" t="s">
        <v>8</v>
      </c>
      <c r="J556" t="s">
        <v>8</v>
      </c>
      <c r="K556" s="10" t="e">
        <f t="shared" si="8"/>
        <v>#VALUE!</v>
      </c>
    </row>
    <row r="557" spans="1:11" x14ac:dyDescent="0.35">
      <c r="A557" t="s">
        <v>15</v>
      </c>
      <c r="B557" s="3">
        <v>45841</v>
      </c>
      <c r="C557" t="s">
        <v>583</v>
      </c>
      <c r="D557" t="s">
        <v>543</v>
      </c>
      <c r="F557" t="s">
        <v>11</v>
      </c>
      <c r="G557" t="s">
        <v>10</v>
      </c>
      <c r="H557" t="s">
        <v>22</v>
      </c>
      <c r="I557" s="10" t="s">
        <v>8</v>
      </c>
      <c r="J557" t="s">
        <v>8</v>
      </c>
      <c r="K557" s="10" t="e">
        <f t="shared" si="8"/>
        <v>#VALUE!</v>
      </c>
    </row>
    <row r="558" spans="1:11" x14ac:dyDescent="0.35">
      <c r="A558" t="s">
        <v>15</v>
      </c>
      <c r="B558" s="3">
        <v>45841</v>
      </c>
      <c r="C558" t="s">
        <v>582</v>
      </c>
      <c r="D558" t="s">
        <v>581</v>
      </c>
      <c r="F558" t="s">
        <v>11</v>
      </c>
      <c r="G558" t="s">
        <v>10</v>
      </c>
      <c r="H558" t="s">
        <v>22</v>
      </c>
      <c r="I558" s="10" t="s">
        <v>8</v>
      </c>
      <c r="J558" t="s">
        <v>8</v>
      </c>
      <c r="K558" s="10" t="e">
        <f t="shared" si="8"/>
        <v>#VALUE!</v>
      </c>
    </row>
    <row r="559" spans="1:11" x14ac:dyDescent="0.35">
      <c r="A559" t="s">
        <v>15</v>
      </c>
      <c r="B559" s="3">
        <v>45841</v>
      </c>
      <c r="C559" t="s">
        <v>580</v>
      </c>
      <c r="D559" t="s">
        <v>579</v>
      </c>
      <c r="F559" t="s">
        <v>11</v>
      </c>
      <c r="G559" t="s">
        <v>10</v>
      </c>
      <c r="H559" t="s">
        <v>22</v>
      </c>
      <c r="I559" s="10" t="s">
        <v>8</v>
      </c>
      <c r="J559" t="s">
        <v>8</v>
      </c>
      <c r="K559" s="10" t="e">
        <f t="shared" si="8"/>
        <v>#VALUE!</v>
      </c>
    </row>
    <row r="560" spans="1:11" x14ac:dyDescent="0.35">
      <c r="A560" t="s">
        <v>15</v>
      </c>
      <c r="B560" s="3">
        <v>45846</v>
      </c>
      <c r="C560" t="s">
        <v>578</v>
      </c>
      <c r="D560" t="s">
        <v>577</v>
      </c>
      <c r="F560" t="s">
        <v>11</v>
      </c>
      <c r="G560" t="s">
        <v>10</v>
      </c>
      <c r="H560" t="s">
        <v>22</v>
      </c>
      <c r="I560" s="10" t="s">
        <v>8</v>
      </c>
      <c r="J560" t="s">
        <v>8</v>
      </c>
      <c r="K560" s="10" t="e">
        <f t="shared" si="8"/>
        <v>#VALUE!</v>
      </c>
    </row>
    <row r="561" spans="1:11" x14ac:dyDescent="0.35">
      <c r="A561" t="s">
        <v>15</v>
      </c>
      <c r="B561" s="3">
        <v>45847</v>
      </c>
      <c r="C561" t="s">
        <v>576</v>
      </c>
      <c r="D561" t="s">
        <v>575</v>
      </c>
      <c r="E561" t="s">
        <v>574</v>
      </c>
      <c r="F561" t="s">
        <v>11</v>
      </c>
      <c r="G561" t="s">
        <v>10</v>
      </c>
      <c r="H561" t="s">
        <v>22</v>
      </c>
      <c r="I561" s="10" t="s">
        <v>8</v>
      </c>
      <c r="J561" t="s">
        <v>8</v>
      </c>
      <c r="K561" s="10" t="e">
        <f t="shared" si="8"/>
        <v>#VALUE!</v>
      </c>
    </row>
    <row r="562" spans="1:11" x14ac:dyDescent="0.35">
      <c r="A562" t="s">
        <v>15</v>
      </c>
      <c r="B562" s="3">
        <v>45846</v>
      </c>
      <c r="C562" t="s">
        <v>573</v>
      </c>
      <c r="D562" t="s">
        <v>572</v>
      </c>
      <c r="E562" t="s">
        <v>571</v>
      </c>
      <c r="F562" t="s">
        <v>11</v>
      </c>
      <c r="G562" t="s">
        <v>10</v>
      </c>
      <c r="H562" t="s">
        <v>22</v>
      </c>
      <c r="I562" s="10" t="s">
        <v>8</v>
      </c>
      <c r="J562" t="s">
        <v>8</v>
      </c>
      <c r="K562" s="10" t="e">
        <f t="shared" si="8"/>
        <v>#VALUE!</v>
      </c>
    </row>
    <row r="563" spans="1:11" x14ac:dyDescent="0.35">
      <c r="A563" t="s">
        <v>15</v>
      </c>
      <c r="B563" s="3">
        <v>45846</v>
      </c>
      <c r="C563" t="s">
        <v>570</v>
      </c>
      <c r="D563" t="s">
        <v>569</v>
      </c>
      <c r="F563" t="s">
        <v>11</v>
      </c>
      <c r="G563" t="s">
        <v>10</v>
      </c>
      <c r="H563" t="s">
        <v>22</v>
      </c>
      <c r="I563" s="10" t="s">
        <v>8</v>
      </c>
      <c r="J563" t="s">
        <v>8</v>
      </c>
      <c r="K563" s="10" t="e">
        <f t="shared" si="8"/>
        <v>#VALUE!</v>
      </c>
    </row>
    <row r="564" spans="1:11" x14ac:dyDescent="0.35">
      <c r="A564" t="s">
        <v>15</v>
      </c>
      <c r="B564" s="3">
        <v>45848</v>
      </c>
      <c r="C564" t="s">
        <v>568</v>
      </c>
      <c r="D564" t="s">
        <v>567</v>
      </c>
      <c r="E564" t="s">
        <v>566</v>
      </c>
      <c r="F564" t="s">
        <v>11</v>
      </c>
      <c r="G564" t="s">
        <v>10</v>
      </c>
      <c r="H564" t="s">
        <v>22</v>
      </c>
      <c r="I564" s="10" t="s">
        <v>8</v>
      </c>
      <c r="J564" t="s">
        <v>8</v>
      </c>
      <c r="K564" s="10" t="e">
        <f t="shared" si="8"/>
        <v>#VALUE!</v>
      </c>
    </row>
    <row r="565" spans="1:11" x14ac:dyDescent="0.35">
      <c r="A565" t="s">
        <v>15</v>
      </c>
      <c r="B565" s="3">
        <v>45811</v>
      </c>
      <c r="C565" t="s">
        <v>565</v>
      </c>
      <c r="D565" t="s">
        <v>564</v>
      </c>
      <c r="E565" t="s">
        <v>563</v>
      </c>
      <c r="F565" t="s">
        <v>11</v>
      </c>
      <c r="G565" t="s">
        <v>10</v>
      </c>
      <c r="H565" t="s">
        <v>22</v>
      </c>
      <c r="I565" s="10" t="s">
        <v>8</v>
      </c>
      <c r="J565" t="s">
        <v>8</v>
      </c>
      <c r="K565" s="10" t="e">
        <f t="shared" si="8"/>
        <v>#VALUE!</v>
      </c>
    </row>
    <row r="566" spans="1:11" x14ac:dyDescent="0.35">
      <c r="A566" t="s">
        <v>15</v>
      </c>
      <c r="B566" s="3">
        <v>45805</v>
      </c>
      <c r="C566" t="s">
        <v>562</v>
      </c>
      <c r="D566" t="s">
        <v>94</v>
      </c>
      <c r="E566" t="s">
        <v>561</v>
      </c>
      <c r="F566" t="s">
        <v>11</v>
      </c>
      <c r="G566" t="s">
        <v>10</v>
      </c>
      <c r="H566" t="s">
        <v>22</v>
      </c>
      <c r="I566" s="10" t="s">
        <v>8</v>
      </c>
      <c r="J566" t="s">
        <v>8</v>
      </c>
      <c r="K566" s="10" t="e">
        <f t="shared" si="8"/>
        <v>#VALUE!</v>
      </c>
    </row>
    <row r="567" spans="1:11" x14ac:dyDescent="0.35">
      <c r="A567" t="s">
        <v>15</v>
      </c>
      <c r="B567" s="3">
        <v>45848</v>
      </c>
      <c r="C567" t="s">
        <v>560</v>
      </c>
      <c r="D567" t="s">
        <v>559</v>
      </c>
      <c r="F567" t="s">
        <v>11</v>
      </c>
      <c r="G567" t="s">
        <v>10</v>
      </c>
      <c r="H567" t="s">
        <v>22</v>
      </c>
      <c r="I567" s="10" t="s">
        <v>8</v>
      </c>
      <c r="J567" t="s">
        <v>8</v>
      </c>
      <c r="K567" s="10" t="e">
        <f t="shared" si="8"/>
        <v>#VALUE!</v>
      </c>
    </row>
    <row r="568" spans="1:11" x14ac:dyDescent="0.35">
      <c r="A568" t="s">
        <v>15</v>
      </c>
      <c r="B568" s="3">
        <v>45832</v>
      </c>
      <c r="C568" t="s">
        <v>558</v>
      </c>
      <c r="D568" t="s">
        <v>20</v>
      </c>
      <c r="F568" t="s">
        <v>11</v>
      </c>
      <c r="G568" t="s">
        <v>10</v>
      </c>
      <c r="H568" t="s">
        <v>33</v>
      </c>
      <c r="I568" s="10" t="s">
        <v>8</v>
      </c>
      <c r="J568" t="s">
        <v>8</v>
      </c>
      <c r="K568" s="10" t="e">
        <f t="shared" si="8"/>
        <v>#VALUE!</v>
      </c>
    </row>
    <row r="569" spans="1:11" x14ac:dyDescent="0.35">
      <c r="A569" t="s">
        <v>15</v>
      </c>
      <c r="B569" s="3">
        <v>45848</v>
      </c>
      <c r="C569" t="s">
        <v>557</v>
      </c>
      <c r="D569" t="s">
        <v>556</v>
      </c>
      <c r="E569" t="s">
        <v>543</v>
      </c>
      <c r="F569" t="s">
        <v>11</v>
      </c>
      <c r="G569" t="s">
        <v>10</v>
      </c>
      <c r="H569" t="s">
        <v>22</v>
      </c>
      <c r="I569" s="10" t="s">
        <v>8</v>
      </c>
      <c r="J569" t="s">
        <v>8</v>
      </c>
      <c r="K569" s="10" t="e">
        <f t="shared" si="8"/>
        <v>#VALUE!</v>
      </c>
    </row>
    <row r="570" spans="1:11" x14ac:dyDescent="0.35">
      <c r="A570" t="s">
        <v>15</v>
      </c>
      <c r="B570" s="3">
        <v>45848</v>
      </c>
      <c r="C570" t="s">
        <v>555</v>
      </c>
      <c r="D570" t="s">
        <v>160</v>
      </c>
      <c r="F570" t="s">
        <v>11</v>
      </c>
      <c r="G570" t="s">
        <v>25</v>
      </c>
      <c r="H570" t="s">
        <v>22</v>
      </c>
      <c r="I570" s="10" t="s">
        <v>8</v>
      </c>
      <c r="J570" t="s">
        <v>8</v>
      </c>
      <c r="K570" s="10" t="e">
        <f t="shared" si="8"/>
        <v>#VALUE!</v>
      </c>
    </row>
    <row r="571" spans="1:11" x14ac:dyDescent="0.35">
      <c r="A571" t="s">
        <v>15</v>
      </c>
      <c r="B571" s="3">
        <v>45852</v>
      </c>
      <c r="C571" t="s">
        <v>554</v>
      </c>
      <c r="D571" t="s">
        <v>553</v>
      </c>
      <c r="F571" t="s">
        <v>11</v>
      </c>
      <c r="G571" t="s">
        <v>10</v>
      </c>
      <c r="H571" t="s">
        <v>22</v>
      </c>
      <c r="I571" s="10" t="s">
        <v>8</v>
      </c>
      <c r="J571" t="s">
        <v>8</v>
      </c>
      <c r="K571" s="10" t="e">
        <f t="shared" si="8"/>
        <v>#VALUE!</v>
      </c>
    </row>
    <row r="572" spans="1:11" x14ac:dyDescent="0.35">
      <c r="A572" t="s">
        <v>15</v>
      </c>
      <c r="B572" s="3">
        <v>45810</v>
      </c>
      <c r="C572" t="s">
        <v>552</v>
      </c>
      <c r="D572" t="s">
        <v>551</v>
      </c>
      <c r="E572" t="s">
        <v>550</v>
      </c>
      <c r="F572" t="s">
        <v>11</v>
      </c>
      <c r="G572" t="s">
        <v>10</v>
      </c>
      <c r="H572" t="s">
        <v>22</v>
      </c>
      <c r="I572" s="10" t="s">
        <v>8</v>
      </c>
      <c r="J572" t="s">
        <v>8</v>
      </c>
      <c r="K572" s="10" t="e">
        <f t="shared" si="8"/>
        <v>#VALUE!</v>
      </c>
    </row>
    <row r="573" spans="1:11" x14ac:dyDescent="0.35">
      <c r="A573" t="s">
        <v>15</v>
      </c>
      <c r="B573" s="3">
        <v>45849</v>
      </c>
      <c r="C573" t="s">
        <v>549</v>
      </c>
      <c r="D573" t="s">
        <v>548</v>
      </c>
      <c r="F573" t="s">
        <v>11</v>
      </c>
      <c r="G573" t="s">
        <v>10</v>
      </c>
      <c r="H573" t="s">
        <v>22</v>
      </c>
      <c r="I573" s="10" t="s">
        <v>8</v>
      </c>
      <c r="J573" t="s">
        <v>8</v>
      </c>
      <c r="K573" s="10" t="e">
        <f t="shared" si="8"/>
        <v>#VALUE!</v>
      </c>
    </row>
    <row r="574" spans="1:11" x14ac:dyDescent="0.35">
      <c r="A574" t="s">
        <v>15</v>
      </c>
      <c r="B574" s="3">
        <v>45799</v>
      </c>
      <c r="C574" t="s">
        <v>547</v>
      </c>
      <c r="D574" t="s">
        <v>546</v>
      </c>
      <c r="E574" t="s">
        <v>545</v>
      </c>
      <c r="F574" t="s">
        <v>11</v>
      </c>
      <c r="G574" t="s">
        <v>10</v>
      </c>
      <c r="H574" t="s">
        <v>22</v>
      </c>
      <c r="I574" s="10" t="s">
        <v>8</v>
      </c>
      <c r="J574" t="s">
        <v>8</v>
      </c>
      <c r="K574" s="10" t="e">
        <f t="shared" si="8"/>
        <v>#VALUE!</v>
      </c>
    </row>
    <row r="575" spans="1:11" x14ac:dyDescent="0.35">
      <c r="A575" t="s">
        <v>15</v>
      </c>
      <c r="B575" s="3">
        <v>45852</v>
      </c>
      <c r="C575" t="s">
        <v>544</v>
      </c>
      <c r="D575" t="s">
        <v>543</v>
      </c>
      <c r="F575" t="s">
        <v>11</v>
      </c>
      <c r="G575" t="s">
        <v>10</v>
      </c>
      <c r="H575" t="s">
        <v>22</v>
      </c>
      <c r="I575" s="10" t="s">
        <v>8</v>
      </c>
      <c r="J575" t="s">
        <v>8</v>
      </c>
      <c r="K575" s="10" t="e">
        <f t="shared" si="8"/>
        <v>#VALUE!</v>
      </c>
    </row>
    <row r="576" spans="1:11" x14ac:dyDescent="0.35">
      <c r="A576" t="s">
        <v>15</v>
      </c>
      <c r="B576" s="3">
        <v>45687</v>
      </c>
      <c r="C576" t="s">
        <v>542</v>
      </c>
      <c r="D576" t="s">
        <v>128</v>
      </c>
      <c r="E576" t="s">
        <v>541</v>
      </c>
      <c r="F576" t="s">
        <v>11</v>
      </c>
      <c r="G576" t="s">
        <v>10</v>
      </c>
      <c r="H576" t="s">
        <v>22</v>
      </c>
      <c r="I576" s="10" t="s">
        <v>8</v>
      </c>
      <c r="J576" t="s">
        <v>8</v>
      </c>
      <c r="K576" s="10" t="e">
        <f t="shared" si="8"/>
        <v>#VALUE!</v>
      </c>
    </row>
    <row r="577" spans="1:11" x14ac:dyDescent="0.35">
      <c r="A577" t="s">
        <v>15</v>
      </c>
      <c r="B577" s="3">
        <v>45783</v>
      </c>
      <c r="C577" t="s">
        <v>540</v>
      </c>
      <c r="D577" t="s">
        <v>539</v>
      </c>
      <c r="F577" t="s">
        <v>11</v>
      </c>
      <c r="G577" t="s">
        <v>25</v>
      </c>
      <c r="H577" t="s">
        <v>33</v>
      </c>
      <c r="I577" s="10" t="s">
        <v>8</v>
      </c>
      <c r="J577" t="s">
        <v>8</v>
      </c>
      <c r="K577" s="10" t="e">
        <f t="shared" si="8"/>
        <v>#VALUE!</v>
      </c>
    </row>
    <row r="578" spans="1:11" x14ac:dyDescent="0.35">
      <c r="A578" t="s">
        <v>15</v>
      </c>
      <c r="B578" s="3">
        <v>45695</v>
      </c>
      <c r="C578" t="s">
        <v>538</v>
      </c>
      <c r="D578" t="s">
        <v>537</v>
      </c>
      <c r="F578" t="s">
        <v>11</v>
      </c>
      <c r="G578" t="s">
        <v>10</v>
      </c>
      <c r="H578" t="s">
        <v>142</v>
      </c>
      <c r="I578" s="10" t="s">
        <v>8</v>
      </c>
      <c r="J578" t="s">
        <v>8</v>
      </c>
      <c r="K578" s="10" t="e">
        <f t="shared" si="8"/>
        <v>#VALUE!</v>
      </c>
    </row>
    <row r="579" spans="1:11" x14ac:dyDescent="0.35">
      <c r="A579" t="s">
        <v>15</v>
      </c>
      <c r="B579" s="3">
        <v>45853</v>
      </c>
      <c r="C579" t="s">
        <v>536</v>
      </c>
      <c r="D579" t="s">
        <v>535</v>
      </c>
      <c r="F579" t="s">
        <v>11</v>
      </c>
      <c r="G579" t="s">
        <v>10</v>
      </c>
      <c r="H579" t="s">
        <v>22</v>
      </c>
      <c r="I579" s="10" t="s">
        <v>8</v>
      </c>
      <c r="J579" t="s">
        <v>8</v>
      </c>
      <c r="K579" s="10" t="e">
        <f t="shared" ref="K579:K642" si="9">1/J579</f>
        <v>#VALUE!</v>
      </c>
    </row>
    <row r="580" spans="1:11" x14ac:dyDescent="0.35">
      <c r="A580" t="s">
        <v>15</v>
      </c>
      <c r="B580" s="3">
        <v>45853</v>
      </c>
      <c r="C580" t="s">
        <v>534</v>
      </c>
      <c r="D580" t="s">
        <v>134</v>
      </c>
      <c r="F580" t="s">
        <v>11</v>
      </c>
      <c r="G580" t="s">
        <v>10</v>
      </c>
      <c r="H580" t="s">
        <v>22</v>
      </c>
      <c r="I580" s="10" t="s">
        <v>8</v>
      </c>
      <c r="J580" t="s">
        <v>8</v>
      </c>
      <c r="K580" s="10" t="e">
        <f t="shared" si="9"/>
        <v>#VALUE!</v>
      </c>
    </row>
    <row r="581" spans="1:11" x14ac:dyDescent="0.35">
      <c r="A581" t="s">
        <v>15</v>
      </c>
      <c r="B581" s="3">
        <v>45609</v>
      </c>
      <c r="C581" t="s">
        <v>533</v>
      </c>
      <c r="D581" t="s">
        <v>532</v>
      </c>
      <c r="F581" t="s">
        <v>11</v>
      </c>
      <c r="G581" t="s">
        <v>25</v>
      </c>
      <c r="H581" t="s">
        <v>142</v>
      </c>
      <c r="I581" s="10" t="s">
        <v>8</v>
      </c>
      <c r="J581" t="s">
        <v>8</v>
      </c>
      <c r="K581" s="10" t="e">
        <f t="shared" si="9"/>
        <v>#VALUE!</v>
      </c>
    </row>
    <row r="582" spans="1:11" x14ac:dyDescent="0.35">
      <c r="A582" t="s">
        <v>15</v>
      </c>
      <c r="B582" s="3">
        <v>45854</v>
      </c>
      <c r="C582" t="s">
        <v>531</v>
      </c>
      <c r="D582" t="s">
        <v>530</v>
      </c>
      <c r="E582" t="s">
        <v>178</v>
      </c>
      <c r="F582" t="s">
        <v>11</v>
      </c>
      <c r="G582" t="s">
        <v>10</v>
      </c>
      <c r="H582" t="s">
        <v>22</v>
      </c>
      <c r="I582" s="10" t="s">
        <v>8</v>
      </c>
      <c r="J582" t="s">
        <v>8</v>
      </c>
      <c r="K582" s="10" t="e">
        <f t="shared" si="9"/>
        <v>#VALUE!</v>
      </c>
    </row>
    <row r="583" spans="1:11" x14ac:dyDescent="0.35">
      <c r="A583" t="s">
        <v>15</v>
      </c>
      <c r="B583" s="3">
        <v>45810</v>
      </c>
      <c r="C583" t="s">
        <v>529</v>
      </c>
      <c r="D583" t="s">
        <v>528</v>
      </c>
      <c r="F583" t="s">
        <v>11</v>
      </c>
      <c r="G583" t="s">
        <v>10</v>
      </c>
      <c r="H583" t="s">
        <v>22</v>
      </c>
      <c r="I583" s="10" t="s">
        <v>8</v>
      </c>
      <c r="J583" t="s">
        <v>8</v>
      </c>
      <c r="K583" s="10" t="e">
        <f t="shared" si="9"/>
        <v>#VALUE!</v>
      </c>
    </row>
    <row r="584" spans="1:11" x14ac:dyDescent="0.35">
      <c r="A584" t="s">
        <v>15</v>
      </c>
      <c r="B584" s="3">
        <v>45581</v>
      </c>
      <c r="C584" t="s">
        <v>527</v>
      </c>
      <c r="D584" t="s">
        <v>526</v>
      </c>
      <c r="E584" t="s">
        <v>525</v>
      </c>
      <c r="F584" t="s">
        <v>11</v>
      </c>
      <c r="G584" t="s">
        <v>10</v>
      </c>
      <c r="H584" t="s">
        <v>22</v>
      </c>
      <c r="I584" s="10" t="s">
        <v>8</v>
      </c>
      <c r="J584" t="s">
        <v>8</v>
      </c>
      <c r="K584" s="10" t="e">
        <f t="shared" si="9"/>
        <v>#VALUE!</v>
      </c>
    </row>
    <row r="585" spans="1:11" x14ac:dyDescent="0.35">
      <c r="A585" t="s">
        <v>15</v>
      </c>
      <c r="B585" s="3">
        <v>45859</v>
      </c>
      <c r="C585" t="s">
        <v>524</v>
      </c>
      <c r="D585" t="s">
        <v>523</v>
      </c>
      <c r="E585" t="s">
        <v>522</v>
      </c>
      <c r="F585" t="s">
        <v>11</v>
      </c>
      <c r="G585" t="s">
        <v>10</v>
      </c>
      <c r="H585" t="s">
        <v>22</v>
      </c>
      <c r="I585" s="10" t="s">
        <v>8</v>
      </c>
      <c r="J585" t="s">
        <v>8</v>
      </c>
      <c r="K585" s="10" t="e">
        <f t="shared" si="9"/>
        <v>#VALUE!</v>
      </c>
    </row>
    <row r="586" spans="1:11" x14ac:dyDescent="0.35">
      <c r="A586" t="s">
        <v>15</v>
      </c>
      <c r="B586" s="3">
        <v>45860</v>
      </c>
      <c r="C586" t="s">
        <v>521</v>
      </c>
      <c r="D586" t="s">
        <v>179</v>
      </c>
      <c r="F586" t="s">
        <v>11</v>
      </c>
      <c r="G586" t="s">
        <v>10</v>
      </c>
      <c r="H586" t="s">
        <v>22</v>
      </c>
      <c r="I586" s="10" t="s">
        <v>8</v>
      </c>
      <c r="J586" t="s">
        <v>8</v>
      </c>
      <c r="K586" s="10" t="e">
        <f t="shared" si="9"/>
        <v>#VALUE!</v>
      </c>
    </row>
    <row r="587" spans="1:11" x14ac:dyDescent="0.35">
      <c r="A587" t="s">
        <v>15</v>
      </c>
      <c r="B587" s="3">
        <v>45861</v>
      </c>
      <c r="C587" t="s">
        <v>518</v>
      </c>
      <c r="D587" t="s">
        <v>271</v>
      </c>
      <c r="F587" t="s">
        <v>11</v>
      </c>
      <c r="G587" t="s">
        <v>10</v>
      </c>
      <c r="H587" t="s">
        <v>33</v>
      </c>
      <c r="I587" s="10" t="s">
        <v>8</v>
      </c>
      <c r="J587" t="s">
        <v>8</v>
      </c>
      <c r="K587" s="10" t="e">
        <f t="shared" si="9"/>
        <v>#VALUE!</v>
      </c>
    </row>
    <row r="588" spans="1:11" x14ac:dyDescent="0.35">
      <c r="A588" t="s">
        <v>15</v>
      </c>
      <c r="B588" s="3">
        <v>45861</v>
      </c>
      <c r="C588" t="s">
        <v>518</v>
      </c>
      <c r="D588" t="s">
        <v>520</v>
      </c>
      <c r="F588" t="s">
        <v>11</v>
      </c>
      <c r="G588" t="s">
        <v>10</v>
      </c>
      <c r="H588" t="s">
        <v>33</v>
      </c>
      <c r="I588" s="10" t="s">
        <v>8</v>
      </c>
      <c r="J588" t="s">
        <v>8</v>
      </c>
      <c r="K588" s="10" t="e">
        <f t="shared" si="9"/>
        <v>#VALUE!</v>
      </c>
    </row>
    <row r="589" spans="1:11" x14ac:dyDescent="0.35">
      <c r="A589" t="s">
        <v>15</v>
      </c>
      <c r="B589" s="3">
        <v>45582</v>
      </c>
      <c r="C589" t="s">
        <v>518</v>
      </c>
      <c r="D589" t="s">
        <v>519</v>
      </c>
      <c r="F589" t="s">
        <v>11</v>
      </c>
      <c r="G589" t="s">
        <v>25</v>
      </c>
      <c r="H589" t="s">
        <v>33</v>
      </c>
      <c r="I589" s="10" t="s">
        <v>8</v>
      </c>
      <c r="J589" t="s">
        <v>8</v>
      </c>
      <c r="K589" s="10" t="e">
        <f t="shared" si="9"/>
        <v>#VALUE!</v>
      </c>
    </row>
    <row r="590" spans="1:11" x14ac:dyDescent="0.35">
      <c r="A590" t="s">
        <v>15</v>
      </c>
      <c r="B590" s="3">
        <v>45861</v>
      </c>
      <c r="C590" t="s">
        <v>518</v>
      </c>
      <c r="D590" t="s">
        <v>20</v>
      </c>
      <c r="F590" t="s">
        <v>11</v>
      </c>
      <c r="G590" t="s">
        <v>10</v>
      </c>
      <c r="H590" t="s">
        <v>33</v>
      </c>
      <c r="I590" s="10" t="s">
        <v>8</v>
      </c>
      <c r="J590" t="s">
        <v>8</v>
      </c>
      <c r="K590" s="10" t="e">
        <f t="shared" si="9"/>
        <v>#VALUE!</v>
      </c>
    </row>
    <row r="591" spans="1:11" x14ac:dyDescent="0.35">
      <c r="A591" t="s">
        <v>15</v>
      </c>
      <c r="B591" s="3">
        <v>45840</v>
      </c>
      <c r="C591" t="s">
        <v>517</v>
      </c>
      <c r="D591" t="s">
        <v>516</v>
      </c>
      <c r="F591" t="s">
        <v>11</v>
      </c>
      <c r="G591" t="s">
        <v>10</v>
      </c>
      <c r="H591" t="s">
        <v>22</v>
      </c>
      <c r="I591" s="10" t="s">
        <v>8</v>
      </c>
      <c r="J591" t="s">
        <v>8</v>
      </c>
      <c r="K591" s="10" t="e">
        <f t="shared" si="9"/>
        <v>#VALUE!</v>
      </c>
    </row>
    <row r="592" spans="1:11" x14ac:dyDescent="0.35">
      <c r="A592" t="s">
        <v>15</v>
      </c>
      <c r="B592" s="3">
        <v>45861</v>
      </c>
      <c r="C592" t="s">
        <v>515</v>
      </c>
      <c r="D592" t="s">
        <v>514</v>
      </c>
      <c r="F592" t="s">
        <v>11</v>
      </c>
      <c r="G592" t="s">
        <v>10</v>
      </c>
      <c r="H592" t="s">
        <v>22</v>
      </c>
      <c r="I592" s="10" t="s">
        <v>8</v>
      </c>
      <c r="J592" t="s">
        <v>8</v>
      </c>
      <c r="K592" s="10" t="e">
        <f t="shared" si="9"/>
        <v>#VALUE!</v>
      </c>
    </row>
    <row r="593" spans="1:11" x14ac:dyDescent="0.35">
      <c r="A593" t="s">
        <v>15</v>
      </c>
      <c r="B593" s="3">
        <v>45719</v>
      </c>
      <c r="C593" t="s">
        <v>513</v>
      </c>
      <c r="D593" t="s">
        <v>491</v>
      </c>
      <c r="E593" t="s">
        <v>512</v>
      </c>
      <c r="F593" t="s">
        <v>11</v>
      </c>
      <c r="G593" t="s">
        <v>10</v>
      </c>
      <c r="H593" t="s">
        <v>22</v>
      </c>
      <c r="I593" s="10" t="s">
        <v>8</v>
      </c>
      <c r="J593" t="s">
        <v>8</v>
      </c>
      <c r="K593" s="10" t="e">
        <f t="shared" si="9"/>
        <v>#VALUE!</v>
      </c>
    </row>
    <row r="594" spans="1:11" x14ac:dyDescent="0.35">
      <c r="A594" t="s">
        <v>15</v>
      </c>
      <c r="B594" s="3">
        <v>45735</v>
      </c>
      <c r="C594" t="s">
        <v>511</v>
      </c>
      <c r="D594" t="s">
        <v>510</v>
      </c>
      <c r="E594" t="s">
        <v>509</v>
      </c>
      <c r="F594" t="s">
        <v>11</v>
      </c>
      <c r="G594" t="s">
        <v>10</v>
      </c>
      <c r="H594" t="s">
        <v>22</v>
      </c>
      <c r="I594" s="10" t="s">
        <v>8</v>
      </c>
      <c r="J594" t="s">
        <v>8</v>
      </c>
      <c r="K594" s="10" t="e">
        <f t="shared" si="9"/>
        <v>#VALUE!</v>
      </c>
    </row>
    <row r="595" spans="1:11" x14ac:dyDescent="0.35">
      <c r="A595" t="s">
        <v>15</v>
      </c>
      <c r="B595" s="3">
        <v>45729</v>
      </c>
      <c r="C595" t="s">
        <v>508</v>
      </c>
      <c r="D595" t="s">
        <v>507</v>
      </c>
      <c r="E595" t="s">
        <v>451</v>
      </c>
      <c r="F595" t="s">
        <v>11</v>
      </c>
      <c r="G595" t="s">
        <v>10</v>
      </c>
      <c r="H595" t="s">
        <v>22</v>
      </c>
      <c r="I595" s="10" t="s">
        <v>8</v>
      </c>
      <c r="J595" t="s">
        <v>8</v>
      </c>
      <c r="K595" s="10" t="e">
        <f t="shared" si="9"/>
        <v>#VALUE!</v>
      </c>
    </row>
    <row r="596" spans="1:11" x14ac:dyDescent="0.35">
      <c r="A596" t="s">
        <v>15</v>
      </c>
      <c r="B596" s="3">
        <v>45854</v>
      </c>
      <c r="C596" t="s">
        <v>506</v>
      </c>
      <c r="D596" t="s">
        <v>143</v>
      </c>
      <c r="F596" t="s">
        <v>11</v>
      </c>
      <c r="G596" t="s">
        <v>10</v>
      </c>
      <c r="H596" t="s">
        <v>33</v>
      </c>
      <c r="I596" s="10" t="s">
        <v>8</v>
      </c>
      <c r="J596" t="s">
        <v>8</v>
      </c>
      <c r="K596" s="10" t="e">
        <f t="shared" si="9"/>
        <v>#VALUE!</v>
      </c>
    </row>
    <row r="597" spans="1:11" x14ac:dyDescent="0.35">
      <c r="A597" t="s">
        <v>15</v>
      </c>
      <c r="B597" s="3">
        <v>45596</v>
      </c>
      <c r="C597" t="s">
        <v>505</v>
      </c>
      <c r="D597" t="s">
        <v>333</v>
      </c>
      <c r="E597" t="s">
        <v>504</v>
      </c>
      <c r="F597" t="s">
        <v>11</v>
      </c>
      <c r="G597" t="s">
        <v>10</v>
      </c>
      <c r="H597" t="s">
        <v>22</v>
      </c>
      <c r="I597" s="10" t="s">
        <v>8</v>
      </c>
      <c r="J597" t="s">
        <v>8</v>
      </c>
      <c r="K597" s="10" t="e">
        <f t="shared" si="9"/>
        <v>#VALUE!</v>
      </c>
    </row>
    <row r="598" spans="1:11" x14ac:dyDescent="0.35">
      <c r="A598" t="s">
        <v>15</v>
      </c>
      <c r="B598" s="3">
        <v>45864</v>
      </c>
      <c r="C598" t="s">
        <v>503</v>
      </c>
      <c r="D598" t="s">
        <v>143</v>
      </c>
      <c r="E598" t="s">
        <v>502</v>
      </c>
      <c r="F598" t="s">
        <v>11</v>
      </c>
      <c r="G598" t="s">
        <v>10</v>
      </c>
      <c r="H598" t="s">
        <v>33</v>
      </c>
      <c r="I598" s="10" t="s">
        <v>8</v>
      </c>
      <c r="J598" t="s">
        <v>8</v>
      </c>
      <c r="K598" s="10" t="e">
        <f t="shared" si="9"/>
        <v>#VALUE!</v>
      </c>
    </row>
    <row r="599" spans="1:11" x14ac:dyDescent="0.35">
      <c r="A599" t="s">
        <v>15</v>
      </c>
      <c r="B599" s="3">
        <v>45861</v>
      </c>
      <c r="C599" t="s">
        <v>501</v>
      </c>
      <c r="D599" t="s">
        <v>500</v>
      </c>
      <c r="F599" t="s">
        <v>11</v>
      </c>
      <c r="G599" t="s">
        <v>10</v>
      </c>
      <c r="H599" t="s">
        <v>22</v>
      </c>
      <c r="I599" s="10" t="s">
        <v>8</v>
      </c>
      <c r="J599" t="s">
        <v>8</v>
      </c>
      <c r="K599" s="10" t="e">
        <f t="shared" si="9"/>
        <v>#VALUE!</v>
      </c>
    </row>
    <row r="600" spans="1:11" x14ac:dyDescent="0.35">
      <c r="A600" t="s">
        <v>15</v>
      </c>
      <c r="B600" s="3">
        <v>45594</v>
      </c>
      <c r="C600" t="s">
        <v>499</v>
      </c>
      <c r="D600" t="s">
        <v>498</v>
      </c>
      <c r="F600" t="s">
        <v>11</v>
      </c>
      <c r="G600" t="s">
        <v>10</v>
      </c>
      <c r="H600" t="s">
        <v>142</v>
      </c>
      <c r="I600" s="10" t="s">
        <v>8</v>
      </c>
      <c r="J600" t="s">
        <v>8</v>
      </c>
      <c r="K600" s="10" t="e">
        <f t="shared" si="9"/>
        <v>#VALUE!</v>
      </c>
    </row>
    <row r="601" spans="1:11" x14ac:dyDescent="0.35">
      <c r="A601" t="s">
        <v>15</v>
      </c>
      <c r="B601" s="3">
        <v>45699</v>
      </c>
      <c r="C601" t="s">
        <v>497</v>
      </c>
      <c r="D601" t="s">
        <v>496</v>
      </c>
      <c r="E601" t="s">
        <v>495</v>
      </c>
      <c r="F601" t="s">
        <v>11</v>
      </c>
      <c r="G601" t="s">
        <v>10</v>
      </c>
      <c r="H601" t="s">
        <v>22</v>
      </c>
      <c r="I601" s="10" t="s">
        <v>8</v>
      </c>
      <c r="J601" t="s">
        <v>8</v>
      </c>
      <c r="K601" s="10" t="e">
        <f t="shared" si="9"/>
        <v>#VALUE!</v>
      </c>
    </row>
    <row r="602" spans="1:11" x14ac:dyDescent="0.35">
      <c r="A602" t="s">
        <v>15</v>
      </c>
      <c r="B602" s="3">
        <v>45867</v>
      </c>
      <c r="C602" t="s">
        <v>494</v>
      </c>
      <c r="D602" t="s">
        <v>493</v>
      </c>
      <c r="F602" t="s">
        <v>11</v>
      </c>
      <c r="G602" t="s">
        <v>10</v>
      </c>
      <c r="H602" t="s">
        <v>22</v>
      </c>
      <c r="I602" s="10" t="s">
        <v>8</v>
      </c>
      <c r="J602" t="s">
        <v>8</v>
      </c>
      <c r="K602" s="10" t="e">
        <f t="shared" si="9"/>
        <v>#VALUE!</v>
      </c>
    </row>
    <row r="603" spans="1:11" x14ac:dyDescent="0.35">
      <c r="A603" t="s">
        <v>15</v>
      </c>
      <c r="B603" s="3">
        <v>45839</v>
      </c>
      <c r="C603" t="s">
        <v>492</v>
      </c>
      <c r="D603" t="s">
        <v>491</v>
      </c>
      <c r="E603" t="s">
        <v>490</v>
      </c>
      <c r="F603" t="s">
        <v>11</v>
      </c>
      <c r="G603" t="s">
        <v>10</v>
      </c>
      <c r="H603" t="s">
        <v>22</v>
      </c>
      <c r="I603" s="10" t="s">
        <v>8</v>
      </c>
      <c r="J603" t="s">
        <v>8</v>
      </c>
      <c r="K603" s="10" t="e">
        <f t="shared" si="9"/>
        <v>#VALUE!</v>
      </c>
    </row>
    <row r="604" spans="1:11" x14ac:dyDescent="0.35">
      <c r="A604" t="s">
        <v>15</v>
      </c>
      <c r="B604" s="3">
        <v>45806</v>
      </c>
      <c r="C604" t="s">
        <v>489</v>
      </c>
      <c r="D604" t="s">
        <v>16</v>
      </c>
      <c r="E604" t="s">
        <v>488</v>
      </c>
      <c r="F604" t="s">
        <v>11</v>
      </c>
      <c r="G604" t="s">
        <v>10</v>
      </c>
      <c r="H604" t="s">
        <v>33</v>
      </c>
      <c r="I604" s="10" t="s">
        <v>8</v>
      </c>
      <c r="J604" t="s">
        <v>8</v>
      </c>
      <c r="K604" s="10" t="e">
        <f t="shared" si="9"/>
        <v>#VALUE!</v>
      </c>
    </row>
    <row r="605" spans="1:11" x14ac:dyDescent="0.35">
      <c r="A605" t="s">
        <v>15</v>
      </c>
      <c r="B605" s="3">
        <v>45870</v>
      </c>
      <c r="C605" t="s">
        <v>487</v>
      </c>
      <c r="D605" t="s">
        <v>486</v>
      </c>
      <c r="F605" t="s">
        <v>11</v>
      </c>
      <c r="G605" t="s">
        <v>10</v>
      </c>
      <c r="H605" t="s">
        <v>22</v>
      </c>
      <c r="I605" s="10" t="s">
        <v>8</v>
      </c>
      <c r="J605" t="s">
        <v>8</v>
      </c>
      <c r="K605" s="10" t="e">
        <f t="shared" si="9"/>
        <v>#VALUE!</v>
      </c>
    </row>
    <row r="606" spans="1:11" x14ac:dyDescent="0.35">
      <c r="A606" t="s">
        <v>15</v>
      </c>
      <c r="B606" s="3">
        <v>45870</v>
      </c>
      <c r="C606" t="s">
        <v>485</v>
      </c>
      <c r="D606" t="s">
        <v>484</v>
      </c>
      <c r="F606" t="s">
        <v>11</v>
      </c>
      <c r="G606" t="s">
        <v>10</v>
      </c>
      <c r="H606" t="s">
        <v>33</v>
      </c>
      <c r="I606" s="10" t="s">
        <v>8</v>
      </c>
      <c r="J606" t="s">
        <v>8</v>
      </c>
      <c r="K606" s="10" t="e">
        <f t="shared" si="9"/>
        <v>#VALUE!</v>
      </c>
    </row>
    <row r="607" spans="1:11" x14ac:dyDescent="0.35">
      <c r="A607" t="s">
        <v>15</v>
      </c>
      <c r="B607" s="3">
        <v>45870</v>
      </c>
      <c r="C607" t="s">
        <v>483</v>
      </c>
      <c r="D607" t="s">
        <v>482</v>
      </c>
      <c r="F607" t="s">
        <v>11</v>
      </c>
      <c r="G607" t="s">
        <v>10</v>
      </c>
      <c r="H607" t="s">
        <v>22</v>
      </c>
      <c r="I607" s="10" t="s">
        <v>8</v>
      </c>
      <c r="J607" t="s">
        <v>8</v>
      </c>
      <c r="K607" s="10" t="e">
        <f t="shared" si="9"/>
        <v>#VALUE!</v>
      </c>
    </row>
    <row r="608" spans="1:11" x14ac:dyDescent="0.35">
      <c r="A608" t="s">
        <v>15</v>
      </c>
      <c r="B608" s="3">
        <v>45874</v>
      </c>
      <c r="C608" t="s">
        <v>481</v>
      </c>
      <c r="D608" t="s">
        <v>480</v>
      </c>
      <c r="E608" t="s">
        <v>479</v>
      </c>
      <c r="F608" t="s">
        <v>11</v>
      </c>
      <c r="G608" t="s">
        <v>10</v>
      </c>
      <c r="H608" t="s">
        <v>22</v>
      </c>
      <c r="I608" s="10" t="s">
        <v>8</v>
      </c>
      <c r="J608" t="s">
        <v>8</v>
      </c>
      <c r="K608" s="10" t="e">
        <f t="shared" si="9"/>
        <v>#VALUE!</v>
      </c>
    </row>
    <row r="609" spans="1:11" x14ac:dyDescent="0.35">
      <c r="A609" t="s">
        <v>15</v>
      </c>
      <c r="B609" s="3">
        <v>45873</v>
      </c>
      <c r="C609" t="s">
        <v>478</v>
      </c>
      <c r="D609" t="s">
        <v>477</v>
      </c>
      <c r="E609" t="s">
        <v>476</v>
      </c>
      <c r="F609" t="s">
        <v>11</v>
      </c>
      <c r="G609" t="s">
        <v>10</v>
      </c>
      <c r="H609" t="s">
        <v>22</v>
      </c>
      <c r="I609" s="10" t="s">
        <v>8</v>
      </c>
      <c r="J609" t="s">
        <v>8</v>
      </c>
      <c r="K609" s="10" t="e">
        <f t="shared" si="9"/>
        <v>#VALUE!</v>
      </c>
    </row>
    <row r="610" spans="1:11" x14ac:dyDescent="0.35">
      <c r="A610" t="s">
        <v>15</v>
      </c>
      <c r="B610" s="3">
        <v>45874</v>
      </c>
      <c r="C610" t="s">
        <v>475</v>
      </c>
      <c r="D610" t="s">
        <v>474</v>
      </c>
      <c r="F610" t="s">
        <v>11</v>
      </c>
      <c r="G610" t="s">
        <v>10</v>
      </c>
      <c r="H610" t="s">
        <v>22</v>
      </c>
      <c r="I610" s="10" t="s">
        <v>8</v>
      </c>
      <c r="J610" t="s">
        <v>8</v>
      </c>
      <c r="K610" s="10" t="e">
        <f t="shared" si="9"/>
        <v>#VALUE!</v>
      </c>
    </row>
    <row r="611" spans="1:11" x14ac:dyDescent="0.35">
      <c r="A611" t="s">
        <v>15</v>
      </c>
      <c r="B611" s="3">
        <v>45811</v>
      </c>
      <c r="C611" t="s">
        <v>473</v>
      </c>
      <c r="D611" t="s">
        <v>113</v>
      </c>
      <c r="E611" t="s">
        <v>472</v>
      </c>
      <c r="F611" t="s">
        <v>11</v>
      </c>
      <c r="G611" t="s">
        <v>10</v>
      </c>
      <c r="H611" t="s">
        <v>22</v>
      </c>
      <c r="I611" s="10" t="s">
        <v>8</v>
      </c>
      <c r="J611" t="s">
        <v>8</v>
      </c>
      <c r="K611" s="10" t="e">
        <f t="shared" si="9"/>
        <v>#VALUE!</v>
      </c>
    </row>
    <row r="612" spans="1:11" x14ac:dyDescent="0.35">
      <c r="A612" t="s">
        <v>15</v>
      </c>
      <c r="B612" s="3">
        <v>45874</v>
      </c>
      <c r="C612" t="s">
        <v>471</v>
      </c>
      <c r="D612" t="s">
        <v>470</v>
      </c>
      <c r="F612" t="s">
        <v>11</v>
      </c>
      <c r="G612" t="s">
        <v>10</v>
      </c>
      <c r="H612" t="s">
        <v>22</v>
      </c>
      <c r="I612" s="10" t="s">
        <v>8</v>
      </c>
      <c r="J612" t="s">
        <v>8</v>
      </c>
      <c r="K612" s="10" t="e">
        <f t="shared" si="9"/>
        <v>#VALUE!</v>
      </c>
    </row>
    <row r="613" spans="1:11" x14ac:dyDescent="0.35">
      <c r="A613" t="s">
        <v>15</v>
      </c>
      <c r="B613" s="3">
        <v>45768</v>
      </c>
      <c r="C613" t="s">
        <v>469</v>
      </c>
      <c r="D613" t="s">
        <v>468</v>
      </c>
      <c r="E613" t="s">
        <v>467</v>
      </c>
      <c r="F613" t="s">
        <v>11</v>
      </c>
      <c r="G613" t="s">
        <v>10</v>
      </c>
      <c r="H613" t="s">
        <v>22</v>
      </c>
      <c r="I613" s="10" t="s">
        <v>8</v>
      </c>
      <c r="J613" t="s">
        <v>8</v>
      </c>
      <c r="K613" s="10" t="e">
        <f t="shared" si="9"/>
        <v>#VALUE!</v>
      </c>
    </row>
    <row r="614" spans="1:11" x14ac:dyDescent="0.35">
      <c r="A614" t="s">
        <v>15</v>
      </c>
      <c r="B614" s="3">
        <v>45876</v>
      </c>
      <c r="C614" t="s">
        <v>466</v>
      </c>
      <c r="D614" t="s">
        <v>465</v>
      </c>
      <c r="F614" t="s">
        <v>11</v>
      </c>
      <c r="G614" t="s">
        <v>10</v>
      </c>
      <c r="H614" t="s">
        <v>22</v>
      </c>
      <c r="I614" s="10" t="s">
        <v>8</v>
      </c>
      <c r="J614" t="s">
        <v>8</v>
      </c>
      <c r="K614" s="10" t="e">
        <f t="shared" si="9"/>
        <v>#VALUE!</v>
      </c>
    </row>
    <row r="615" spans="1:11" x14ac:dyDescent="0.35">
      <c r="A615" t="s">
        <v>15</v>
      </c>
      <c r="B615" s="3">
        <v>45862</v>
      </c>
      <c r="C615" t="s">
        <v>464</v>
      </c>
      <c r="D615" t="s">
        <v>463</v>
      </c>
      <c r="E615" t="s">
        <v>122</v>
      </c>
      <c r="F615" t="s">
        <v>11</v>
      </c>
      <c r="G615" t="s">
        <v>10</v>
      </c>
      <c r="H615" t="s">
        <v>22</v>
      </c>
      <c r="I615" s="10" t="s">
        <v>8</v>
      </c>
      <c r="J615" t="s">
        <v>8</v>
      </c>
      <c r="K615" s="10" t="e">
        <f t="shared" si="9"/>
        <v>#VALUE!</v>
      </c>
    </row>
    <row r="616" spans="1:11" x14ac:dyDescent="0.35">
      <c r="A616" t="s">
        <v>15</v>
      </c>
      <c r="B616" s="3">
        <v>45866</v>
      </c>
      <c r="C616" t="s">
        <v>462</v>
      </c>
      <c r="D616" t="s">
        <v>461</v>
      </c>
      <c r="E616" t="s">
        <v>460</v>
      </c>
      <c r="F616" t="s">
        <v>11</v>
      </c>
      <c r="G616" t="s">
        <v>10</v>
      </c>
      <c r="H616" t="s">
        <v>22</v>
      </c>
      <c r="I616" s="10" t="s">
        <v>8</v>
      </c>
      <c r="J616" t="s">
        <v>8</v>
      </c>
      <c r="K616" s="10" t="e">
        <f t="shared" si="9"/>
        <v>#VALUE!</v>
      </c>
    </row>
    <row r="617" spans="1:11" x14ac:dyDescent="0.35">
      <c r="A617" t="s">
        <v>15</v>
      </c>
      <c r="B617" s="3">
        <v>45881</v>
      </c>
      <c r="C617" t="s">
        <v>459</v>
      </c>
      <c r="D617" t="s">
        <v>458</v>
      </c>
      <c r="E617" t="s">
        <v>457</v>
      </c>
      <c r="F617" t="s">
        <v>11</v>
      </c>
      <c r="G617" t="s">
        <v>10</v>
      </c>
      <c r="H617" t="s">
        <v>22</v>
      </c>
      <c r="I617" s="10" t="s">
        <v>8</v>
      </c>
      <c r="J617" t="s">
        <v>8</v>
      </c>
      <c r="K617" s="10" t="e">
        <f t="shared" si="9"/>
        <v>#VALUE!</v>
      </c>
    </row>
    <row r="618" spans="1:11" x14ac:dyDescent="0.35">
      <c r="A618" t="s">
        <v>15</v>
      </c>
      <c r="B618" s="3">
        <v>45881</v>
      </c>
      <c r="C618" t="s">
        <v>456</v>
      </c>
      <c r="D618" t="s">
        <v>455</v>
      </c>
      <c r="F618" t="s">
        <v>11</v>
      </c>
      <c r="G618" t="s">
        <v>10</v>
      </c>
      <c r="H618" t="s">
        <v>22</v>
      </c>
      <c r="I618" s="10" t="s">
        <v>8</v>
      </c>
      <c r="J618" t="s">
        <v>8</v>
      </c>
      <c r="K618" s="10" t="e">
        <f t="shared" si="9"/>
        <v>#VALUE!</v>
      </c>
    </row>
    <row r="619" spans="1:11" x14ac:dyDescent="0.35">
      <c r="A619" t="s">
        <v>15</v>
      </c>
      <c r="B619" s="3">
        <v>45866</v>
      </c>
      <c r="C619" t="s">
        <v>454</v>
      </c>
      <c r="D619" t="s">
        <v>434</v>
      </c>
      <c r="E619" t="s">
        <v>453</v>
      </c>
      <c r="F619" t="s">
        <v>11</v>
      </c>
      <c r="G619" t="s">
        <v>10</v>
      </c>
      <c r="H619" t="s">
        <v>22</v>
      </c>
      <c r="I619" s="10" t="s">
        <v>8</v>
      </c>
      <c r="J619" t="s">
        <v>8</v>
      </c>
      <c r="K619" s="10" t="e">
        <f t="shared" si="9"/>
        <v>#VALUE!</v>
      </c>
    </row>
    <row r="620" spans="1:11" x14ac:dyDescent="0.35">
      <c r="A620" t="s">
        <v>15</v>
      </c>
      <c r="B620" s="3">
        <v>45866</v>
      </c>
      <c r="C620" t="s">
        <v>452</v>
      </c>
      <c r="D620" t="s">
        <v>451</v>
      </c>
      <c r="E620" t="s">
        <v>165</v>
      </c>
      <c r="F620" t="s">
        <v>11</v>
      </c>
      <c r="G620" t="s">
        <v>10</v>
      </c>
      <c r="H620" t="s">
        <v>22</v>
      </c>
      <c r="I620" s="10" t="s">
        <v>8</v>
      </c>
      <c r="J620" t="s">
        <v>8</v>
      </c>
      <c r="K620" s="10" t="e">
        <f t="shared" si="9"/>
        <v>#VALUE!</v>
      </c>
    </row>
    <row r="621" spans="1:11" x14ac:dyDescent="0.35">
      <c r="A621" t="s">
        <v>15</v>
      </c>
      <c r="B621" s="3">
        <v>45671</v>
      </c>
      <c r="C621" t="s">
        <v>450</v>
      </c>
      <c r="D621" t="s">
        <v>449</v>
      </c>
      <c r="F621" t="s">
        <v>11</v>
      </c>
      <c r="G621" t="s">
        <v>10</v>
      </c>
      <c r="H621" t="s">
        <v>22</v>
      </c>
      <c r="I621" s="10" t="s">
        <v>8</v>
      </c>
      <c r="J621" t="s">
        <v>8</v>
      </c>
      <c r="K621" s="10" t="e">
        <f t="shared" si="9"/>
        <v>#VALUE!</v>
      </c>
    </row>
    <row r="622" spans="1:11" x14ac:dyDescent="0.35">
      <c r="A622" t="s">
        <v>15</v>
      </c>
      <c r="B622" s="3">
        <v>45876</v>
      </c>
      <c r="C622" t="s">
        <v>448</v>
      </c>
      <c r="D622" t="s">
        <v>447</v>
      </c>
      <c r="E622" t="s">
        <v>446</v>
      </c>
      <c r="F622" t="s">
        <v>11</v>
      </c>
      <c r="G622" t="s">
        <v>10</v>
      </c>
      <c r="H622" t="s">
        <v>22</v>
      </c>
      <c r="I622" s="10" t="s">
        <v>8</v>
      </c>
      <c r="J622" t="s">
        <v>8</v>
      </c>
      <c r="K622" s="10" t="e">
        <f t="shared" si="9"/>
        <v>#VALUE!</v>
      </c>
    </row>
    <row r="623" spans="1:11" x14ac:dyDescent="0.35">
      <c r="A623" t="s">
        <v>15</v>
      </c>
      <c r="B623" s="3">
        <v>45810</v>
      </c>
      <c r="C623" t="s">
        <v>445</v>
      </c>
      <c r="D623" t="s">
        <v>444</v>
      </c>
      <c r="F623" t="s">
        <v>11</v>
      </c>
      <c r="G623" t="s">
        <v>10</v>
      </c>
      <c r="H623" t="s">
        <v>22</v>
      </c>
      <c r="I623" s="10" t="s">
        <v>8</v>
      </c>
      <c r="J623" t="s">
        <v>8</v>
      </c>
      <c r="K623" s="10" t="e">
        <f t="shared" si="9"/>
        <v>#VALUE!</v>
      </c>
    </row>
    <row r="624" spans="1:11" x14ac:dyDescent="0.35">
      <c r="A624" t="s">
        <v>15</v>
      </c>
      <c r="B624" s="3">
        <v>45869</v>
      </c>
      <c r="C624" t="s">
        <v>443</v>
      </c>
      <c r="D624" t="s">
        <v>442</v>
      </c>
      <c r="F624" t="s">
        <v>11</v>
      </c>
      <c r="G624" t="s">
        <v>10</v>
      </c>
      <c r="H624" t="s">
        <v>22</v>
      </c>
      <c r="I624" s="10" t="s">
        <v>8</v>
      </c>
      <c r="J624" t="s">
        <v>8</v>
      </c>
      <c r="K624" s="10" t="e">
        <f t="shared" si="9"/>
        <v>#VALUE!</v>
      </c>
    </row>
    <row r="625" spans="1:11" x14ac:dyDescent="0.35">
      <c r="A625" t="s">
        <v>15</v>
      </c>
      <c r="B625" s="3">
        <v>45882</v>
      </c>
      <c r="C625" t="s">
        <v>441</v>
      </c>
      <c r="D625" t="s">
        <v>440</v>
      </c>
      <c r="E625" t="s">
        <v>439</v>
      </c>
      <c r="F625" t="s">
        <v>11</v>
      </c>
      <c r="G625" t="s">
        <v>25</v>
      </c>
      <c r="H625" t="s">
        <v>9</v>
      </c>
      <c r="I625" s="10" t="s">
        <v>8</v>
      </c>
      <c r="J625" t="s">
        <v>8</v>
      </c>
      <c r="K625" s="10" t="e">
        <f t="shared" si="9"/>
        <v>#VALUE!</v>
      </c>
    </row>
    <row r="626" spans="1:11" x14ac:dyDescent="0.35">
      <c r="A626" t="s">
        <v>15</v>
      </c>
      <c r="B626" s="3">
        <v>45882</v>
      </c>
      <c r="C626" t="s">
        <v>438</v>
      </c>
      <c r="D626" t="s">
        <v>437</v>
      </c>
      <c r="F626" t="s">
        <v>11</v>
      </c>
      <c r="G626" t="s">
        <v>10</v>
      </c>
      <c r="H626" t="s">
        <v>22</v>
      </c>
      <c r="I626" s="10" t="s">
        <v>8</v>
      </c>
      <c r="J626" t="s">
        <v>8</v>
      </c>
      <c r="K626" s="10" t="e">
        <f t="shared" si="9"/>
        <v>#VALUE!</v>
      </c>
    </row>
    <row r="627" spans="1:11" x14ac:dyDescent="0.35">
      <c r="A627" t="s">
        <v>15</v>
      </c>
      <c r="B627" s="3">
        <v>45883</v>
      </c>
      <c r="C627" t="s">
        <v>436</v>
      </c>
      <c r="D627" t="s">
        <v>23</v>
      </c>
      <c r="F627" t="s">
        <v>11</v>
      </c>
      <c r="G627" t="s">
        <v>10</v>
      </c>
      <c r="H627" t="s">
        <v>22</v>
      </c>
      <c r="I627" s="10" t="s">
        <v>8</v>
      </c>
      <c r="J627" t="s">
        <v>8</v>
      </c>
      <c r="K627" s="10" t="e">
        <f t="shared" si="9"/>
        <v>#VALUE!</v>
      </c>
    </row>
    <row r="628" spans="1:11" x14ac:dyDescent="0.35">
      <c r="A628" t="s">
        <v>15</v>
      </c>
      <c r="B628" s="3">
        <v>45883</v>
      </c>
      <c r="C628" t="s">
        <v>435</v>
      </c>
      <c r="D628" t="s">
        <v>434</v>
      </c>
      <c r="E628" t="s">
        <v>433</v>
      </c>
      <c r="F628" t="s">
        <v>11</v>
      </c>
      <c r="G628" t="s">
        <v>10</v>
      </c>
      <c r="H628" t="s">
        <v>22</v>
      </c>
      <c r="I628" s="10" t="s">
        <v>8</v>
      </c>
      <c r="J628" t="s">
        <v>8</v>
      </c>
      <c r="K628" s="10" t="e">
        <f t="shared" si="9"/>
        <v>#VALUE!</v>
      </c>
    </row>
    <row r="629" spans="1:11" x14ac:dyDescent="0.35">
      <c r="A629" t="s">
        <v>15</v>
      </c>
      <c r="B629" s="3">
        <v>45840</v>
      </c>
      <c r="C629" t="s">
        <v>432</v>
      </c>
      <c r="D629" t="s">
        <v>431</v>
      </c>
      <c r="F629" t="s">
        <v>11</v>
      </c>
      <c r="G629" t="s">
        <v>10</v>
      </c>
      <c r="H629" t="s">
        <v>22</v>
      </c>
      <c r="I629" s="10" t="s">
        <v>8</v>
      </c>
      <c r="J629" t="s">
        <v>8</v>
      </c>
      <c r="K629" s="10" t="e">
        <f t="shared" si="9"/>
        <v>#VALUE!</v>
      </c>
    </row>
    <row r="630" spans="1:11" x14ac:dyDescent="0.35">
      <c r="A630" t="s">
        <v>15</v>
      </c>
      <c r="B630" s="3">
        <v>45876</v>
      </c>
      <c r="C630" t="s">
        <v>430</v>
      </c>
      <c r="D630" t="s">
        <v>429</v>
      </c>
      <c r="E630" t="s">
        <v>428</v>
      </c>
      <c r="F630" t="s">
        <v>11</v>
      </c>
      <c r="G630" t="s">
        <v>10</v>
      </c>
      <c r="H630" t="s">
        <v>22</v>
      </c>
      <c r="I630" s="10" t="s">
        <v>8</v>
      </c>
      <c r="J630" t="s">
        <v>8</v>
      </c>
      <c r="K630" s="10" t="e">
        <f t="shared" si="9"/>
        <v>#VALUE!</v>
      </c>
    </row>
    <row r="631" spans="1:11" x14ac:dyDescent="0.35">
      <c r="A631" t="s">
        <v>15</v>
      </c>
      <c r="B631" s="3">
        <v>45877</v>
      </c>
      <c r="C631" t="s">
        <v>427</v>
      </c>
      <c r="D631" t="s">
        <v>12</v>
      </c>
      <c r="F631" t="s">
        <v>11</v>
      </c>
      <c r="G631" t="s">
        <v>10</v>
      </c>
      <c r="H631" t="s">
        <v>33</v>
      </c>
      <c r="I631" s="10" t="s">
        <v>8</v>
      </c>
      <c r="J631" t="s">
        <v>8</v>
      </c>
      <c r="K631" s="10" t="e">
        <f t="shared" si="9"/>
        <v>#VALUE!</v>
      </c>
    </row>
    <row r="632" spans="1:11" x14ac:dyDescent="0.35">
      <c r="A632" t="s">
        <v>15</v>
      </c>
      <c r="B632" s="3">
        <v>45573</v>
      </c>
      <c r="C632" t="s">
        <v>426</v>
      </c>
      <c r="D632" t="s">
        <v>425</v>
      </c>
      <c r="E632" t="s">
        <v>424</v>
      </c>
      <c r="F632" t="s">
        <v>11</v>
      </c>
      <c r="G632" t="s">
        <v>10</v>
      </c>
      <c r="H632" t="s">
        <v>22</v>
      </c>
      <c r="I632" s="10" t="s">
        <v>8</v>
      </c>
      <c r="J632" t="s">
        <v>8</v>
      </c>
      <c r="K632" s="10" t="e">
        <f t="shared" si="9"/>
        <v>#VALUE!</v>
      </c>
    </row>
    <row r="633" spans="1:11" x14ac:dyDescent="0.35">
      <c r="A633" t="s">
        <v>15</v>
      </c>
      <c r="B633" s="3">
        <v>45552</v>
      </c>
      <c r="C633" t="s">
        <v>423</v>
      </c>
      <c r="D633" t="s">
        <v>422</v>
      </c>
      <c r="E633" t="s">
        <v>421</v>
      </c>
      <c r="F633" t="s">
        <v>11</v>
      </c>
      <c r="G633" t="s">
        <v>10</v>
      </c>
      <c r="H633" t="s">
        <v>22</v>
      </c>
      <c r="I633" s="10" t="s">
        <v>8</v>
      </c>
      <c r="J633" t="s">
        <v>8</v>
      </c>
      <c r="K633" s="10" t="e">
        <f t="shared" si="9"/>
        <v>#VALUE!</v>
      </c>
    </row>
    <row r="634" spans="1:11" x14ac:dyDescent="0.35">
      <c r="A634" t="s">
        <v>15</v>
      </c>
      <c r="B634" s="3">
        <v>45775</v>
      </c>
      <c r="C634" t="s">
        <v>420</v>
      </c>
      <c r="D634" t="s">
        <v>419</v>
      </c>
      <c r="F634" t="s">
        <v>11</v>
      </c>
      <c r="G634" t="s">
        <v>10</v>
      </c>
      <c r="H634" t="s">
        <v>22</v>
      </c>
      <c r="I634" s="10" t="s">
        <v>8</v>
      </c>
      <c r="J634" t="s">
        <v>8</v>
      </c>
      <c r="K634" s="10" t="e">
        <f t="shared" si="9"/>
        <v>#VALUE!</v>
      </c>
    </row>
    <row r="635" spans="1:11" x14ac:dyDescent="0.35">
      <c r="A635" t="s">
        <v>15</v>
      </c>
      <c r="B635" s="3">
        <v>45888</v>
      </c>
      <c r="C635" t="s">
        <v>418</v>
      </c>
      <c r="D635" t="s">
        <v>417</v>
      </c>
      <c r="F635" t="s">
        <v>11</v>
      </c>
      <c r="G635" t="s">
        <v>10</v>
      </c>
      <c r="H635" t="s">
        <v>22</v>
      </c>
      <c r="I635" s="10" t="s">
        <v>8</v>
      </c>
      <c r="J635" t="s">
        <v>8</v>
      </c>
      <c r="K635" s="10" t="e">
        <f t="shared" si="9"/>
        <v>#VALUE!</v>
      </c>
    </row>
    <row r="636" spans="1:11" x14ac:dyDescent="0.35">
      <c r="A636" t="s">
        <v>15</v>
      </c>
      <c r="B636" s="3">
        <v>45560</v>
      </c>
      <c r="C636" t="s">
        <v>416</v>
      </c>
      <c r="D636" t="s">
        <v>415</v>
      </c>
      <c r="E636" t="s">
        <v>414</v>
      </c>
      <c r="F636" t="s">
        <v>11</v>
      </c>
      <c r="G636" t="s">
        <v>10</v>
      </c>
      <c r="H636" t="s">
        <v>9</v>
      </c>
      <c r="I636" s="10" t="s">
        <v>8</v>
      </c>
      <c r="J636" t="s">
        <v>8</v>
      </c>
      <c r="K636" s="10" t="e">
        <f t="shared" si="9"/>
        <v>#VALUE!</v>
      </c>
    </row>
    <row r="637" spans="1:11" x14ac:dyDescent="0.35">
      <c r="A637" t="s">
        <v>15</v>
      </c>
      <c r="B637" s="3">
        <v>45579</v>
      </c>
      <c r="C637" t="s">
        <v>413</v>
      </c>
      <c r="D637" t="s">
        <v>412</v>
      </c>
      <c r="E637" t="s">
        <v>411</v>
      </c>
      <c r="F637" t="s">
        <v>11</v>
      </c>
      <c r="G637" t="s">
        <v>10</v>
      </c>
      <c r="H637" t="s">
        <v>9</v>
      </c>
      <c r="I637" s="10" t="s">
        <v>8</v>
      </c>
      <c r="J637" t="s">
        <v>8</v>
      </c>
      <c r="K637" s="10" t="e">
        <f t="shared" si="9"/>
        <v>#VALUE!</v>
      </c>
    </row>
    <row r="638" spans="1:11" x14ac:dyDescent="0.35">
      <c r="A638" t="s">
        <v>15</v>
      </c>
      <c r="B638" s="3">
        <v>45617</v>
      </c>
      <c r="C638" t="s">
        <v>410</v>
      </c>
      <c r="D638" t="s">
        <v>409</v>
      </c>
      <c r="F638" t="s">
        <v>11</v>
      </c>
      <c r="G638" t="s">
        <v>10</v>
      </c>
      <c r="H638" t="s">
        <v>9</v>
      </c>
      <c r="I638" s="10" t="s">
        <v>8</v>
      </c>
      <c r="J638" t="s">
        <v>8</v>
      </c>
      <c r="K638" s="10" t="e">
        <f t="shared" si="9"/>
        <v>#VALUE!</v>
      </c>
    </row>
    <row r="639" spans="1:11" x14ac:dyDescent="0.35">
      <c r="A639" t="s">
        <v>15</v>
      </c>
      <c r="B639" s="3">
        <v>45636</v>
      </c>
      <c r="C639" t="s">
        <v>408</v>
      </c>
      <c r="D639" t="s">
        <v>405</v>
      </c>
      <c r="E639" t="s">
        <v>407</v>
      </c>
      <c r="F639" t="s">
        <v>11</v>
      </c>
      <c r="G639" t="s">
        <v>10</v>
      </c>
      <c r="H639" t="s">
        <v>9</v>
      </c>
      <c r="I639" s="10" t="s">
        <v>8</v>
      </c>
      <c r="J639" t="s">
        <v>8</v>
      </c>
      <c r="K639" s="10" t="e">
        <f t="shared" si="9"/>
        <v>#VALUE!</v>
      </c>
    </row>
    <row r="640" spans="1:11" x14ac:dyDescent="0.35">
      <c r="A640" t="s">
        <v>15</v>
      </c>
      <c r="B640" s="3">
        <v>45826</v>
      </c>
      <c r="C640" t="s">
        <v>406</v>
      </c>
      <c r="D640" t="s">
        <v>405</v>
      </c>
      <c r="E640" t="s">
        <v>130</v>
      </c>
      <c r="F640" t="s">
        <v>11</v>
      </c>
      <c r="G640" t="s">
        <v>10</v>
      </c>
      <c r="H640" t="s">
        <v>22</v>
      </c>
      <c r="I640" s="10" t="s">
        <v>8</v>
      </c>
      <c r="J640" t="s">
        <v>8</v>
      </c>
      <c r="K640" s="10" t="e">
        <f t="shared" si="9"/>
        <v>#VALUE!</v>
      </c>
    </row>
    <row r="641" spans="1:11" x14ac:dyDescent="0.35">
      <c r="A641" t="s">
        <v>15</v>
      </c>
      <c r="B641" s="3">
        <v>45552</v>
      </c>
      <c r="C641" t="s">
        <v>404</v>
      </c>
      <c r="D641" t="s">
        <v>268</v>
      </c>
      <c r="E641" t="s">
        <v>403</v>
      </c>
      <c r="F641" t="s">
        <v>11</v>
      </c>
      <c r="G641" t="s">
        <v>10</v>
      </c>
      <c r="H641" t="s">
        <v>9</v>
      </c>
      <c r="I641" s="10" t="s">
        <v>8</v>
      </c>
      <c r="J641" t="s">
        <v>8</v>
      </c>
      <c r="K641" s="10" t="e">
        <f t="shared" si="9"/>
        <v>#VALUE!</v>
      </c>
    </row>
    <row r="642" spans="1:11" x14ac:dyDescent="0.35">
      <c r="A642" t="s">
        <v>15</v>
      </c>
      <c r="B642" s="3">
        <v>45624</v>
      </c>
      <c r="C642" t="s">
        <v>402</v>
      </c>
      <c r="D642" t="s">
        <v>401</v>
      </c>
      <c r="E642" t="s">
        <v>400</v>
      </c>
      <c r="F642" t="s">
        <v>11</v>
      </c>
      <c r="G642" t="s">
        <v>10</v>
      </c>
      <c r="H642" t="s">
        <v>9</v>
      </c>
      <c r="I642" s="10" t="s">
        <v>8</v>
      </c>
      <c r="J642" t="s">
        <v>8</v>
      </c>
      <c r="K642" s="10" t="e">
        <f t="shared" si="9"/>
        <v>#VALUE!</v>
      </c>
    </row>
    <row r="643" spans="1:11" x14ac:dyDescent="0.35">
      <c r="A643" t="s">
        <v>15</v>
      </c>
      <c r="B643" s="3">
        <v>45642</v>
      </c>
      <c r="C643" t="s">
        <v>399</v>
      </c>
      <c r="D643" t="s">
        <v>398</v>
      </c>
      <c r="F643" t="s">
        <v>11</v>
      </c>
      <c r="G643" t="s">
        <v>10</v>
      </c>
      <c r="H643" t="s">
        <v>9</v>
      </c>
      <c r="I643" s="10" t="s">
        <v>8</v>
      </c>
      <c r="J643" t="s">
        <v>8</v>
      </c>
      <c r="K643" s="10" t="e">
        <f t="shared" ref="K643:K706" si="10">1/J643</f>
        <v>#VALUE!</v>
      </c>
    </row>
    <row r="644" spans="1:11" x14ac:dyDescent="0.35">
      <c r="A644" t="s">
        <v>15</v>
      </c>
      <c r="B644" s="3">
        <v>45681</v>
      </c>
      <c r="C644" t="s">
        <v>397</v>
      </c>
      <c r="D644" t="s">
        <v>396</v>
      </c>
      <c r="E644" t="s">
        <v>395</v>
      </c>
      <c r="F644" t="s">
        <v>11</v>
      </c>
      <c r="G644" t="s">
        <v>10</v>
      </c>
      <c r="H644" t="s">
        <v>33</v>
      </c>
      <c r="I644" s="10" t="s">
        <v>8</v>
      </c>
      <c r="J644" t="s">
        <v>8</v>
      </c>
      <c r="K644" s="10" t="e">
        <f t="shared" si="10"/>
        <v>#VALUE!</v>
      </c>
    </row>
    <row r="645" spans="1:11" x14ac:dyDescent="0.35">
      <c r="A645" t="s">
        <v>15</v>
      </c>
      <c r="B645" s="3">
        <v>45565</v>
      </c>
      <c r="C645" t="s">
        <v>394</v>
      </c>
      <c r="D645" t="s">
        <v>393</v>
      </c>
      <c r="F645" t="s">
        <v>11</v>
      </c>
      <c r="G645" t="s">
        <v>10</v>
      </c>
      <c r="H645" t="s">
        <v>9</v>
      </c>
      <c r="I645" s="10" t="s">
        <v>8</v>
      </c>
      <c r="J645" t="s">
        <v>8</v>
      </c>
      <c r="K645" s="10" t="e">
        <f t="shared" si="10"/>
        <v>#VALUE!</v>
      </c>
    </row>
    <row r="646" spans="1:11" x14ac:dyDescent="0.35">
      <c r="A646" t="s">
        <v>15</v>
      </c>
      <c r="B646" s="3">
        <v>45639</v>
      </c>
      <c r="C646" t="s">
        <v>392</v>
      </c>
      <c r="D646" t="s">
        <v>391</v>
      </c>
      <c r="F646" t="s">
        <v>11</v>
      </c>
      <c r="G646" t="s">
        <v>10</v>
      </c>
      <c r="H646" t="s">
        <v>9</v>
      </c>
      <c r="I646" s="10" t="s">
        <v>8</v>
      </c>
      <c r="J646" t="s">
        <v>8</v>
      </c>
      <c r="K646" s="10" t="e">
        <f t="shared" si="10"/>
        <v>#VALUE!</v>
      </c>
    </row>
    <row r="647" spans="1:11" x14ac:dyDescent="0.35">
      <c r="A647" t="s">
        <v>15</v>
      </c>
      <c r="B647" s="3">
        <v>45595</v>
      </c>
      <c r="C647" t="s">
        <v>390</v>
      </c>
      <c r="D647" t="s">
        <v>312</v>
      </c>
      <c r="E647" t="s">
        <v>389</v>
      </c>
      <c r="F647" t="s">
        <v>11</v>
      </c>
      <c r="G647" t="s">
        <v>10</v>
      </c>
      <c r="H647" t="s">
        <v>9</v>
      </c>
      <c r="I647" s="10" t="s">
        <v>8</v>
      </c>
      <c r="J647" t="s">
        <v>8</v>
      </c>
      <c r="K647" s="10" t="e">
        <f t="shared" si="10"/>
        <v>#VALUE!</v>
      </c>
    </row>
    <row r="648" spans="1:11" x14ac:dyDescent="0.35">
      <c r="A648" t="s">
        <v>15</v>
      </c>
      <c r="B648" s="3">
        <v>45600</v>
      </c>
      <c r="C648" t="s">
        <v>388</v>
      </c>
      <c r="D648" t="s">
        <v>387</v>
      </c>
      <c r="E648" t="s">
        <v>386</v>
      </c>
      <c r="F648" t="s">
        <v>11</v>
      </c>
      <c r="G648" t="s">
        <v>10</v>
      </c>
      <c r="H648" t="s">
        <v>9</v>
      </c>
      <c r="I648" s="10" t="s">
        <v>8</v>
      </c>
      <c r="J648" t="s">
        <v>8</v>
      </c>
      <c r="K648" s="10" t="e">
        <f t="shared" si="10"/>
        <v>#VALUE!</v>
      </c>
    </row>
    <row r="649" spans="1:11" x14ac:dyDescent="0.35">
      <c r="A649" t="s">
        <v>15</v>
      </c>
      <c r="B649" s="3">
        <v>45600</v>
      </c>
      <c r="C649" t="s">
        <v>385</v>
      </c>
      <c r="D649" t="s">
        <v>384</v>
      </c>
      <c r="F649" t="s">
        <v>11</v>
      </c>
      <c r="G649" t="s">
        <v>10</v>
      </c>
      <c r="H649" t="s">
        <v>9</v>
      </c>
      <c r="I649" s="10" t="s">
        <v>8</v>
      </c>
      <c r="J649" t="s">
        <v>8</v>
      </c>
      <c r="K649" s="10" t="e">
        <f t="shared" si="10"/>
        <v>#VALUE!</v>
      </c>
    </row>
    <row r="650" spans="1:11" x14ac:dyDescent="0.35">
      <c r="A650" t="s">
        <v>15</v>
      </c>
      <c r="B650" s="3">
        <v>45601</v>
      </c>
      <c r="C650" t="s">
        <v>383</v>
      </c>
      <c r="D650" t="s">
        <v>382</v>
      </c>
      <c r="E650" t="s">
        <v>381</v>
      </c>
      <c r="F650" t="s">
        <v>11</v>
      </c>
      <c r="G650" t="s">
        <v>10</v>
      </c>
      <c r="H650" t="s">
        <v>9</v>
      </c>
      <c r="I650" s="10" t="s">
        <v>8</v>
      </c>
      <c r="J650" t="s">
        <v>8</v>
      </c>
      <c r="K650" s="10" t="e">
        <f t="shared" si="10"/>
        <v>#VALUE!</v>
      </c>
    </row>
    <row r="651" spans="1:11" x14ac:dyDescent="0.35">
      <c r="A651" t="s">
        <v>15</v>
      </c>
      <c r="B651" s="3">
        <v>45602</v>
      </c>
      <c r="C651" t="s">
        <v>380</v>
      </c>
      <c r="D651" t="s">
        <v>134</v>
      </c>
      <c r="E651" t="s">
        <v>379</v>
      </c>
      <c r="F651" t="s">
        <v>11</v>
      </c>
      <c r="G651" t="s">
        <v>10</v>
      </c>
      <c r="H651" t="s">
        <v>9</v>
      </c>
      <c r="I651" s="10" t="s">
        <v>8</v>
      </c>
      <c r="J651" t="s">
        <v>8</v>
      </c>
      <c r="K651" s="10" t="e">
        <f t="shared" si="10"/>
        <v>#VALUE!</v>
      </c>
    </row>
    <row r="652" spans="1:11" x14ac:dyDescent="0.35">
      <c r="A652" t="s">
        <v>15</v>
      </c>
      <c r="B652" s="3">
        <v>45601</v>
      </c>
      <c r="C652" t="s">
        <v>378</v>
      </c>
      <c r="D652" t="s">
        <v>280</v>
      </c>
      <c r="E652" t="s">
        <v>377</v>
      </c>
      <c r="F652" t="s">
        <v>11</v>
      </c>
      <c r="G652" t="s">
        <v>10</v>
      </c>
      <c r="H652" t="s">
        <v>9</v>
      </c>
      <c r="I652" s="10" t="s">
        <v>8</v>
      </c>
      <c r="J652" t="s">
        <v>8</v>
      </c>
      <c r="K652" s="10" t="e">
        <f t="shared" si="10"/>
        <v>#VALUE!</v>
      </c>
    </row>
    <row r="653" spans="1:11" x14ac:dyDescent="0.35">
      <c r="A653" t="s">
        <v>15</v>
      </c>
      <c r="B653" s="3">
        <v>45602</v>
      </c>
      <c r="C653" t="s">
        <v>376</v>
      </c>
      <c r="D653" t="s">
        <v>375</v>
      </c>
      <c r="E653" t="s">
        <v>374</v>
      </c>
      <c r="F653" t="s">
        <v>11</v>
      </c>
      <c r="G653" t="s">
        <v>373</v>
      </c>
      <c r="H653" t="s">
        <v>9</v>
      </c>
      <c r="I653" s="10" t="s">
        <v>8</v>
      </c>
      <c r="J653" t="s">
        <v>8</v>
      </c>
      <c r="K653" s="10" t="e">
        <f t="shared" si="10"/>
        <v>#VALUE!</v>
      </c>
    </row>
    <row r="654" spans="1:11" x14ac:dyDescent="0.35">
      <c r="A654" t="s">
        <v>15</v>
      </c>
      <c r="B654" s="3">
        <v>45719</v>
      </c>
      <c r="C654" t="s">
        <v>372</v>
      </c>
      <c r="D654" t="s">
        <v>371</v>
      </c>
      <c r="F654" t="s">
        <v>11</v>
      </c>
      <c r="G654" t="s">
        <v>10</v>
      </c>
      <c r="H654" t="s">
        <v>22</v>
      </c>
      <c r="I654" s="10" t="s">
        <v>8</v>
      </c>
      <c r="J654" t="s">
        <v>8</v>
      </c>
      <c r="K654" s="10" t="e">
        <f t="shared" si="10"/>
        <v>#VALUE!</v>
      </c>
    </row>
    <row r="655" spans="1:11" x14ac:dyDescent="0.35">
      <c r="A655" t="s">
        <v>15</v>
      </c>
      <c r="B655" s="3">
        <v>45580</v>
      </c>
      <c r="C655" t="s">
        <v>370</v>
      </c>
      <c r="D655" t="s">
        <v>369</v>
      </c>
      <c r="F655" t="s">
        <v>11</v>
      </c>
      <c r="G655" t="s">
        <v>10</v>
      </c>
      <c r="H655" t="s">
        <v>9</v>
      </c>
      <c r="I655" s="10" t="s">
        <v>8</v>
      </c>
      <c r="J655" t="s">
        <v>8</v>
      </c>
      <c r="K655" s="10" t="e">
        <f t="shared" si="10"/>
        <v>#VALUE!</v>
      </c>
    </row>
    <row r="656" spans="1:11" x14ac:dyDescent="0.35">
      <c r="A656" t="s">
        <v>15</v>
      </c>
      <c r="B656" s="3">
        <v>45831</v>
      </c>
      <c r="C656" t="s">
        <v>368</v>
      </c>
      <c r="D656" t="s">
        <v>367</v>
      </c>
      <c r="F656" t="s">
        <v>11</v>
      </c>
      <c r="G656" t="s">
        <v>10</v>
      </c>
      <c r="H656" t="s">
        <v>22</v>
      </c>
      <c r="I656" s="10" t="s">
        <v>8</v>
      </c>
      <c r="J656" t="s">
        <v>8</v>
      </c>
      <c r="K656" s="10" t="e">
        <f t="shared" si="10"/>
        <v>#VALUE!</v>
      </c>
    </row>
    <row r="657" spans="1:11" x14ac:dyDescent="0.35">
      <c r="A657" t="s">
        <v>15</v>
      </c>
      <c r="B657" s="3">
        <v>45882</v>
      </c>
      <c r="C657" t="s">
        <v>366</v>
      </c>
      <c r="D657" t="s">
        <v>365</v>
      </c>
      <c r="E657" t="s">
        <v>364</v>
      </c>
      <c r="F657" t="s">
        <v>11</v>
      </c>
      <c r="G657" t="s">
        <v>10</v>
      </c>
      <c r="H657" t="s">
        <v>22</v>
      </c>
      <c r="I657" s="10" t="s">
        <v>8</v>
      </c>
      <c r="J657" t="s">
        <v>8</v>
      </c>
      <c r="K657" s="10" t="e">
        <f t="shared" si="10"/>
        <v>#VALUE!</v>
      </c>
    </row>
    <row r="658" spans="1:11" x14ac:dyDescent="0.35">
      <c r="A658" t="s">
        <v>15</v>
      </c>
      <c r="B658" s="3">
        <v>45890</v>
      </c>
      <c r="C658" t="s">
        <v>363</v>
      </c>
      <c r="D658" t="s">
        <v>362</v>
      </c>
      <c r="E658" t="s">
        <v>361</v>
      </c>
      <c r="F658" t="s">
        <v>11</v>
      </c>
      <c r="G658" t="s">
        <v>10</v>
      </c>
      <c r="H658" t="s">
        <v>22</v>
      </c>
      <c r="I658" s="10" t="s">
        <v>8</v>
      </c>
      <c r="J658" t="s">
        <v>8</v>
      </c>
      <c r="K658" s="10" t="e">
        <f t="shared" si="10"/>
        <v>#VALUE!</v>
      </c>
    </row>
    <row r="659" spans="1:11" x14ac:dyDescent="0.35">
      <c r="A659" t="s">
        <v>15</v>
      </c>
      <c r="B659" s="3">
        <v>45617</v>
      </c>
      <c r="C659" t="s">
        <v>360</v>
      </c>
      <c r="D659" t="s">
        <v>359</v>
      </c>
      <c r="E659" t="s">
        <v>28</v>
      </c>
      <c r="F659" t="s">
        <v>11</v>
      </c>
      <c r="G659" t="s">
        <v>10</v>
      </c>
      <c r="H659" t="s">
        <v>9</v>
      </c>
      <c r="I659" s="10" t="s">
        <v>8</v>
      </c>
      <c r="J659" t="s">
        <v>8</v>
      </c>
      <c r="K659" s="10" t="e">
        <f t="shared" si="10"/>
        <v>#VALUE!</v>
      </c>
    </row>
    <row r="660" spans="1:11" x14ac:dyDescent="0.35">
      <c r="A660" t="s">
        <v>15</v>
      </c>
      <c r="B660" s="3">
        <v>45546</v>
      </c>
      <c r="C660" t="s">
        <v>358</v>
      </c>
      <c r="D660" t="s">
        <v>357</v>
      </c>
      <c r="E660" t="s">
        <v>356</v>
      </c>
      <c r="F660" t="s">
        <v>11</v>
      </c>
      <c r="G660" t="s">
        <v>10</v>
      </c>
      <c r="H660" t="s">
        <v>9</v>
      </c>
      <c r="I660" s="10" t="s">
        <v>8</v>
      </c>
      <c r="J660" t="s">
        <v>8</v>
      </c>
      <c r="K660" s="10" t="e">
        <f t="shared" si="10"/>
        <v>#VALUE!</v>
      </c>
    </row>
    <row r="661" spans="1:11" x14ac:dyDescent="0.35">
      <c r="A661" t="s">
        <v>15</v>
      </c>
      <c r="B661" s="3">
        <v>45548</v>
      </c>
      <c r="C661" t="s">
        <v>355</v>
      </c>
      <c r="D661" t="s">
        <v>143</v>
      </c>
      <c r="F661" t="s">
        <v>11</v>
      </c>
      <c r="G661" t="s">
        <v>10</v>
      </c>
      <c r="H661" t="s">
        <v>9</v>
      </c>
      <c r="I661" s="10" t="s">
        <v>8</v>
      </c>
      <c r="J661" t="s">
        <v>8</v>
      </c>
      <c r="K661" s="10" t="e">
        <f t="shared" si="10"/>
        <v>#VALUE!</v>
      </c>
    </row>
    <row r="662" spans="1:11" x14ac:dyDescent="0.35">
      <c r="A662" t="s">
        <v>15</v>
      </c>
      <c r="B662" s="3">
        <v>45561</v>
      </c>
      <c r="C662" t="s">
        <v>354</v>
      </c>
      <c r="D662" t="s">
        <v>353</v>
      </c>
      <c r="E662" t="s">
        <v>143</v>
      </c>
      <c r="F662" t="s">
        <v>11</v>
      </c>
      <c r="G662" t="s">
        <v>10</v>
      </c>
      <c r="H662" t="s">
        <v>9</v>
      </c>
      <c r="I662" s="10" t="s">
        <v>8</v>
      </c>
      <c r="J662" t="s">
        <v>8</v>
      </c>
      <c r="K662" s="10" t="e">
        <f t="shared" si="10"/>
        <v>#VALUE!</v>
      </c>
    </row>
    <row r="663" spans="1:11" x14ac:dyDescent="0.35">
      <c r="A663" t="s">
        <v>15</v>
      </c>
      <c r="B663" s="3">
        <v>45775</v>
      </c>
      <c r="C663" t="s">
        <v>352</v>
      </c>
      <c r="D663" t="s">
        <v>351</v>
      </c>
      <c r="E663" t="s">
        <v>350</v>
      </c>
      <c r="F663" t="s">
        <v>11</v>
      </c>
      <c r="G663" t="s">
        <v>10</v>
      </c>
      <c r="H663" t="s">
        <v>9</v>
      </c>
      <c r="I663" s="10" t="s">
        <v>8</v>
      </c>
      <c r="J663" t="s">
        <v>8</v>
      </c>
      <c r="K663" s="10" t="e">
        <f t="shared" si="10"/>
        <v>#VALUE!</v>
      </c>
    </row>
    <row r="664" spans="1:11" x14ac:dyDescent="0.35">
      <c r="A664" t="s">
        <v>15</v>
      </c>
      <c r="B664" s="3">
        <v>45681</v>
      </c>
      <c r="C664" t="s">
        <v>349</v>
      </c>
      <c r="D664" t="s">
        <v>12</v>
      </c>
      <c r="F664" t="s">
        <v>11</v>
      </c>
      <c r="G664" t="s">
        <v>10</v>
      </c>
      <c r="H664" t="s">
        <v>9</v>
      </c>
      <c r="I664" s="10" t="s">
        <v>8</v>
      </c>
      <c r="J664" t="s">
        <v>8</v>
      </c>
      <c r="K664" s="10" t="e">
        <f t="shared" si="10"/>
        <v>#VALUE!</v>
      </c>
    </row>
    <row r="665" spans="1:11" x14ac:dyDescent="0.35">
      <c r="A665" t="s">
        <v>15</v>
      </c>
      <c r="B665" s="3">
        <v>45876</v>
      </c>
      <c r="C665" t="s">
        <v>348</v>
      </c>
      <c r="D665" t="s">
        <v>347</v>
      </c>
      <c r="F665" t="s">
        <v>11</v>
      </c>
      <c r="G665" t="s">
        <v>10</v>
      </c>
      <c r="H665" t="s">
        <v>9</v>
      </c>
      <c r="I665" s="10" t="s">
        <v>8</v>
      </c>
      <c r="J665" t="s">
        <v>8</v>
      </c>
      <c r="K665" s="10" t="e">
        <f t="shared" si="10"/>
        <v>#VALUE!</v>
      </c>
    </row>
    <row r="666" spans="1:11" x14ac:dyDescent="0.35">
      <c r="A666" t="s">
        <v>15</v>
      </c>
      <c r="B666" s="3">
        <v>45741</v>
      </c>
      <c r="C666" t="s">
        <v>346</v>
      </c>
      <c r="D666" t="s">
        <v>217</v>
      </c>
      <c r="E666" t="s">
        <v>345</v>
      </c>
      <c r="F666" t="s">
        <v>11</v>
      </c>
      <c r="G666" t="s">
        <v>10</v>
      </c>
      <c r="H666" t="s">
        <v>9</v>
      </c>
      <c r="I666" s="10" t="s">
        <v>8</v>
      </c>
      <c r="J666" t="s">
        <v>8</v>
      </c>
      <c r="K666" s="10" t="e">
        <f t="shared" si="10"/>
        <v>#VALUE!</v>
      </c>
    </row>
    <row r="667" spans="1:11" x14ac:dyDescent="0.35">
      <c r="A667" t="s">
        <v>15</v>
      </c>
      <c r="B667" s="3">
        <v>45569</v>
      </c>
      <c r="C667" t="s">
        <v>344</v>
      </c>
      <c r="D667" t="s">
        <v>343</v>
      </c>
      <c r="E667" t="s">
        <v>342</v>
      </c>
      <c r="F667" t="s">
        <v>11</v>
      </c>
      <c r="G667" t="s">
        <v>10</v>
      </c>
      <c r="H667" t="s">
        <v>142</v>
      </c>
      <c r="I667" s="10" t="s">
        <v>8</v>
      </c>
      <c r="J667" t="s">
        <v>8</v>
      </c>
      <c r="K667" s="10" t="e">
        <f t="shared" si="10"/>
        <v>#VALUE!</v>
      </c>
    </row>
    <row r="668" spans="1:11" x14ac:dyDescent="0.35">
      <c r="A668" t="s">
        <v>15</v>
      </c>
      <c r="B668" s="3">
        <v>45840</v>
      </c>
      <c r="C668" t="s">
        <v>341</v>
      </c>
      <c r="D668" t="s">
        <v>340</v>
      </c>
      <c r="E668" t="s">
        <v>339</v>
      </c>
      <c r="F668" t="s">
        <v>11</v>
      </c>
      <c r="G668" t="s">
        <v>10</v>
      </c>
      <c r="H668" t="s">
        <v>9</v>
      </c>
      <c r="I668" s="10" t="s">
        <v>8</v>
      </c>
      <c r="J668" t="s">
        <v>8</v>
      </c>
      <c r="K668" s="10" t="e">
        <f t="shared" si="10"/>
        <v>#VALUE!</v>
      </c>
    </row>
    <row r="669" spans="1:11" x14ac:dyDescent="0.35">
      <c r="A669" t="s">
        <v>15</v>
      </c>
      <c r="B669" s="3">
        <v>45728</v>
      </c>
      <c r="C669" t="s">
        <v>338</v>
      </c>
      <c r="D669" t="s">
        <v>337</v>
      </c>
      <c r="F669" t="s">
        <v>11</v>
      </c>
      <c r="G669" t="s">
        <v>10</v>
      </c>
      <c r="H669" t="s">
        <v>9</v>
      </c>
      <c r="I669" s="10" t="s">
        <v>8</v>
      </c>
      <c r="J669" t="s">
        <v>8</v>
      </c>
      <c r="K669" s="10" t="e">
        <f t="shared" si="10"/>
        <v>#VALUE!</v>
      </c>
    </row>
    <row r="670" spans="1:11" x14ac:dyDescent="0.35">
      <c r="A670" t="s">
        <v>15</v>
      </c>
      <c r="B670" s="3">
        <v>45748</v>
      </c>
      <c r="C670" t="s">
        <v>336</v>
      </c>
      <c r="D670" t="s">
        <v>335</v>
      </c>
      <c r="F670" t="s">
        <v>11</v>
      </c>
      <c r="G670" t="s">
        <v>10</v>
      </c>
      <c r="H670" t="s">
        <v>9</v>
      </c>
      <c r="I670" s="10" t="s">
        <v>8</v>
      </c>
      <c r="J670" t="s">
        <v>8</v>
      </c>
      <c r="K670" s="10" t="e">
        <f t="shared" si="10"/>
        <v>#VALUE!</v>
      </c>
    </row>
    <row r="671" spans="1:11" x14ac:dyDescent="0.35">
      <c r="A671" t="s">
        <v>15</v>
      </c>
      <c r="B671" s="3">
        <v>45748</v>
      </c>
      <c r="C671" t="s">
        <v>334</v>
      </c>
      <c r="D671" t="s">
        <v>333</v>
      </c>
      <c r="E671" t="s">
        <v>332</v>
      </c>
      <c r="F671" t="s">
        <v>11</v>
      </c>
      <c r="G671" t="s">
        <v>10</v>
      </c>
      <c r="H671" t="s">
        <v>9</v>
      </c>
      <c r="I671" s="10" t="s">
        <v>8</v>
      </c>
      <c r="J671" t="s">
        <v>8</v>
      </c>
      <c r="K671" s="10" t="e">
        <f t="shared" si="10"/>
        <v>#VALUE!</v>
      </c>
    </row>
    <row r="672" spans="1:11" x14ac:dyDescent="0.35">
      <c r="A672" t="s">
        <v>15</v>
      </c>
      <c r="B672" s="3">
        <v>45790</v>
      </c>
      <c r="C672" t="s">
        <v>331</v>
      </c>
      <c r="D672" t="s">
        <v>312</v>
      </c>
      <c r="E672" t="s">
        <v>330</v>
      </c>
      <c r="F672" t="s">
        <v>11</v>
      </c>
      <c r="G672" t="s">
        <v>10</v>
      </c>
      <c r="H672" t="s">
        <v>9</v>
      </c>
      <c r="I672" s="10" t="s">
        <v>8</v>
      </c>
      <c r="J672" t="s">
        <v>8</v>
      </c>
      <c r="K672" s="10" t="e">
        <f t="shared" si="10"/>
        <v>#VALUE!</v>
      </c>
    </row>
    <row r="673" spans="1:11" x14ac:dyDescent="0.35">
      <c r="A673" t="s">
        <v>15</v>
      </c>
      <c r="B673" s="3">
        <v>45874</v>
      </c>
      <c r="C673" t="s">
        <v>329</v>
      </c>
      <c r="D673" t="s">
        <v>286</v>
      </c>
      <c r="E673" t="s">
        <v>328</v>
      </c>
      <c r="F673" t="s">
        <v>11</v>
      </c>
      <c r="G673" t="s">
        <v>10</v>
      </c>
      <c r="H673" t="s">
        <v>22</v>
      </c>
      <c r="I673" s="10" t="s">
        <v>8</v>
      </c>
      <c r="J673" t="s">
        <v>8</v>
      </c>
      <c r="K673" s="10" t="e">
        <f t="shared" si="10"/>
        <v>#VALUE!</v>
      </c>
    </row>
    <row r="674" spans="1:11" x14ac:dyDescent="0.35">
      <c r="A674" t="s">
        <v>15</v>
      </c>
      <c r="B674" s="3">
        <v>45888</v>
      </c>
      <c r="C674" t="s">
        <v>327</v>
      </c>
      <c r="D674" t="s">
        <v>326</v>
      </c>
      <c r="F674" t="s">
        <v>11</v>
      </c>
      <c r="G674" t="s">
        <v>10</v>
      </c>
      <c r="H674" t="s">
        <v>22</v>
      </c>
      <c r="I674" s="10" t="s">
        <v>8</v>
      </c>
      <c r="J674" t="s">
        <v>8</v>
      </c>
      <c r="K674" s="10" t="e">
        <f t="shared" si="10"/>
        <v>#VALUE!</v>
      </c>
    </row>
    <row r="675" spans="1:11" x14ac:dyDescent="0.35">
      <c r="A675" t="s">
        <v>15</v>
      </c>
      <c r="B675" s="3">
        <v>45873</v>
      </c>
      <c r="C675" t="s">
        <v>325</v>
      </c>
      <c r="D675" t="s">
        <v>324</v>
      </c>
      <c r="E675" t="s">
        <v>323</v>
      </c>
      <c r="F675" t="s">
        <v>11</v>
      </c>
      <c r="G675" t="s">
        <v>10</v>
      </c>
      <c r="H675" t="s">
        <v>22</v>
      </c>
      <c r="I675" s="10" t="s">
        <v>8</v>
      </c>
      <c r="J675" t="s">
        <v>8</v>
      </c>
      <c r="K675" s="10" t="e">
        <f t="shared" si="10"/>
        <v>#VALUE!</v>
      </c>
    </row>
    <row r="676" spans="1:11" x14ac:dyDescent="0.35">
      <c r="A676" t="s">
        <v>15</v>
      </c>
      <c r="B676" s="3">
        <v>45847</v>
      </c>
      <c r="C676" t="s">
        <v>322</v>
      </c>
      <c r="D676" t="s">
        <v>321</v>
      </c>
      <c r="E676" t="s">
        <v>320</v>
      </c>
      <c r="F676" t="s">
        <v>11</v>
      </c>
      <c r="G676" t="s">
        <v>10</v>
      </c>
      <c r="H676" t="s">
        <v>33</v>
      </c>
      <c r="I676" s="10" t="s">
        <v>8</v>
      </c>
      <c r="J676" t="s">
        <v>8</v>
      </c>
      <c r="K676" s="10" t="e">
        <f t="shared" si="10"/>
        <v>#VALUE!</v>
      </c>
    </row>
    <row r="677" spans="1:11" x14ac:dyDescent="0.35">
      <c r="A677" t="s">
        <v>15</v>
      </c>
      <c r="B677" s="3">
        <v>45559</v>
      </c>
      <c r="C677" t="s">
        <v>319</v>
      </c>
      <c r="D677" t="s">
        <v>318</v>
      </c>
      <c r="E677" t="s">
        <v>317</v>
      </c>
      <c r="F677" t="s">
        <v>11</v>
      </c>
      <c r="G677" t="s">
        <v>10</v>
      </c>
      <c r="H677" t="s">
        <v>9</v>
      </c>
      <c r="I677" s="10" t="s">
        <v>8</v>
      </c>
      <c r="J677" t="s">
        <v>8</v>
      </c>
      <c r="K677" s="10" t="e">
        <f t="shared" si="10"/>
        <v>#VALUE!</v>
      </c>
    </row>
    <row r="678" spans="1:11" x14ac:dyDescent="0.35">
      <c r="A678" t="s">
        <v>15</v>
      </c>
      <c r="B678" s="3">
        <v>45678</v>
      </c>
      <c r="C678" t="s">
        <v>316</v>
      </c>
      <c r="D678" t="s">
        <v>143</v>
      </c>
      <c r="F678" t="s">
        <v>11</v>
      </c>
      <c r="G678" t="s">
        <v>10</v>
      </c>
      <c r="H678" t="s">
        <v>9</v>
      </c>
      <c r="I678" s="10" t="s">
        <v>8</v>
      </c>
      <c r="J678" t="s">
        <v>8</v>
      </c>
      <c r="K678" s="10" t="e">
        <f t="shared" si="10"/>
        <v>#VALUE!</v>
      </c>
    </row>
    <row r="679" spans="1:11" x14ac:dyDescent="0.35">
      <c r="A679" t="s">
        <v>15</v>
      </c>
      <c r="B679" s="3">
        <v>45677</v>
      </c>
      <c r="C679" t="s">
        <v>315</v>
      </c>
      <c r="D679" t="s">
        <v>16</v>
      </c>
      <c r="E679" t="s">
        <v>314</v>
      </c>
      <c r="F679" t="s">
        <v>11</v>
      </c>
      <c r="G679" t="s">
        <v>10</v>
      </c>
      <c r="H679" t="s">
        <v>9</v>
      </c>
      <c r="I679" s="10" t="s">
        <v>8</v>
      </c>
      <c r="J679" t="s">
        <v>8</v>
      </c>
      <c r="K679" s="10" t="e">
        <f t="shared" si="10"/>
        <v>#VALUE!</v>
      </c>
    </row>
    <row r="680" spans="1:11" x14ac:dyDescent="0.35">
      <c r="A680" t="s">
        <v>15</v>
      </c>
      <c r="B680" s="3">
        <v>45673</v>
      </c>
      <c r="C680" t="s">
        <v>313</v>
      </c>
      <c r="D680" t="s">
        <v>312</v>
      </c>
      <c r="E680" t="s">
        <v>311</v>
      </c>
      <c r="F680" t="s">
        <v>11</v>
      </c>
      <c r="G680" t="s">
        <v>10</v>
      </c>
      <c r="H680" t="s">
        <v>9</v>
      </c>
      <c r="I680" s="10" t="s">
        <v>8</v>
      </c>
      <c r="J680" t="s">
        <v>8</v>
      </c>
      <c r="K680" s="10" t="e">
        <f t="shared" si="10"/>
        <v>#VALUE!</v>
      </c>
    </row>
    <row r="681" spans="1:11" x14ac:dyDescent="0.35">
      <c r="A681" t="s">
        <v>15</v>
      </c>
      <c r="B681" s="3">
        <v>45673</v>
      </c>
      <c r="C681" t="s">
        <v>310</v>
      </c>
      <c r="D681" t="s">
        <v>309</v>
      </c>
      <c r="E681" t="s">
        <v>308</v>
      </c>
      <c r="F681" t="s">
        <v>11</v>
      </c>
      <c r="G681" t="s">
        <v>10</v>
      </c>
      <c r="H681" t="s">
        <v>9</v>
      </c>
      <c r="I681" s="10" t="s">
        <v>8</v>
      </c>
      <c r="J681" t="s">
        <v>8</v>
      </c>
      <c r="K681" s="10" t="e">
        <f t="shared" si="10"/>
        <v>#VALUE!</v>
      </c>
    </row>
    <row r="682" spans="1:11" x14ac:dyDescent="0.35">
      <c r="A682" t="s">
        <v>15</v>
      </c>
      <c r="B682" s="3">
        <v>45670</v>
      </c>
      <c r="C682" t="s">
        <v>307</v>
      </c>
      <c r="D682" t="s">
        <v>306</v>
      </c>
      <c r="F682" t="s">
        <v>11</v>
      </c>
      <c r="G682" t="s">
        <v>10</v>
      </c>
      <c r="H682" t="s">
        <v>9</v>
      </c>
      <c r="I682" s="10" t="s">
        <v>8</v>
      </c>
      <c r="J682" t="s">
        <v>8</v>
      </c>
      <c r="K682" s="10" t="e">
        <f t="shared" si="10"/>
        <v>#VALUE!</v>
      </c>
    </row>
    <row r="683" spans="1:11" x14ac:dyDescent="0.35">
      <c r="A683" t="s">
        <v>15</v>
      </c>
      <c r="B683" s="3">
        <v>45665</v>
      </c>
      <c r="C683" t="s">
        <v>305</v>
      </c>
      <c r="D683" t="s">
        <v>304</v>
      </c>
      <c r="E683" t="s">
        <v>303</v>
      </c>
      <c r="F683" t="s">
        <v>11</v>
      </c>
      <c r="G683" t="s">
        <v>10</v>
      </c>
      <c r="H683" t="s">
        <v>9</v>
      </c>
      <c r="I683" s="10" t="s">
        <v>8</v>
      </c>
      <c r="J683" t="s">
        <v>8</v>
      </c>
      <c r="K683" s="10" t="e">
        <f t="shared" si="10"/>
        <v>#VALUE!</v>
      </c>
    </row>
    <row r="684" spans="1:11" x14ac:dyDescent="0.35">
      <c r="A684" t="s">
        <v>15</v>
      </c>
      <c r="B684" s="3">
        <v>45666</v>
      </c>
      <c r="C684" t="s">
        <v>302</v>
      </c>
      <c r="D684" t="s">
        <v>271</v>
      </c>
      <c r="E684" t="s">
        <v>206</v>
      </c>
      <c r="F684" t="s">
        <v>11</v>
      </c>
      <c r="G684" t="s">
        <v>10</v>
      </c>
      <c r="H684" t="s">
        <v>9</v>
      </c>
      <c r="I684" s="10" t="s">
        <v>8</v>
      </c>
      <c r="J684" t="s">
        <v>8</v>
      </c>
      <c r="K684" s="10" t="e">
        <f t="shared" si="10"/>
        <v>#VALUE!</v>
      </c>
    </row>
    <row r="685" spans="1:11" x14ac:dyDescent="0.35">
      <c r="A685" t="s">
        <v>15</v>
      </c>
      <c r="B685" s="3">
        <v>45667</v>
      </c>
      <c r="C685" t="s">
        <v>301</v>
      </c>
      <c r="D685" t="s">
        <v>300</v>
      </c>
      <c r="F685" t="s">
        <v>11</v>
      </c>
      <c r="G685" t="s">
        <v>10</v>
      </c>
      <c r="H685" t="s">
        <v>9</v>
      </c>
      <c r="I685" s="10" t="s">
        <v>8</v>
      </c>
      <c r="J685" t="s">
        <v>8</v>
      </c>
      <c r="K685" s="10" t="e">
        <f t="shared" si="10"/>
        <v>#VALUE!</v>
      </c>
    </row>
    <row r="686" spans="1:11" x14ac:dyDescent="0.35">
      <c r="A686" t="s">
        <v>15</v>
      </c>
      <c r="B686" s="3">
        <v>45681</v>
      </c>
      <c r="C686" t="s">
        <v>299</v>
      </c>
      <c r="D686" t="s">
        <v>298</v>
      </c>
      <c r="F686" t="s">
        <v>11</v>
      </c>
      <c r="G686" t="s">
        <v>10</v>
      </c>
      <c r="H686" t="s">
        <v>9</v>
      </c>
      <c r="I686" s="10" t="s">
        <v>8</v>
      </c>
      <c r="J686" t="s">
        <v>8</v>
      </c>
      <c r="K686" s="10" t="e">
        <f t="shared" si="10"/>
        <v>#VALUE!</v>
      </c>
    </row>
    <row r="687" spans="1:11" x14ac:dyDescent="0.35">
      <c r="A687" t="s">
        <v>15</v>
      </c>
      <c r="B687" s="3">
        <v>45678</v>
      </c>
      <c r="C687" t="s">
        <v>297</v>
      </c>
      <c r="D687" t="s">
        <v>296</v>
      </c>
      <c r="E687" t="s">
        <v>295</v>
      </c>
      <c r="F687" t="s">
        <v>11</v>
      </c>
      <c r="G687" t="s">
        <v>10</v>
      </c>
      <c r="H687" t="s">
        <v>9</v>
      </c>
      <c r="I687" s="10" t="s">
        <v>8</v>
      </c>
      <c r="J687" t="s">
        <v>8</v>
      </c>
      <c r="K687" s="10" t="e">
        <f t="shared" si="10"/>
        <v>#VALUE!</v>
      </c>
    </row>
    <row r="688" spans="1:11" x14ac:dyDescent="0.35">
      <c r="A688" t="s">
        <v>15</v>
      </c>
      <c r="B688" s="3">
        <v>45576</v>
      </c>
      <c r="C688" t="s">
        <v>294</v>
      </c>
      <c r="D688" t="s">
        <v>293</v>
      </c>
      <c r="E688" t="s">
        <v>292</v>
      </c>
      <c r="F688" t="s">
        <v>11</v>
      </c>
      <c r="G688" t="s">
        <v>10</v>
      </c>
      <c r="H688" t="s">
        <v>9</v>
      </c>
      <c r="I688" s="10" t="s">
        <v>8</v>
      </c>
      <c r="J688" t="s">
        <v>8</v>
      </c>
      <c r="K688" s="10" t="e">
        <f t="shared" si="10"/>
        <v>#VALUE!</v>
      </c>
    </row>
    <row r="689" spans="1:11" x14ac:dyDescent="0.35">
      <c r="A689" t="s">
        <v>15</v>
      </c>
      <c r="B689" s="3">
        <v>45553</v>
      </c>
      <c r="C689" t="s">
        <v>291</v>
      </c>
      <c r="D689" t="s">
        <v>290</v>
      </c>
      <c r="F689" t="s">
        <v>11</v>
      </c>
      <c r="G689" t="s">
        <v>10</v>
      </c>
      <c r="H689" t="s">
        <v>9</v>
      </c>
      <c r="I689" s="10" t="s">
        <v>8</v>
      </c>
      <c r="J689" t="s">
        <v>8</v>
      </c>
      <c r="K689" s="10" t="e">
        <f t="shared" si="10"/>
        <v>#VALUE!</v>
      </c>
    </row>
    <row r="690" spans="1:11" x14ac:dyDescent="0.35">
      <c r="A690" t="s">
        <v>15</v>
      </c>
      <c r="B690" s="3">
        <v>45629</v>
      </c>
      <c r="C690" t="s">
        <v>289</v>
      </c>
      <c r="D690" t="s">
        <v>288</v>
      </c>
      <c r="F690" t="s">
        <v>11</v>
      </c>
      <c r="G690" t="s">
        <v>10</v>
      </c>
      <c r="H690" t="s">
        <v>9</v>
      </c>
      <c r="I690" s="10" t="s">
        <v>8</v>
      </c>
      <c r="J690" t="s">
        <v>8</v>
      </c>
      <c r="K690" s="10" t="e">
        <f t="shared" si="10"/>
        <v>#VALUE!</v>
      </c>
    </row>
    <row r="691" spans="1:11" x14ac:dyDescent="0.35">
      <c r="A691" t="s">
        <v>15</v>
      </c>
      <c r="B691" s="3">
        <v>45720</v>
      </c>
      <c r="C691" t="s">
        <v>287</v>
      </c>
      <c r="D691" t="s">
        <v>286</v>
      </c>
      <c r="E691" t="s">
        <v>285</v>
      </c>
      <c r="F691" t="s">
        <v>11</v>
      </c>
      <c r="G691" t="s">
        <v>10</v>
      </c>
      <c r="H691" t="s">
        <v>9</v>
      </c>
      <c r="I691" s="10" t="s">
        <v>8</v>
      </c>
      <c r="J691" t="s">
        <v>8</v>
      </c>
      <c r="K691" s="10" t="e">
        <f t="shared" si="10"/>
        <v>#VALUE!</v>
      </c>
    </row>
    <row r="692" spans="1:11" x14ac:dyDescent="0.35">
      <c r="A692" t="s">
        <v>15</v>
      </c>
      <c r="B692" s="3">
        <v>45769</v>
      </c>
      <c r="C692" t="s">
        <v>284</v>
      </c>
      <c r="D692" t="s">
        <v>283</v>
      </c>
      <c r="E692" t="s">
        <v>282</v>
      </c>
      <c r="F692" t="s">
        <v>11</v>
      </c>
      <c r="G692" t="s">
        <v>10</v>
      </c>
      <c r="H692" t="s">
        <v>9</v>
      </c>
      <c r="I692" s="10" t="s">
        <v>8</v>
      </c>
      <c r="J692" t="s">
        <v>8</v>
      </c>
      <c r="K692" s="10" t="e">
        <f t="shared" si="10"/>
        <v>#VALUE!</v>
      </c>
    </row>
    <row r="693" spans="1:11" x14ac:dyDescent="0.35">
      <c r="A693" t="s">
        <v>15</v>
      </c>
      <c r="B693" s="3">
        <v>45769</v>
      </c>
      <c r="C693" t="s">
        <v>281</v>
      </c>
      <c r="D693" t="s">
        <v>280</v>
      </c>
      <c r="E693" t="s">
        <v>279</v>
      </c>
      <c r="F693" t="s">
        <v>11</v>
      </c>
      <c r="G693" t="s">
        <v>10</v>
      </c>
      <c r="H693" t="s">
        <v>9</v>
      </c>
      <c r="I693" s="10" t="s">
        <v>8</v>
      </c>
      <c r="J693" t="s">
        <v>8</v>
      </c>
      <c r="K693" s="10" t="e">
        <f t="shared" si="10"/>
        <v>#VALUE!</v>
      </c>
    </row>
    <row r="694" spans="1:11" x14ac:dyDescent="0.35">
      <c r="A694" t="s">
        <v>15</v>
      </c>
      <c r="B694" s="3">
        <v>45832</v>
      </c>
      <c r="C694" t="s">
        <v>278</v>
      </c>
      <c r="D694" t="s">
        <v>277</v>
      </c>
      <c r="E694" t="s">
        <v>217</v>
      </c>
      <c r="F694" t="s">
        <v>11</v>
      </c>
      <c r="G694" t="s">
        <v>10</v>
      </c>
      <c r="H694" t="s">
        <v>9</v>
      </c>
      <c r="I694" s="10" t="s">
        <v>8</v>
      </c>
      <c r="J694" t="s">
        <v>8</v>
      </c>
      <c r="K694" s="10" t="e">
        <f t="shared" si="10"/>
        <v>#VALUE!</v>
      </c>
    </row>
    <row r="695" spans="1:11" x14ac:dyDescent="0.35">
      <c r="A695" t="s">
        <v>15</v>
      </c>
      <c r="B695" s="3">
        <v>45706</v>
      </c>
      <c r="C695" t="s">
        <v>276</v>
      </c>
      <c r="D695" t="s">
        <v>275</v>
      </c>
      <c r="E695" t="s">
        <v>274</v>
      </c>
      <c r="F695" t="s">
        <v>11</v>
      </c>
      <c r="G695" t="s">
        <v>10</v>
      </c>
      <c r="H695" t="s">
        <v>9</v>
      </c>
      <c r="I695" s="10" t="s">
        <v>8</v>
      </c>
      <c r="J695" t="s">
        <v>8</v>
      </c>
      <c r="K695" s="10" t="e">
        <f t="shared" si="10"/>
        <v>#VALUE!</v>
      </c>
    </row>
    <row r="696" spans="1:11" x14ac:dyDescent="0.35">
      <c r="A696" t="s">
        <v>15</v>
      </c>
      <c r="B696" s="3">
        <v>45853</v>
      </c>
      <c r="C696" t="s">
        <v>273</v>
      </c>
      <c r="D696" t="s">
        <v>272</v>
      </c>
      <c r="E696" t="s">
        <v>271</v>
      </c>
      <c r="F696" t="s">
        <v>11</v>
      </c>
      <c r="G696" t="s">
        <v>10</v>
      </c>
      <c r="H696" t="s">
        <v>9</v>
      </c>
      <c r="I696" s="10" t="s">
        <v>8</v>
      </c>
      <c r="J696" t="s">
        <v>8</v>
      </c>
      <c r="K696" s="10" t="e">
        <f t="shared" si="10"/>
        <v>#VALUE!</v>
      </c>
    </row>
    <row r="697" spans="1:11" x14ac:dyDescent="0.35">
      <c r="A697" t="s">
        <v>15</v>
      </c>
      <c r="B697" s="3">
        <v>45846</v>
      </c>
      <c r="C697" t="s">
        <v>270</v>
      </c>
      <c r="D697" t="s">
        <v>269</v>
      </c>
      <c r="E697" t="s">
        <v>268</v>
      </c>
      <c r="F697" t="s">
        <v>11</v>
      </c>
      <c r="G697" t="s">
        <v>10</v>
      </c>
      <c r="H697" t="s">
        <v>9</v>
      </c>
      <c r="I697" s="10" t="s">
        <v>8</v>
      </c>
      <c r="J697" t="s">
        <v>8</v>
      </c>
      <c r="K697" s="10" t="e">
        <f t="shared" si="10"/>
        <v>#VALUE!</v>
      </c>
    </row>
    <row r="698" spans="1:11" x14ac:dyDescent="0.35">
      <c r="A698" t="s">
        <v>15</v>
      </c>
      <c r="B698" s="3">
        <v>45740</v>
      </c>
      <c r="C698" t="s">
        <v>267</v>
      </c>
      <c r="D698" t="s">
        <v>266</v>
      </c>
      <c r="F698" t="s">
        <v>11</v>
      </c>
      <c r="G698" t="s">
        <v>10</v>
      </c>
      <c r="H698" t="s">
        <v>9</v>
      </c>
      <c r="I698" s="10" t="s">
        <v>8</v>
      </c>
      <c r="J698" t="s">
        <v>8</v>
      </c>
      <c r="K698" s="10" t="e">
        <f t="shared" si="10"/>
        <v>#VALUE!</v>
      </c>
    </row>
    <row r="699" spans="1:11" x14ac:dyDescent="0.35">
      <c r="A699" t="s">
        <v>15</v>
      </c>
      <c r="B699" s="3">
        <v>45792</v>
      </c>
      <c r="C699" t="s">
        <v>265</v>
      </c>
      <c r="D699" t="s">
        <v>235</v>
      </c>
      <c r="E699" t="s">
        <v>264</v>
      </c>
      <c r="F699" t="s">
        <v>11</v>
      </c>
      <c r="G699" t="s">
        <v>10</v>
      </c>
      <c r="H699" t="s">
        <v>9</v>
      </c>
      <c r="I699" s="10" t="s">
        <v>8</v>
      </c>
      <c r="J699" t="s">
        <v>8</v>
      </c>
      <c r="K699" s="10" t="e">
        <f t="shared" si="10"/>
        <v>#VALUE!</v>
      </c>
    </row>
    <row r="700" spans="1:11" x14ac:dyDescent="0.35">
      <c r="A700" t="s">
        <v>15</v>
      </c>
      <c r="B700" s="3">
        <v>45875</v>
      </c>
      <c r="C700" t="s">
        <v>263</v>
      </c>
      <c r="D700" t="s">
        <v>262</v>
      </c>
      <c r="F700" t="s">
        <v>11</v>
      </c>
      <c r="G700" t="s">
        <v>10</v>
      </c>
      <c r="H700" t="s">
        <v>9</v>
      </c>
      <c r="I700" s="10" t="s">
        <v>8</v>
      </c>
      <c r="J700" t="s">
        <v>8</v>
      </c>
      <c r="K700" s="10" t="e">
        <f t="shared" si="10"/>
        <v>#VALUE!</v>
      </c>
    </row>
    <row r="701" spans="1:11" x14ac:dyDescent="0.35">
      <c r="A701" t="s">
        <v>15</v>
      </c>
      <c r="B701" s="3">
        <v>45757</v>
      </c>
      <c r="C701" t="s">
        <v>261</v>
      </c>
      <c r="D701" t="s">
        <v>260</v>
      </c>
      <c r="E701" t="s">
        <v>259</v>
      </c>
      <c r="F701" t="s">
        <v>11</v>
      </c>
      <c r="G701" t="s">
        <v>10</v>
      </c>
      <c r="H701" t="s">
        <v>9</v>
      </c>
      <c r="I701" s="10" t="s">
        <v>8</v>
      </c>
      <c r="J701" t="s">
        <v>8</v>
      </c>
      <c r="K701" s="10" t="e">
        <f t="shared" si="10"/>
        <v>#VALUE!</v>
      </c>
    </row>
    <row r="702" spans="1:11" x14ac:dyDescent="0.35">
      <c r="A702" t="s">
        <v>15</v>
      </c>
      <c r="B702" s="3">
        <v>45758</v>
      </c>
      <c r="C702" t="s">
        <v>258</v>
      </c>
      <c r="D702" t="s">
        <v>257</v>
      </c>
      <c r="F702" t="s">
        <v>11</v>
      </c>
      <c r="G702" t="s">
        <v>10</v>
      </c>
      <c r="H702" t="s">
        <v>9</v>
      </c>
      <c r="I702" s="10" t="s">
        <v>8</v>
      </c>
      <c r="J702" t="s">
        <v>8</v>
      </c>
      <c r="K702" s="10" t="e">
        <f t="shared" si="10"/>
        <v>#VALUE!</v>
      </c>
    </row>
    <row r="703" spans="1:11" x14ac:dyDescent="0.35">
      <c r="A703" t="s">
        <v>15</v>
      </c>
      <c r="B703" s="3">
        <v>45877</v>
      </c>
      <c r="C703" t="s">
        <v>256</v>
      </c>
      <c r="D703" t="s">
        <v>255</v>
      </c>
      <c r="E703" t="s">
        <v>254</v>
      </c>
      <c r="F703" t="s">
        <v>11</v>
      </c>
      <c r="G703" t="s">
        <v>10</v>
      </c>
      <c r="H703" t="s">
        <v>9</v>
      </c>
      <c r="I703" s="10" t="s">
        <v>8</v>
      </c>
      <c r="J703" t="s">
        <v>8</v>
      </c>
      <c r="K703" s="10" t="e">
        <f t="shared" si="10"/>
        <v>#VALUE!</v>
      </c>
    </row>
    <row r="704" spans="1:11" x14ac:dyDescent="0.35">
      <c r="A704" t="s">
        <v>15</v>
      </c>
      <c r="B704" s="3">
        <v>45765</v>
      </c>
      <c r="C704" t="s">
        <v>253</v>
      </c>
      <c r="D704" t="s">
        <v>16</v>
      </c>
      <c r="E704" t="s">
        <v>252</v>
      </c>
      <c r="F704" t="s">
        <v>11</v>
      </c>
      <c r="G704" t="s">
        <v>10</v>
      </c>
      <c r="H704" t="s">
        <v>9</v>
      </c>
      <c r="I704" s="10" t="s">
        <v>8</v>
      </c>
      <c r="J704" t="s">
        <v>8</v>
      </c>
      <c r="K704" s="10" t="e">
        <f t="shared" si="10"/>
        <v>#VALUE!</v>
      </c>
    </row>
    <row r="705" spans="1:11" x14ac:dyDescent="0.35">
      <c r="A705" t="s">
        <v>15</v>
      </c>
      <c r="B705" s="3">
        <v>45789</v>
      </c>
      <c r="C705" t="s">
        <v>251</v>
      </c>
      <c r="D705" t="s">
        <v>186</v>
      </c>
      <c r="E705" t="s">
        <v>250</v>
      </c>
      <c r="F705" t="s">
        <v>11</v>
      </c>
      <c r="G705" t="s">
        <v>10</v>
      </c>
      <c r="H705" t="s">
        <v>9</v>
      </c>
      <c r="I705" s="10" t="s">
        <v>8</v>
      </c>
      <c r="J705" t="s">
        <v>8</v>
      </c>
      <c r="K705" s="10" t="e">
        <f t="shared" si="10"/>
        <v>#VALUE!</v>
      </c>
    </row>
    <row r="706" spans="1:11" x14ac:dyDescent="0.35">
      <c r="A706" t="s">
        <v>15</v>
      </c>
      <c r="B706" s="3">
        <v>45866</v>
      </c>
      <c r="C706" t="s">
        <v>249</v>
      </c>
      <c r="D706" t="s">
        <v>248</v>
      </c>
      <c r="E706" t="s">
        <v>247</v>
      </c>
      <c r="F706" t="s">
        <v>11</v>
      </c>
      <c r="G706" t="s">
        <v>10</v>
      </c>
      <c r="H706" t="s">
        <v>9</v>
      </c>
      <c r="I706" s="10" t="s">
        <v>8</v>
      </c>
      <c r="J706" t="s">
        <v>8</v>
      </c>
      <c r="K706" s="10" t="e">
        <f t="shared" si="10"/>
        <v>#VALUE!</v>
      </c>
    </row>
    <row r="707" spans="1:11" x14ac:dyDescent="0.35">
      <c r="A707" t="s">
        <v>15</v>
      </c>
      <c r="B707" s="3">
        <v>45883</v>
      </c>
      <c r="C707" t="s">
        <v>246</v>
      </c>
      <c r="D707" t="s">
        <v>245</v>
      </c>
      <c r="F707" t="s">
        <v>11</v>
      </c>
      <c r="G707" t="s">
        <v>10</v>
      </c>
      <c r="H707" t="s">
        <v>9</v>
      </c>
      <c r="I707" s="10" t="s">
        <v>8</v>
      </c>
      <c r="J707" t="s">
        <v>8</v>
      </c>
      <c r="K707" s="10" t="e">
        <f t="shared" ref="K707:K770" si="11">1/J707</f>
        <v>#VALUE!</v>
      </c>
    </row>
    <row r="708" spans="1:11" x14ac:dyDescent="0.35">
      <c r="A708" t="s">
        <v>15</v>
      </c>
      <c r="B708" s="3">
        <v>45883</v>
      </c>
      <c r="C708" t="s">
        <v>244</v>
      </c>
      <c r="D708" t="s">
        <v>243</v>
      </c>
      <c r="F708" t="s">
        <v>11</v>
      </c>
      <c r="G708" t="s">
        <v>10</v>
      </c>
      <c r="H708" t="s">
        <v>9</v>
      </c>
      <c r="I708" s="10" t="s">
        <v>8</v>
      </c>
      <c r="J708" t="s">
        <v>8</v>
      </c>
      <c r="K708" s="10" t="e">
        <f t="shared" si="11"/>
        <v>#VALUE!</v>
      </c>
    </row>
    <row r="709" spans="1:11" x14ac:dyDescent="0.35">
      <c r="A709" t="s">
        <v>15</v>
      </c>
      <c r="B709" s="3">
        <v>45825</v>
      </c>
      <c r="C709" t="s">
        <v>242</v>
      </c>
      <c r="D709" t="s">
        <v>241</v>
      </c>
      <c r="E709" t="s">
        <v>240</v>
      </c>
      <c r="F709" t="s">
        <v>11</v>
      </c>
      <c r="G709" t="s">
        <v>10</v>
      </c>
      <c r="H709" t="s">
        <v>22</v>
      </c>
      <c r="I709" s="10" t="s">
        <v>8</v>
      </c>
      <c r="J709" t="s">
        <v>8</v>
      </c>
      <c r="K709" s="10" t="e">
        <f t="shared" si="11"/>
        <v>#VALUE!</v>
      </c>
    </row>
    <row r="710" spans="1:11" x14ac:dyDescent="0.35">
      <c r="A710" t="s">
        <v>15</v>
      </c>
      <c r="B710" s="3">
        <v>45722</v>
      </c>
      <c r="C710" t="s">
        <v>239</v>
      </c>
      <c r="D710" t="s">
        <v>238</v>
      </c>
      <c r="E710" t="s">
        <v>237</v>
      </c>
      <c r="F710" t="s">
        <v>11</v>
      </c>
      <c r="G710" t="s">
        <v>10</v>
      </c>
      <c r="H710" t="s">
        <v>9</v>
      </c>
      <c r="I710" s="10" t="s">
        <v>8</v>
      </c>
      <c r="J710" t="s">
        <v>8</v>
      </c>
      <c r="K710" s="10" t="e">
        <f t="shared" si="11"/>
        <v>#VALUE!</v>
      </c>
    </row>
    <row r="711" spans="1:11" x14ac:dyDescent="0.35">
      <c r="A711" t="s">
        <v>15</v>
      </c>
      <c r="B711" s="3">
        <v>45870</v>
      </c>
      <c r="C711" t="s">
        <v>236</v>
      </c>
      <c r="D711" t="s">
        <v>235</v>
      </c>
      <c r="E711" t="s">
        <v>234</v>
      </c>
      <c r="F711" t="s">
        <v>11</v>
      </c>
      <c r="G711" t="s">
        <v>10</v>
      </c>
      <c r="H711" t="s">
        <v>9</v>
      </c>
      <c r="I711" s="10" t="s">
        <v>8</v>
      </c>
      <c r="J711" t="s">
        <v>8</v>
      </c>
      <c r="K711" s="10" t="e">
        <f t="shared" si="11"/>
        <v>#VALUE!</v>
      </c>
    </row>
    <row r="712" spans="1:11" x14ac:dyDescent="0.35">
      <c r="A712" t="s">
        <v>15</v>
      </c>
      <c r="B712" s="3">
        <v>45824</v>
      </c>
      <c r="C712" t="s">
        <v>233</v>
      </c>
      <c r="D712" t="s">
        <v>143</v>
      </c>
      <c r="E712" t="s">
        <v>232</v>
      </c>
      <c r="F712" t="s">
        <v>11</v>
      </c>
      <c r="G712" t="s">
        <v>10</v>
      </c>
      <c r="H712" t="s">
        <v>9</v>
      </c>
      <c r="I712" s="10" t="s">
        <v>8</v>
      </c>
      <c r="J712" t="s">
        <v>8</v>
      </c>
      <c r="K712" s="10" t="e">
        <f t="shared" si="11"/>
        <v>#VALUE!</v>
      </c>
    </row>
    <row r="713" spans="1:11" x14ac:dyDescent="0.35">
      <c r="A713" t="s">
        <v>15</v>
      </c>
      <c r="B713" s="3">
        <v>45824</v>
      </c>
      <c r="C713" t="s">
        <v>231</v>
      </c>
      <c r="D713" t="s">
        <v>230</v>
      </c>
      <c r="E713" t="s">
        <v>229</v>
      </c>
      <c r="F713" t="s">
        <v>11</v>
      </c>
      <c r="G713" t="s">
        <v>10</v>
      </c>
      <c r="H713" t="s">
        <v>9</v>
      </c>
      <c r="I713" s="10" t="s">
        <v>8</v>
      </c>
      <c r="J713" t="s">
        <v>8</v>
      </c>
      <c r="K713" s="10" t="e">
        <f t="shared" si="11"/>
        <v>#VALUE!</v>
      </c>
    </row>
    <row r="714" spans="1:11" x14ac:dyDescent="0.35">
      <c r="A714" t="s">
        <v>15</v>
      </c>
      <c r="B714" s="3">
        <v>45860</v>
      </c>
      <c r="C714" t="s">
        <v>228</v>
      </c>
      <c r="D714" t="s">
        <v>227</v>
      </c>
      <c r="E714" t="s">
        <v>130</v>
      </c>
      <c r="F714" t="s">
        <v>11</v>
      </c>
      <c r="G714" t="s">
        <v>10</v>
      </c>
      <c r="H714" t="s">
        <v>9</v>
      </c>
      <c r="I714" s="10" t="s">
        <v>8</v>
      </c>
      <c r="J714" t="s">
        <v>8</v>
      </c>
      <c r="K714" s="10" t="e">
        <f t="shared" si="11"/>
        <v>#VALUE!</v>
      </c>
    </row>
    <row r="715" spans="1:11" x14ac:dyDescent="0.35">
      <c r="A715" t="s">
        <v>15</v>
      </c>
      <c r="B715" s="3">
        <v>45897</v>
      </c>
      <c r="C715" t="s">
        <v>226</v>
      </c>
      <c r="D715" t="s">
        <v>75</v>
      </c>
      <c r="F715" t="s">
        <v>11</v>
      </c>
      <c r="G715" t="s">
        <v>10</v>
      </c>
      <c r="H715" t="s">
        <v>22</v>
      </c>
      <c r="I715" s="10" t="s">
        <v>8</v>
      </c>
      <c r="J715" t="s">
        <v>8</v>
      </c>
      <c r="K715" s="10" t="e">
        <f t="shared" si="11"/>
        <v>#VALUE!</v>
      </c>
    </row>
    <row r="716" spans="1:11" x14ac:dyDescent="0.35">
      <c r="A716" t="s">
        <v>15</v>
      </c>
      <c r="B716" s="3">
        <v>45896</v>
      </c>
      <c r="C716" t="s">
        <v>225</v>
      </c>
      <c r="D716" t="s">
        <v>224</v>
      </c>
      <c r="F716" t="s">
        <v>11</v>
      </c>
      <c r="G716" t="s">
        <v>10</v>
      </c>
      <c r="H716" t="s">
        <v>9</v>
      </c>
      <c r="I716" s="10" t="s">
        <v>8</v>
      </c>
      <c r="J716" t="s">
        <v>8</v>
      </c>
      <c r="K716" s="10" t="e">
        <f t="shared" si="11"/>
        <v>#VALUE!</v>
      </c>
    </row>
    <row r="717" spans="1:11" x14ac:dyDescent="0.35">
      <c r="A717" t="s">
        <v>15</v>
      </c>
      <c r="B717" s="3">
        <v>45876</v>
      </c>
      <c r="C717" t="s">
        <v>223</v>
      </c>
      <c r="D717" t="s">
        <v>155</v>
      </c>
      <c r="F717" t="s">
        <v>11</v>
      </c>
      <c r="G717" t="s">
        <v>10</v>
      </c>
      <c r="H717" t="s">
        <v>22</v>
      </c>
      <c r="I717" s="10" t="s">
        <v>8</v>
      </c>
      <c r="J717" t="s">
        <v>8</v>
      </c>
      <c r="K717" s="10" t="e">
        <f t="shared" si="11"/>
        <v>#VALUE!</v>
      </c>
    </row>
    <row r="718" spans="1:11" x14ac:dyDescent="0.35">
      <c r="A718" t="s">
        <v>15</v>
      </c>
      <c r="B718" s="3">
        <v>45649</v>
      </c>
      <c r="C718" t="s">
        <v>222</v>
      </c>
      <c r="D718" t="s">
        <v>12</v>
      </c>
      <c r="E718" t="s">
        <v>221</v>
      </c>
      <c r="F718" t="s">
        <v>11</v>
      </c>
      <c r="G718" t="s">
        <v>10</v>
      </c>
      <c r="H718" t="s">
        <v>22</v>
      </c>
      <c r="I718" s="10" t="s">
        <v>8</v>
      </c>
      <c r="J718" t="s">
        <v>8</v>
      </c>
      <c r="K718" s="10" t="e">
        <f t="shared" si="11"/>
        <v>#VALUE!</v>
      </c>
    </row>
    <row r="719" spans="1:11" x14ac:dyDescent="0.35">
      <c r="A719" t="s">
        <v>15</v>
      </c>
      <c r="B719" s="3">
        <v>45894</v>
      </c>
      <c r="C719" t="s">
        <v>220</v>
      </c>
      <c r="D719" t="s">
        <v>219</v>
      </c>
      <c r="F719" t="s">
        <v>11</v>
      </c>
      <c r="G719" t="s">
        <v>10</v>
      </c>
      <c r="H719" t="s">
        <v>22</v>
      </c>
      <c r="I719" s="10" t="s">
        <v>8</v>
      </c>
      <c r="J719" t="s">
        <v>8</v>
      </c>
      <c r="K719" s="10" t="e">
        <f t="shared" si="11"/>
        <v>#VALUE!</v>
      </c>
    </row>
    <row r="720" spans="1:11" x14ac:dyDescent="0.35">
      <c r="A720" t="s">
        <v>15</v>
      </c>
      <c r="B720" s="3">
        <v>45898</v>
      </c>
      <c r="C720" t="s">
        <v>218</v>
      </c>
      <c r="D720" t="s">
        <v>217</v>
      </c>
      <c r="E720" t="s">
        <v>216</v>
      </c>
      <c r="F720" t="s">
        <v>11</v>
      </c>
      <c r="G720" t="s">
        <v>10</v>
      </c>
      <c r="H720" t="s">
        <v>9</v>
      </c>
      <c r="I720" s="10" t="s">
        <v>8</v>
      </c>
      <c r="J720" t="s">
        <v>8</v>
      </c>
      <c r="K720" s="10" t="e">
        <f t="shared" si="11"/>
        <v>#VALUE!</v>
      </c>
    </row>
    <row r="721" spans="1:11" x14ac:dyDescent="0.35">
      <c r="A721" t="s">
        <v>15</v>
      </c>
      <c r="B721" s="3">
        <v>45810</v>
      </c>
      <c r="C721" t="s">
        <v>215</v>
      </c>
      <c r="D721" t="s">
        <v>214</v>
      </c>
      <c r="F721" t="s">
        <v>11</v>
      </c>
      <c r="G721" t="s">
        <v>10</v>
      </c>
      <c r="H721" t="s">
        <v>22</v>
      </c>
      <c r="I721" s="10" t="s">
        <v>8</v>
      </c>
      <c r="J721" t="s">
        <v>8</v>
      </c>
      <c r="K721" s="10" t="e">
        <f t="shared" si="11"/>
        <v>#VALUE!</v>
      </c>
    </row>
    <row r="722" spans="1:11" x14ac:dyDescent="0.35">
      <c r="A722" t="s">
        <v>15</v>
      </c>
      <c r="B722" s="3">
        <v>45894</v>
      </c>
      <c r="C722" t="s">
        <v>213</v>
      </c>
      <c r="D722" t="s">
        <v>212</v>
      </c>
      <c r="E722" t="s">
        <v>211</v>
      </c>
      <c r="F722" t="s">
        <v>11</v>
      </c>
      <c r="G722" t="s">
        <v>10</v>
      </c>
      <c r="H722" t="s">
        <v>22</v>
      </c>
      <c r="I722" s="10" t="s">
        <v>8</v>
      </c>
      <c r="J722" t="s">
        <v>8</v>
      </c>
      <c r="K722" s="10" t="e">
        <f t="shared" si="11"/>
        <v>#VALUE!</v>
      </c>
    </row>
    <row r="723" spans="1:11" x14ac:dyDescent="0.35">
      <c r="A723" t="s">
        <v>15</v>
      </c>
      <c r="B723" s="3">
        <v>45828</v>
      </c>
      <c r="C723" t="s">
        <v>210</v>
      </c>
      <c r="D723" t="s">
        <v>209</v>
      </c>
      <c r="E723" t="s">
        <v>208</v>
      </c>
      <c r="F723" t="s">
        <v>11</v>
      </c>
      <c r="G723" t="s">
        <v>10</v>
      </c>
      <c r="H723" t="s">
        <v>33</v>
      </c>
      <c r="I723" s="10" t="s">
        <v>8</v>
      </c>
      <c r="J723" t="s">
        <v>8</v>
      </c>
      <c r="K723" s="10" t="e">
        <f t="shared" si="11"/>
        <v>#VALUE!</v>
      </c>
    </row>
    <row r="724" spans="1:11" x14ac:dyDescent="0.35">
      <c r="A724" t="s">
        <v>15</v>
      </c>
      <c r="B724" s="3">
        <v>45866</v>
      </c>
      <c r="C724" t="s">
        <v>207</v>
      </c>
      <c r="D724" t="s">
        <v>206</v>
      </c>
      <c r="E724" t="s">
        <v>205</v>
      </c>
      <c r="F724" t="s">
        <v>11</v>
      </c>
      <c r="G724" t="s">
        <v>10</v>
      </c>
      <c r="H724" t="s">
        <v>22</v>
      </c>
      <c r="I724" s="10" t="s">
        <v>8</v>
      </c>
      <c r="J724" t="s">
        <v>8</v>
      </c>
      <c r="K724" s="10" t="e">
        <f t="shared" si="11"/>
        <v>#VALUE!</v>
      </c>
    </row>
    <row r="725" spans="1:11" x14ac:dyDescent="0.35">
      <c r="A725" t="s">
        <v>15</v>
      </c>
      <c r="B725" s="3">
        <v>45563</v>
      </c>
      <c r="C725" t="s">
        <v>204</v>
      </c>
      <c r="D725" t="s">
        <v>203</v>
      </c>
      <c r="E725" t="s">
        <v>202</v>
      </c>
      <c r="F725" t="s">
        <v>11</v>
      </c>
      <c r="G725" t="s">
        <v>10</v>
      </c>
      <c r="H725" t="s">
        <v>142</v>
      </c>
      <c r="I725" s="10" t="s">
        <v>8</v>
      </c>
      <c r="J725" t="s">
        <v>8</v>
      </c>
      <c r="K725" s="10" t="e">
        <f t="shared" si="11"/>
        <v>#VALUE!</v>
      </c>
    </row>
    <row r="726" spans="1:11" x14ac:dyDescent="0.35">
      <c r="A726" t="s">
        <v>15</v>
      </c>
      <c r="B726" s="3">
        <v>45581</v>
      </c>
      <c r="C726" t="s">
        <v>201</v>
      </c>
      <c r="D726" t="s">
        <v>16</v>
      </c>
      <c r="F726" t="s">
        <v>11</v>
      </c>
      <c r="G726" t="s">
        <v>10</v>
      </c>
      <c r="H726" t="s">
        <v>142</v>
      </c>
      <c r="I726" s="10" t="s">
        <v>8</v>
      </c>
      <c r="J726" t="s">
        <v>8</v>
      </c>
      <c r="K726" s="10" t="e">
        <f t="shared" si="11"/>
        <v>#VALUE!</v>
      </c>
    </row>
    <row r="727" spans="1:11" x14ac:dyDescent="0.35">
      <c r="A727" t="s">
        <v>15</v>
      </c>
      <c r="B727" s="3">
        <v>45836</v>
      </c>
      <c r="C727" t="s">
        <v>200</v>
      </c>
      <c r="D727" t="s">
        <v>199</v>
      </c>
      <c r="E727" t="s">
        <v>198</v>
      </c>
      <c r="F727" t="s">
        <v>11</v>
      </c>
      <c r="G727" t="s">
        <v>10</v>
      </c>
      <c r="H727" t="s">
        <v>22</v>
      </c>
      <c r="I727" s="10" t="s">
        <v>8</v>
      </c>
      <c r="J727" t="s">
        <v>8</v>
      </c>
      <c r="K727" s="10" t="e">
        <f t="shared" si="11"/>
        <v>#VALUE!</v>
      </c>
    </row>
    <row r="728" spans="1:11" x14ac:dyDescent="0.35">
      <c r="A728" t="s">
        <v>15</v>
      </c>
      <c r="B728" s="3">
        <v>45869</v>
      </c>
      <c r="C728" t="s">
        <v>197</v>
      </c>
      <c r="D728" t="s">
        <v>196</v>
      </c>
      <c r="F728" t="s">
        <v>11</v>
      </c>
      <c r="G728" t="s">
        <v>10</v>
      </c>
      <c r="H728" t="s">
        <v>22</v>
      </c>
      <c r="I728" s="10" t="s">
        <v>8</v>
      </c>
      <c r="J728" t="s">
        <v>8</v>
      </c>
      <c r="K728" s="10" t="e">
        <f t="shared" si="11"/>
        <v>#VALUE!</v>
      </c>
    </row>
    <row r="729" spans="1:11" x14ac:dyDescent="0.35">
      <c r="A729" t="s">
        <v>15</v>
      </c>
      <c r="B729" s="3">
        <v>45896</v>
      </c>
      <c r="C729" t="s">
        <v>195</v>
      </c>
      <c r="D729" t="s">
        <v>194</v>
      </c>
      <c r="F729" t="s">
        <v>11</v>
      </c>
      <c r="G729" t="s">
        <v>10</v>
      </c>
      <c r="H729" t="s">
        <v>22</v>
      </c>
      <c r="I729" s="10" t="s">
        <v>8</v>
      </c>
      <c r="J729" t="s">
        <v>8</v>
      </c>
      <c r="K729" s="10" t="e">
        <f t="shared" si="11"/>
        <v>#VALUE!</v>
      </c>
    </row>
    <row r="730" spans="1:11" x14ac:dyDescent="0.35">
      <c r="A730" t="s">
        <v>15</v>
      </c>
      <c r="B730" s="3">
        <v>45713</v>
      </c>
      <c r="C730" t="s">
        <v>193</v>
      </c>
      <c r="D730" t="s">
        <v>192</v>
      </c>
      <c r="F730" t="s">
        <v>11</v>
      </c>
      <c r="G730" t="s">
        <v>10</v>
      </c>
      <c r="H730" t="s">
        <v>22</v>
      </c>
      <c r="I730" s="10" t="s">
        <v>8</v>
      </c>
      <c r="J730" t="s">
        <v>8</v>
      </c>
      <c r="K730" s="10" t="e">
        <f t="shared" si="11"/>
        <v>#VALUE!</v>
      </c>
    </row>
    <row r="731" spans="1:11" x14ac:dyDescent="0.35">
      <c r="A731" t="s">
        <v>15</v>
      </c>
      <c r="B731" s="3">
        <v>45895</v>
      </c>
      <c r="C731" t="s">
        <v>191</v>
      </c>
      <c r="D731" t="s">
        <v>190</v>
      </c>
      <c r="F731" t="s">
        <v>11</v>
      </c>
      <c r="G731" t="s">
        <v>10</v>
      </c>
      <c r="H731" t="s">
        <v>22</v>
      </c>
      <c r="I731" s="10" t="s">
        <v>8</v>
      </c>
      <c r="J731" t="s">
        <v>8</v>
      </c>
      <c r="K731" s="10" t="e">
        <f t="shared" si="11"/>
        <v>#VALUE!</v>
      </c>
    </row>
    <row r="732" spans="1:11" x14ac:dyDescent="0.35">
      <c r="A732" t="s">
        <v>15</v>
      </c>
      <c r="B732" s="3">
        <v>45556</v>
      </c>
      <c r="C732" t="s">
        <v>189</v>
      </c>
      <c r="D732" t="s">
        <v>188</v>
      </c>
      <c r="F732" t="s">
        <v>11</v>
      </c>
      <c r="G732" t="s">
        <v>10</v>
      </c>
      <c r="H732" t="s">
        <v>142</v>
      </c>
      <c r="I732" s="10" t="s">
        <v>8</v>
      </c>
      <c r="J732" t="s">
        <v>8</v>
      </c>
      <c r="K732" s="10" t="e">
        <f t="shared" si="11"/>
        <v>#VALUE!</v>
      </c>
    </row>
    <row r="733" spans="1:11" x14ac:dyDescent="0.35">
      <c r="A733" t="s">
        <v>15</v>
      </c>
      <c r="B733" s="3">
        <v>45860</v>
      </c>
      <c r="C733" t="s">
        <v>187</v>
      </c>
      <c r="D733" t="s">
        <v>186</v>
      </c>
      <c r="F733" t="s">
        <v>11</v>
      </c>
      <c r="G733" t="s">
        <v>10</v>
      </c>
      <c r="H733" t="s">
        <v>22</v>
      </c>
      <c r="I733" s="10" t="s">
        <v>8</v>
      </c>
      <c r="J733" t="s">
        <v>8</v>
      </c>
      <c r="K733" s="10" t="e">
        <f t="shared" si="11"/>
        <v>#VALUE!</v>
      </c>
    </row>
    <row r="734" spans="1:11" x14ac:dyDescent="0.35">
      <c r="A734" t="s">
        <v>15</v>
      </c>
      <c r="B734" s="3">
        <v>45884</v>
      </c>
      <c r="C734" t="s">
        <v>185</v>
      </c>
      <c r="D734" t="s">
        <v>184</v>
      </c>
      <c r="F734" t="s">
        <v>11</v>
      </c>
      <c r="G734" t="s">
        <v>10</v>
      </c>
      <c r="H734" t="s">
        <v>22</v>
      </c>
      <c r="I734" s="10" t="s">
        <v>8</v>
      </c>
      <c r="J734" t="s">
        <v>8</v>
      </c>
      <c r="K734" s="10" t="e">
        <f t="shared" si="11"/>
        <v>#VALUE!</v>
      </c>
    </row>
    <row r="735" spans="1:11" x14ac:dyDescent="0.35">
      <c r="A735" t="s">
        <v>15</v>
      </c>
      <c r="B735" s="3">
        <v>45870</v>
      </c>
      <c r="C735" t="s">
        <v>183</v>
      </c>
      <c r="D735" t="s">
        <v>182</v>
      </c>
      <c r="E735" t="s">
        <v>181</v>
      </c>
      <c r="F735" t="s">
        <v>11</v>
      </c>
      <c r="G735" t="s">
        <v>10</v>
      </c>
      <c r="H735" t="s">
        <v>22</v>
      </c>
      <c r="I735" s="10" t="s">
        <v>8</v>
      </c>
      <c r="J735" t="s">
        <v>8</v>
      </c>
      <c r="K735" s="10" t="e">
        <f t="shared" si="11"/>
        <v>#VALUE!</v>
      </c>
    </row>
    <row r="736" spans="1:11" x14ac:dyDescent="0.35">
      <c r="A736" t="s">
        <v>15</v>
      </c>
      <c r="B736" s="3">
        <v>45839</v>
      </c>
      <c r="C736" t="s">
        <v>180</v>
      </c>
      <c r="D736" t="s">
        <v>179</v>
      </c>
      <c r="E736" t="s">
        <v>178</v>
      </c>
      <c r="F736" t="s">
        <v>11</v>
      </c>
      <c r="G736" t="s">
        <v>10</v>
      </c>
      <c r="H736" t="s">
        <v>22</v>
      </c>
      <c r="I736" s="10" t="s">
        <v>8</v>
      </c>
      <c r="J736" t="s">
        <v>8</v>
      </c>
      <c r="K736" s="10" t="e">
        <f t="shared" si="11"/>
        <v>#VALUE!</v>
      </c>
    </row>
    <row r="737" spans="1:11" x14ac:dyDescent="0.35">
      <c r="A737" t="s">
        <v>15</v>
      </c>
      <c r="B737" s="3">
        <v>45852</v>
      </c>
      <c r="C737" t="s">
        <v>177</v>
      </c>
      <c r="D737" t="s">
        <v>176</v>
      </c>
      <c r="E737" t="s">
        <v>175</v>
      </c>
      <c r="F737" t="s">
        <v>11</v>
      </c>
      <c r="G737" t="s">
        <v>10</v>
      </c>
      <c r="H737" t="s">
        <v>22</v>
      </c>
      <c r="I737" s="10" t="s">
        <v>8</v>
      </c>
      <c r="J737" t="s">
        <v>8</v>
      </c>
      <c r="K737" s="10" t="e">
        <f t="shared" si="11"/>
        <v>#VALUE!</v>
      </c>
    </row>
    <row r="738" spans="1:11" x14ac:dyDescent="0.35">
      <c r="A738" t="s">
        <v>15</v>
      </c>
      <c r="B738" s="3">
        <v>45833</v>
      </c>
      <c r="C738" t="s">
        <v>174</v>
      </c>
      <c r="D738" t="s">
        <v>173</v>
      </c>
      <c r="E738" t="s">
        <v>172</v>
      </c>
      <c r="F738" t="s">
        <v>11</v>
      </c>
      <c r="G738" t="s">
        <v>10</v>
      </c>
      <c r="H738" t="s">
        <v>22</v>
      </c>
      <c r="I738" s="10" t="s">
        <v>8</v>
      </c>
      <c r="J738" t="s">
        <v>8</v>
      </c>
      <c r="K738" s="10" t="e">
        <f t="shared" si="11"/>
        <v>#VALUE!</v>
      </c>
    </row>
    <row r="739" spans="1:11" x14ac:dyDescent="0.35">
      <c r="A739" t="s">
        <v>15</v>
      </c>
      <c r="B739" s="3">
        <v>45903</v>
      </c>
      <c r="C739" t="s">
        <v>171</v>
      </c>
      <c r="D739" t="s">
        <v>170</v>
      </c>
      <c r="F739" t="s">
        <v>11</v>
      </c>
      <c r="G739" t="s">
        <v>10</v>
      </c>
      <c r="H739" t="s">
        <v>22</v>
      </c>
      <c r="I739" s="10" t="s">
        <v>8</v>
      </c>
      <c r="J739" t="s">
        <v>8</v>
      </c>
      <c r="K739" s="10" t="e">
        <f t="shared" si="11"/>
        <v>#VALUE!</v>
      </c>
    </row>
    <row r="740" spans="1:11" x14ac:dyDescent="0.35">
      <c r="A740" t="s">
        <v>15</v>
      </c>
      <c r="B740" s="3">
        <v>45883</v>
      </c>
      <c r="C740" t="s">
        <v>169</v>
      </c>
      <c r="D740" t="s">
        <v>168</v>
      </c>
      <c r="E740" t="s">
        <v>167</v>
      </c>
      <c r="F740" t="s">
        <v>11</v>
      </c>
      <c r="G740" t="s">
        <v>10</v>
      </c>
      <c r="H740" t="s">
        <v>33</v>
      </c>
      <c r="I740" s="10" t="s">
        <v>8</v>
      </c>
      <c r="J740" t="s">
        <v>8</v>
      </c>
      <c r="K740" s="10" t="e">
        <f t="shared" si="11"/>
        <v>#VALUE!</v>
      </c>
    </row>
    <row r="741" spans="1:11" x14ac:dyDescent="0.35">
      <c r="A741" t="s">
        <v>15</v>
      </c>
      <c r="B741" s="3">
        <v>45890</v>
      </c>
      <c r="C741" t="s">
        <v>166</v>
      </c>
      <c r="D741" t="s">
        <v>165</v>
      </c>
      <c r="F741" t="s">
        <v>11</v>
      </c>
      <c r="G741" t="s">
        <v>10</v>
      </c>
      <c r="H741" t="s">
        <v>22</v>
      </c>
      <c r="I741" s="10" t="s">
        <v>8</v>
      </c>
      <c r="J741" t="s">
        <v>8</v>
      </c>
      <c r="K741" s="10" t="e">
        <f t="shared" si="11"/>
        <v>#VALUE!</v>
      </c>
    </row>
    <row r="742" spans="1:11" x14ac:dyDescent="0.35">
      <c r="A742" t="s">
        <v>15</v>
      </c>
      <c r="B742" s="3">
        <v>45902</v>
      </c>
      <c r="C742" t="s">
        <v>164</v>
      </c>
      <c r="D742" t="s">
        <v>163</v>
      </c>
      <c r="E742" t="s">
        <v>162</v>
      </c>
      <c r="F742" t="s">
        <v>11</v>
      </c>
      <c r="G742" t="s">
        <v>10</v>
      </c>
      <c r="H742" t="s">
        <v>33</v>
      </c>
      <c r="I742" s="10" t="s">
        <v>8</v>
      </c>
      <c r="J742" t="s">
        <v>8</v>
      </c>
      <c r="K742" s="10" t="e">
        <f t="shared" si="11"/>
        <v>#VALUE!</v>
      </c>
    </row>
    <row r="743" spans="1:11" x14ac:dyDescent="0.35">
      <c r="A743" t="s">
        <v>15</v>
      </c>
      <c r="B743" s="3">
        <v>45903</v>
      </c>
      <c r="C743" t="s">
        <v>161</v>
      </c>
      <c r="D743" t="s">
        <v>160</v>
      </c>
      <c r="E743" t="s">
        <v>159</v>
      </c>
      <c r="F743" t="s">
        <v>11</v>
      </c>
      <c r="G743" t="s">
        <v>10</v>
      </c>
      <c r="H743" t="s">
        <v>22</v>
      </c>
      <c r="I743" s="10" t="s">
        <v>8</v>
      </c>
      <c r="J743" t="s">
        <v>8</v>
      </c>
      <c r="K743" s="10" t="e">
        <f t="shared" si="11"/>
        <v>#VALUE!</v>
      </c>
    </row>
    <row r="744" spans="1:11" x14ac:dyDescent="0.35">
      <c r="A744" t="s">
        <v>15</v>
      </c>
      <c r="B744" s="3">
        <v>45890</v>
      </c>
      <c r="C744" t="s">
        <v>158</v>
      </c>
      <c r="D744" t="s">
        <v>157</v>
      </c>
      <c r="F744" t="s">
        <v>11</v>
      </c>
      <c r="G744" t="s">
        <v>25</v>
      </c>
      <c r="H744" t="s">
        <v>22</v>
      </c>
      <c r="I744" s="10" t="s">
        <v>8</v>
      </c>
      <c r="J744" t="s">
        <v>8</v>
      </c>
      <c r="K744" s="10" t="e">
        <f t="shared" si="11"/>
        <v>#VALUE!</v>
      </c>
    </row>
    <row r="745" spans="1:11" x14ac:dyDescent="0.35">
      <c r="A745" t="s">
        <v>15</v>
      </c>
      <c r="B745" s="3">
        <v>45903</v>
      </c>
      <c r="C745" t="s">
        <v>156</v>
      </c>
      <c r="D745" t="s">
        <v>155</v>
      </c>
      <c r="F745" t="s">
        <v>11</v>
      </c>
      <c r="G745" t="s">
        <v>10</v>
      </c>
      <c r="H745" t="s">
        <v>9</v>
      </c>
      <c r="I745" s="10" t="s">
        <v>8</v>
      </c>
      <c r="J745" t="s">
        <v>8</v>
      </c>
      <c r="K745" s="10" t="e">
        <f t="shared" si="11"/>
        <v>#VALUE!</v>
      </c>
    </row>
    <row r="746" spans="1:11" x14ac:dyDescent="0.35">
      <c r="A746" t="s">
        <v>15</v>
      </c>
      <c r="B746" s="3">
        <v>45861</v>
      </c>
      <c r="C746" t="s">
        <v>154</v>
      </c>
      <c r="D746" t="s">
        <v>153</v>
      </c>
      <c r="E746" t="s">
        <v>152</v>
      </c>
      <c r="F746" t="s">
        <v>11</v>
      </c>
      <c r="G746" t="s">
        <v>10</v>
      </c>
      <c r="H746" t="s">
        <v>22</v>
      </c>
      <c r="I746" s="10" t="s">
        <v>8</v>
      </c>
      <c r="J746" t="s">
        <v>8</v>
      </c>
      <c r="K746" s="10" t="e">
        <f t="shared" si="11"/>
        <v>#VALUE!</v>
      </c>
    </row>
    <row r="747" spans="1:11" x14ac:dyDescent="0.35">
      <c r="A747" t="s">
        <v>15</v>
      </c>
      <c r="B747" s="3">
        <v>45603</v>
      </c>
      <c r="C747" t="s">
        <v>151</v>
      </c>
      <c r="D747" t="s">
        <v>150</v>
      </c>
      <c r="F747" t="s">
        <v>11</v>
      </c>
      <c r="G747" t="s">
        <v>25</v>
      </c>
      <c r="H747" t="s">
        <v>142</v>
      </c>
      <c r="I747" s="10" t="s">
        <v>8</v>
      </c>
      <c r="J747" t="s">
        <v>8</v>
      </c>
      <c r="K747" s="10" t="e">
        <f t="shared" si="11"/>
        <v>#VALUE!</v>
      </c>
    </row>
    <row r="748" spans="1:11" x14ac:dyDescent="0.35">
      <c r="A748" t="s">
        <v>15</v>
      </c>
      <c r="B748" s="3">
        <v>45881</v>
      </c>
      <c r="C748" t="s">
        <v>149</v>
      </c>
      <c r="D748" t="s">
        <v>148</v>
      </c>
      <c r="E748" t="s">
        <v>147</v>
      </c>
      <c r="F748" t="s">
        <v>11</v>
      </c>
      <c r="G748" t="s">
        <v>10</v>
      </c>
      <c r="H748" t="s">
        <v>9</v>
      </c>
      <c r="I748" s="10" t="s">
        <v>8</v>
      </c>
      <c r="J748" t="s">
        <v>8</v>
      </c>
      <c r="K748" s="10" t="e">
        <f t="shared" si="11"/>
        <v>#VALUE!</v>
      </c>
    </row>
    <row r="749" spans="1:11" x14ac:dyDescent="0.35">
      <c r="A749" t="s">
        <v>15</v>
      </c>
      <c r="B749" s="3">
        <v>45567</v>
      </c>
      <c r="C749" t="s">
        <v>146</v>
      </c>
      <c r="D749" t="s">
        <v>145</v>
      </c>
      <c r="F749" t="s">
        <v>11</v>
      </c>
      <c r="G749" t="s">
        <v>10</v>
      </c>
      <c r="H749" t="s">
        <v>142</v>
      </c>
      <c r="I749" s="10" t="s">
        <v>8</v>
      </c>
      <c r="J749" t="s">
        <v>8</v>
      </c>
      <c r="K749" s="10" t="e">
        <f t="shared" si="11"/>
        <v>#VALUE!</v>
      </c>
    </row>
    <row r="750" spans="1:11" x14ac:dyDescent="0.35">
      <c r="A750" t="s">
        <v>15</v>
      </c>
      <c r="B750" s="3">
        <v>45567</v>
      </c>
      <c r="C750" t="s">
        <v>144</v>
      </c>
      <c r="D750" t="s">
        <v>143</v>
      </c>
      <c r="F750" t="s">
        <v>11</v>
      </c>
      <c r="G750" t="s">
        <v>10</v>
      </c>
      <c r="H750" t="s">
        <v>142</v>
      </c>
      <c r="I750" s="10" t="s">
        <v>8</v>
      </c>
      <c r="J750" t="s">
        <v>8</v>
      </c>
      <c r="K750" s="10" t="e">
        <f t="shared" si="11"/>
        <v>#VALUE!</v>
      </c>
    </row>
    <row r="751" spans="1:11" x14ac:dyDescent="0.35">
      <c r="A751" t="s">
        <v>15</v>
      </c>
      <c r="B751" s="3">
        <v>45895</v>
      </c>
      <c r="C751" t="s">
        <v>141</v>
      </c>
      <c r="D751" t="s">
        <v>140</v>
      </c>
      <c r="E751" t="s">
        <v>139</v>
      </c>
      <c r="F751" t="s">
        <v>11</v>
      </c>
      <c r="G751" t="s">
        <v>10</v>
      </c>
      <c r="H751" t="s">
        <v>9</v>
      </c>
      <c r="I751" s="10" t="s">
        <v>8</v>
      </c>
      <c r="J751" t="s">
        <v>8</v>
      </c>
      <c r="K751" s="10" t="e">
        <f t="shared" si="11"/>
        <v>#VALUE!</v>
      </c>
    </row>
    <row r="752" spans="1:11" x14ac:dyDescent="0.35">
      <c r="A752" t="s">
        <v>15</v>
      </c>
      <c r="B752" s="3">
        <v>45846</v>
      </c>
      <c r="C752" t="s">
        <v>138</v>
      </c>
      <c r="D752" t="s">
        <v>137</v>
      </c>
      <c r="E752" t="s">
        <v>136</v>
      </c>
      <c r="F752" t="s">
        <v>11</v>
      </c>
      <c r="G752" t="s">
        <v>10</v>
      </c>
      <c r="H752" t="s">
        <v>22</v>
      </c>
      <c r="I752" s="10" t="s">
        <v>8</v>
      </c>
      <c r="J752" t="s">
        <v>8</v>
      </c>
      <c r="K752" s="10" t="e">
        <f t="shared" si="11"/>
        <v>#VALUE!</v>
      </c>
    </row>
    <row r="753" spans="1:11" x14ac:dyDescent="0.35">
      <c r="A753" t="s">
        <v>15</v>
      </c>
      <c r="B753" s="3">
        <v>45884</v>
      </c>
      <c r="C753" t="s">
        <v>135</v>
      </c>
      <c r="D753" t="s">
        <v>134</v>
      </c>
      <c r="E753" t="s">
        <v>133</v>
      </c>
      <c r="F753" t="s">
        <v>11</v>
      </c>
      <c r="G753" t="s">
        <v>10</v>
      </c>
      <c r="H753" t="s">
        <v>22</v>
      </c>
      <c r="I753" s="10" t="s">
        <v>8</v>
      </c>
      <c r="J753" t="s">
        <v>8</v>
      </c>
      <c r="K753" s="10" t="e">
        <f t="shared" si="11"/>
        <v>#VALUE!</v>
      </c>
    </row>
    <row r="754" spans="1:11" x14ac:dyDescent="0.35">
      <c r="A754" t="s">
        <v>15</v>
      </c>
      <c r="B754" s="3">
        <v>45810</v>
      </c>
      <c r="C754" t="s">
        <v>132</v>
      </c>
      <c r="D754" t="s">
        <v>131</v>
      </c>
      <c r="E754" t="s">
        <v>130</v>
      </c>
      <c r="F754" t="s">
        <v>11</v>
      </c>
      <c r="G754" t="s">
        <v>10</v>
      </c>
      <c r="H754" t="s">
        <v>22</v>
      </c>
      <c r="I754" s="10" t="s">
        <v>8</v>
      </c>
      <c r="J754" t="s">
        <v>8</v>
      </c>
      <c r="K754" s="10" t="e">
        <f t="shared" si="11"/>
        <v>#VALUE!</v>
      </c>
    </row>
    <row r="755" spans="1:11" x14ac:dyDescent="0.35">
      <c r="A755" t="s">
        <v>15</v>
      </c>
      <c r="B755" s="3">
        <v>45901</v>
      </c>
      <c r="C755" t="s">
        <v>129</v>
      </c>
      <c r="D755" t="s">
        <v>128</v>
      </c>
      <c r="E755" t="s">
        <v>127</v>
      </c>
      <c r="F755" t="s">
        <v>11</v>
      </c>
      <c r="G755" t="s">
        <v>10</v>
      </c>
      <c r="H755" t="s">
        <v>9</v>
      </c>
      <c r="I755" s="10" t="s">
        <v>8</v>
      </c>
      <c r="J755" t="s">
        <v>8</v>
      </c>
      <c r="K755" s="10" t="e">
        <f t="shared" si="11"/>
        <v>#VALUE!</v>
      </c>
    </row>
    <row r="756" spans="1:11" x14ac:dyDescent="0.35">
      <c r="A756" t="s">
        <v>15</v>
      </c>
      <c r="B756" s="3">
        <v>45908</v>
      </c>
      <c r="C756" t="s">
        <v>126</v>
      </c>
      <c r="D756" t="s">
        <v>125</v>
      </c>
      <c r="F756" t="s">
        <v>11</v>
      </c>
      <c r="G756" t="s">
        <v>10</v>
      </c>
      <c r="H756" t="s">
        <v>22</v>
      </c>
      <c r="I756" s="10" t="s">
        <v>8</v>
      </c>
      <c r="J756" t="s">
        <v>8</v>
      </c>
      <c r="K756" s="10" t="e">
        <f t="shared" si="11"/>
        <v>#VALUE!</v>
      </c>
    </row>
    <row r="757" spans="1:11" x14ac:dyDescent="0.35">
      <c r="A757" t="s">
        <v>15</v>
      </c>
      <c r="B757" s="3">
        <v>45902</v>
      </c>
      <c r="C757" t="s">
        <v>124</v>
      </c>
      <c r="D757" t="s">
        <v>123</v>
      </c>
      <c r="E757" t="s">
        <v>122</v>
      </c>
      <c r="F757" t="s">
        <v>11</v>
      </c>
      <c r="G757" t="s">
        <v>10</v>
      </c>
      <c r="H757" t="s">
        <v>9</v>
      </c>
      <c r="I757" s="10" t="s">
        <v>8</v>
      </c>
      <c r="J757" t="s">
        <v>8</v>
      </c>
      <c r="K757" s="10" t="e">
        <f t="shared" si="11"/>
        <v>#VALUE!</v>
      </c>
    </row>
    <row r="758" spans="1:11" x14ac:dyDescent="0.35">
      <c r="A758" t="s">
        <v>15</v>
      </c>
      <c r="B758" s="3">
        <v>45901</v>
      </c>
      <c r="C758" t="s">
        <v>121</v>
      </c>
      <c r="D758" t="s">
        <v>97</v>
      </c>
      <c r="E758" t="s">
        <v>120</v>
      </c>
      <c r="F758" t="s">
        <v>11</v>
      </c>
      <c r="G758" t="s">
        <v>10</v>
      </c>
      <c r="H758" t="s">
        <v>9</v>
      </c>
      <c r="I758" s="10" t="s">
        <v>8</v>
      </c>
      <c r="J758" t="s">
        <v>8</v>
      </c>
      <c r="K758" s="10" t="e">
        <f t="shared" si="11"/>
        <v>#VALUE!</v>
      </c>
    </row>
    <row r="759" spans="1:11" x14ac:dyDescent="0.35">
      <c r="A759" t="s">
        <v>15</v>
      </c>
      <c r="B759" s="3">
        <v>45896</v>
      </c>
      <c r="C759" t="s">
        <v>119</v>
      </c>
      <c r="D759" t="s">
        <v>118</v>
      </c>
      <c r="E759" t="s">
        <v>117</v>
      </c>
      <c r="F759" t="s">
        <v>11</v>
      </c>
      <c r="G759" t="s">
        <v>10</v>
      </c>
      <c r="H759" t="s">
        <v>22</v>
      </c>
      <c r="I759" s="10" t="s">
        <v>8</v>
      </c>
      <c r="J759" t="s">
        <v>8</v>
      </c>
      <c r="K759" s="10" t="e">
        <f t="shared" si="11"/>
        <v>#VALUE!</v>
      </c>
    </row>
    <row r="760" spans="1:11" x14ac:dyDescent="0.35">
      <c r="A760" t="s">
        <v>15</v>
      </c>
      <c r="B760" s="3">
        <v>45903</v>
      </c>
      <c r="C760" t="s">
        <v>116</v>
      </c>
      <c r="D760" t="s">
        <v>16</v>
      </c>
      <c r="E760" t="s">
        <v>115</v>
      </c>
      <c r="F760" t="s">
        <v>11</v>
      </c>
      <c r="G760" t="s">
        <v>10</v>
      </c>
      <c r="H760" t="s">
        <v>9</v>
      </c>
      <c r="I760" s="10" t="s">
        <v>8</v>
      </c>
      <c r="J760" t="s">
        <v>8</v>
      </c>
      <c r="K760" s="10" t="e">
        <f t="shared" si="11"/>
        <v>#VALUE!</v>
      </c>
    </row>
    <row r="761" spans="1:11" x14ac:dyDescent="0.35">
      <c r="A761" t="s">
        <v>15</v>
      </c>
      <c r="B761" s="3">
        <v>45713</v>
      </c>
      <c r="C761" t="s">
        <v>114</v>
      </c>
      <c r="D761" t="s">
        <v>113</v>
      </c>
      <c r="E761" t="s">
        <v>112</v>
      </c>
      <c r="F761" t="s">
        <v>11</v>
      </c>
      <c r="G761" t="s">
        <v>10</v>
      </c>
      <c r="H761" t="s">
        <v>9</v>
      </c>
      <c r="I761" s="10" t="s">
        <v>8</v>
      </c>
      <c r="J761" t="s">
        <v>8</v>
      </c>
      <c r="K761" s="10" t="e">
        <f t="shared" si="11"/>
        <v>#VALUE!</v>
      </c>
    </row>
    <row r="762" spans="1:11" x14ac:dyDescent="0.35">
      <c r="A762" t="s">
        <v>15</v>
      </c>
      <c r="B762" s="3">
        <v>45883</v>
      </c>
      <c r="C762" t="s">
        <v>111</v>
      </c>
      <c r="D762" t="s">
        <v>110</v>
      </c>
      <c r="E762" t="s">
        <v>109</v>
      </c>
      <c r="F762" t="s">
        <v>11</v>
      </c>
      <c r="G762" t="s">
        <v>10</v>
      </c>
      <c r="H762" t="s">
        <v>22</v>
      </c>
      <c r="I762" s="10" t="s">
        <v>8</v>
      </c>
      <c r="J762" t="s">
        <v>8</v>
      </c>
      <c r="K762" s="10" t="e">
        <f t="shared" si="11"/>
        <v>#VALUE!</v>
      </c>
    </row>
    <row r="763" spans="1:11" x14ac:dyDescent="0.35">
      <c r="A763" t="s">
        <v>15</v>
      </c>
      <c r="B763" s="3">
        <v>45881</v>
      </c>
      <c r="C763" t="s">
        <v>108</v>
      </c>
      <c r="D763" t="s">
        <v>107</v>
      </c>
      <c r="F763" t="s">
        <v>11</v>
      </c>
      <c r="G763" t="s">
        <v>25</v>
      </c>
      <c r="H763" t="s">
        <v>22</v>
      </c>
      <c r="I763" s="10" t="s">
        <v>8</v>
      </c>
      <c r="J763" t="s">
        <v>8</v>
      </c>
      <c r="K763" s="10" t="e">
        <f t="shared" si="11"/>
        <v>#VALUE!</v>
      </c>
    </row>
    <row r="764" spans="1:11" x14ac:dyDescent="0.35">
      <c r="A764" t="s">
        <v>15</v>
      </c>
      <c r="B764" s="3">
        <v>45847</v>
      </c>
      <c r="C764" t="s">
        <v>106</v>
      </c>
      <c r="D764" t="s">
        <v>105</v>
      </c>
      <c r="E764" t="s">
        <v>104</v>
      </c>
      <c r="F764" t="s">
        <v>11</v>
      </c>
      <c r="G764" t="s">
        <v>10</v>
      </c>
      <c r="H764" t="s">
        <v>22</v>
      </c>
      <c r="I764" s="10" t="s">
        <v>8</v>
      </c>
      <c r="J764" t="s">
        <v>8</v>
      </c>
      <c r="K764" s="10" t="e">
        <f t="shared" si="11"/>
        <v>#VALUE!</v>
      </c>
    </row>
    <row r="765" spans="1:11" x14ac:dyDescent="0.35">
      <c r="A765" t="s">
        <v>15</v>
      </c>
      <c r="B765" s="3">
        <v>45902</v>
      </c>
      <c r="C765" t="s">
        <v>103</v>
      </c>
      <c r="D765" t="s">
        <v>102</v>
      </c>
      <c r="F765" t="s">
        <v>11</v>
      </c>
      <c r="G765" t="s">
        <v>10</v>
      </c>
      <c r="H765" t="s">
        <v>22</v>
      </c>
      <c r="I765" s="10" t="s">
        <v>8</v>
      </c>
      <c r="J765" t="s">
        <v>8</v>
      </c>
      <c r="K765" s="10" t="e">
        <f t="shared" si="11"/>
        <v>#VALUE!</v>
      </c>
    </row>
    <row r="766" spans="1:11" x14ac:dyDescent="0.35">
      <c r="A766" t="s">
        <v>15</v>
      </c>
      <c r="B766" s="3">
        <v>45895</v>
      </c>
      <c r="C766" t="s">
        <v>101</v>
      </c>
      <c r="D766" t="s">
        <v>100</v>
      </c>
      <c r="E766" t="s">
        <v>99</v>
      </c>
      <c r="F766" t="s">
        <v>11</v>
      </c>
      <c r="G766" t="s">
        <v>10</v>
      </c>
      <c r="H766" t="s">
        <v>22</v>
      </c>
      <c r="I766" s="10" t="s">
        <v>8</v>
      </c>
      <c r="J766" t="s">
        <v>8</v>
      </c>
      <c r="K766" s="10" t="e">
        <f t="shared" si="11"/>
        <v>#VALUE!</v>
      </c>
    </row>
    <row r="767" spans="1:11" x14ac:dyDescent="0.35">
      <c r="A767" t="s">
        <v>15</v>
      </c>
      <c r="B767" s="3">
        <v>45852</v>
      </c>
      <c r="C767" t="s">
        <v>98</v>
      </c>
      <c r="D767" t="s">
        <v>97</v>
      </c>
      <c r="E767" t="s">
        <v>96</v>
      </c>
      <c r="F767" t="s">
        <v>11</v>
      </c>
      <c r="G767" t="s">
        <v>10</v>
      </c>
      <c r="H767" t="s">
        <v>22</v>
      </c>
      <c r="I767" s="10" t="s">
        <v>8</v>
      </c>
      <c r="J767" t="s">
        <v>8</v>
      </c>
      <c r="K767" s="10" t="e">
        <f t="shared" si="11"/>
        <v>#VALUE!</v>
      </c>
    </row>
    <row r="768" spans="1:11" x14ac:dyDescent="0.35">
      <c r="A768" t="s">
        <v>15</v>
      </c>
      <c r="B768" s="3">
        <v>45904</v>
      </c>
      <c r="C768" t="s">
        <v>95</v>
      </c>
      <c r="D768" t="s">
        <v>94</v>
      </c>
      <c r="E768" t="s">
        <v>93</v>
      </c>
      <c r="F768" t="s">
        <v>11</v>
      </c>
      <c r="G768" t="s">
        <v>10</v>
      </c>
      <c r="H768" t="s">
        <v>22</v>
      </c>
      <c r="I768" s="10" t="s">
        <v>8</v>
      </c>
      <c r="J768" t="s">
        <v>8</v>
      </c>
      <c r="K768" s="10" t="e">
        <f t="shared" si="11"/>
        <v>#VALUE!</v>
      </c>
    </row>
    <row r="769" spans="1:11" x14ac:dyDescent="0.35">
      <c r="A769" t="s">
        <v>15</v>
      </c>
      <c r="B769" s="3">
        <v>45870</v>
      </c>
      <c r="C769" t="s">
        <v>92</v>
      </c>
      <c r="D769" t="s">
        <v>91</v>
      </c>
      <c r="E769" t="s">
        <v>90</v>
      </c>
      <c r="F769" t="s">
        <v>11</v>
      </c>
      <c r="G769" t="s">
        <v>10</v>
      </c>
      <c r="H769" t="s">
        <v>22</v>
      </c>
      <c r="I769" s="10" t="s">
        <v>8</v>
      </c>
      <c r="J769" t="s">
        <v>8</v>
      </c>
      <c r="K769" s="10" t="e">
        <f t="shared" si="11"/>
        <v>#VALUE!</v>
      </c>
    </row>
    <row r="770" spans="1:11" x14ac:dyDescent="0.35">
      <c r="A770" t="s">
        <v>15</v>
      </c>
      <c r="B770" s="3">
        <v>45894</v>
      </c>
      <c r="C770" t="s">
        <v>89</v>
      </c>
      <c r="D770" t="s">
        <v>16</v>
      </c>
      <c r="E770" t="s">
        <v>88</v>
      </c>
      <c r="F770" t="s">
        <v>11</v>
      </c>
      <c r="G770" t="s">
        <v>10</v>
      </c>
      <c r="H770" t="s">
        <v>9</v>
      </c>
      <c r="I770" s="10" t="s">
        <v>8</v>
      </c>
      <c r="J770" t="s">
        <v>8</v>
      </c>
      <c r="K770" s="10" t="e">
        <f t="shared" si="11"/>
        <v>#VALUE!</v>
      </c>
    </row>
    <row r="771" spans="1:11" x14ac:dyDescent="0.35">
      <c r="A771" t="s">
        <v>15</v>
      </c>
      <c r="B771" s="3">
        <v>45891</v>
      </c>
      <c r="C771" t="s">
        <v>87</v>
      </c>
      <c r="D771" t="s">
        <v>86</v>
      </c>
      <c r="E771" t="s">
        <v>85</v>
      </c>
      <c r="F771" t="s">
        <v>11</v>
      </c>
      <c r="G771" t="s">
        <v>10</v>
      </c>
      <c r="H771" t="s">
        <v>33</v>
      </c>
      <c r="I771" s="10" t="s">
        <v>8</v>
      </c>
      <c r="J771" t="s">
        <v>8</v>
      </c>
      <c r="K771" s="10" t="e">
        <f t="shared" ref="K771:K799" si="12">1/J771</f>
        <v>#VALUE!</v>
      </c>
    </row>
    <row r="772" spans="1:11" x14ac:dyDescent="0.35">
      <c r="A772" t="s">
        <v>15</v>
      </c>
      <c r="B772" s="3">
        <v>45910</v>
      </c>
      <c r="C772" t="s">
        <v>84</v>
      </c>
      <c r="D772" t="s">
        <v>83</v>
      </c>
      <c r="F772" t="s">
        <v>11</v>
      </c>
      <c r="G772" t="s">
        <v>10</v>
      </c>
      <c r="H772" t="s">
        <v>22</v>
      </c>
      <c r="I772" s="10" t="s">
        <v>8</v>
      </c>
      <c r="J772" t="s">
        <v>8</v>
      </c>
      <c r="K772" s="10" t="e">
        <f t="shared" si="12"/>
        <v>#VALUE!</v>
      </c>
    </row>
    <row r="773" spans="1:11" x14ac:dyDescent="0.35">
      <c r="A773" t="s">
        <v>15</v>
      </c>
      <c r="B773" s="3">
        <v>45842</v>
      </c>
      <c r="C773" t="s">
        <v>82</v>
      </c>
      <c r="D773" t="s">
        <v>81</v>
      </c>
      <c r="F773" t="s">
        <v>11</v>
      </c>
      <c r="G773" t="s">
        <v>10</v>
      </c>
      <c r="H773" t="s">
        <v>22</v>
      </c>
      <c r="I773" s="10" t="s">
        <v>8</v>
      </c>
      <c r="J773" t="s">
        <v>8</v>
      </c>
      <c r="K773" s="10" t="e">
        <f t="shared" si="12"/>
        <v>#VALUE!</v>
      </c>
    </row>
    <row r="774" spans="1:11" x14ac:dyDescent="0.35">
      <c r="A774" t="s">
        <v>15</v>
      </c>
      <c r="B774" s="3">
        <v>45904</v>
      </c>
      <c r="C774" t="s">
        <v>80</v>
      </c>
      <c r="D774" t="s">
        <v>79</v>
      </c>
      <c r="F774" t="s">
        <v>11</v>
      </c>
      <c r="G774" t="s">
        <v>10</v>
      </c>
      <c r="H774" t="s">
        <v>22</v>
      </c>
      <c r="I774" s="10" t="s">
        <v>8</v>
      </c>
      <c r="J774" t="s">
        <v>8</v>
      </c>
      <c r="K774" s="10" t="e">
        <f t="shared" si="12"/>
        <v>#VALUE!</v>
      </c>
    </row>
    <row r="775" spans="1:11" x14ac:dyDescent="0.35">
      <c r="A775" t="s">
        <v>15</v>
      </c>
      <c r="B775" s="3">
        <v>45903</v>
      </c>
      <c r="C775" t="s">
        <v>78</v>
      </c>
      <c r="D775" t="s">
        <v>77</v>
      </c>
      <c r="F775" t="s">
        <v>11</v>
      </c>
      <c r="G775" t="s">
        <v>10</v>
      </c>
      <c r="H775" t="s">
        <v>22</v>
      </c>
      <c r="I775" s="10" t="s">
        <v>8</v>
      </c>
      <c r="J775" t="s">
        <v>8</v>
      </c>
      <c r="K775" s="10" t="e">
        <f t="shared" si="12"/>
        <v>#VALUE!</v>
      </c>
    </row>
    <row r="776" spans="1:11" x14ac:dyDescent="0.35">
      <c r="A776" t="s">
        <v>15</v>
      </c>
      <c r="B776" s="3">
        <v>45902</v>
      </c>
      <c r="C776" t="s">
        <v>76</v>
      </c>
      <c r="D776" t="s">
        <v>75</v>
      </c>
      <c r="E776" t="s">
        <v>74</v>
      </c>
      <c r="F776" t="s">
        <v>11</v>
      </c>
      <c r="G776" t="s">
        <v>10</v>
      </c>
      <c r="H776" t="s">
        <v>22</v>
      </c>
      <c r="I776" s="10" t="s">
        <v>8</v>
      </c>
      <c r="J776" t="s">
        <v>8</v>
      </c>
      <c r="K776" s="10" t="e">
        <f t="shared" si="12"/>
        <v>#VALUE!</v>
      </c>
    </row>
    <row r="777" spans="1:11" x14ac:dyDescent="0.35">
      <c r="A777" t="s">
        <v>15</v>
      </c>
      <c r="B777" s="3">
        <v>45812</v>
      </c>
      <c r="C777" t="s">
        <v>73</v>
      </c>
      <c r="D777" t="s">
        <v>72</v>
      </c>
      <c r="E777" t="s">
        <v>71</v>
      </c>
      <c r="F777" t="s">
        <v>11</v>
      </c>
      <c r="G777" t="s">
        <v>10</v>
      </c>
      <c r="H777" t="s">
        <v>22</v>
      </c>
      <c r="I777" s="10" t="s">
        <v>8</v>
      </c>
      <c r="J777" t="s">
        <v>8</v>
      </c>
      <c r="K777" s="10" t="e">
        <f t="shared" si="12"/>
        <v>#VALUE!</v>
      </c>
    </row>
    <row r="778" spans="1:11" x14ac:dyDescent="0.35">
      <c r="A778" t="s">
        <v>15</v>
      </c>
      <c r="B778" s="3">
        <v>45804</v>
      </c>
      <c r="C778" t="s">
        <v>70</v>
      </c>
      <c r="D778" t="s">
        <v>69</v>
      </c>
      <c r="E778" t="s">
        <v>68</v>
      </c>
      <c r="F778" t="s">
        <v>11</v>
      </c>
      <c r="G778" t="s">
        <v>10</v>
      </c>
      <c r="H778" t="s">
        <v>22</v>
      </c>
      <c r="I778" s="10" t="s">
        <v>8</v>
      </c>
      <c r="J778" t="s">
        <v>8</v>
      </c>
      <c r="K778" s="10" t="e">
        <f t="shared" si="12"/>
        <v>#VALUE!</v>
      </c>
    </row>
    <row r="779" spans="1:11" x14ac:dyDescent="0.35">
      <c r="A779" t="s">
        <v>15</v>
      </c>
      <c r="B779" s="3">
        <v>45909</v>
      </c>
      <c r="C779" t="s">
        <v>67</v>
      </c>
      <c r="D779" t="s">
        <v>66</v>
      </c>
      <c r="F779" t="s">
        <v>11</v>
      </c>
      <c r="G779" t="s">
        <v>10</v>
      </c>
      <c r="H779" t="s">
        <v>22</v>
      </c>
      <c r="I779" s="10" t="s">
        <v>8</v>
      </c>
      <c r="J779" t="s">
        <v>8</v>
      </c>
      <c r="K779" s="10" t="e">
        <f t="shared" si="12"/>
        <v>#VALUE!</v>
      </c>
    </row>
    <row r="780" spans="1:11" x14ac:dyDescent="0.35">
      <c r="A780" t="s">
        <v>15</v>
      </c>
      <c r="B780" s="3">
        <v>45887</v>
      </c>
      <c r="C780" t="s">
        <v>65</v>
      </c>
      <c r="D780" t="s">
        <v>20</v>
      </c>
      <c r="F780" t="s">
        <v>11</v>
      </c>
      <c r="G780" t="s">
        <v>10</v>
      </c>
      <c r="H780" t="s">
        <v>9</v>
      </c>
      <c r="I780" s="10" t="s">
        <v>8</v>
      </c>
      <c r="J780" t="s">
        <v>8</v>
      </c>
      <c r="K780" s="10" t="e">
        <f t="shared" si="12"/>
        <v>#VALUE!</v>
      </c>
    </row>
    <row r="781" spans="1:11" x14ac:dyDescent="0.35">
      <c r="A781" t="s">
        <v>15</v>
      </c>
      <c r="B781" s="3">
        <v>45903</v>
      </c>
      <c r="C781" t="s">
        <v>64</v>
      </c>
      <c r="D781" t="s">
        <v>63</v>
      </c>
      <c r="E781" t="s">
        <v>62</v>
      </c>
      <c r="F781" t="s">
        <v>11</v>
      </c>
      <c r="G781" t="s">
        <v>10</v>
      </c>
      <c r="H781" t="s">
        <v>22</v>
      </c>
      <c r="I781" s="10" t="s">
        <v>8</v>
      </c>
      <c r="J781" t="s">
        <v>8</v>
      </c>
      <c r="K781" s="10" t="e">
        <f t="shared" si="12"/>
        <v>#VALUE!</v>
      </c>
    </row>
    <row r="782" spans="1:11" x14ac:dyDescent="0.35">
      <c r="A782" t="s">
        <v>15</v>
      </c>
      <c r="B782" s="3">
        <v>45909</v>
      </c>
      <c r="C782" t="s">
        <v>61</v>
      </c>
      <c r="D782" t="s">
        <v>60</v>
      </c>
      <c r="E782" t="s">
        <v>59</v>
      </c>
      <c r="F782" t="s">
        <v>11</v>
      </c>
      <c r="G782" t="s">
        <v>10</v>
      </c>
      <c r="H782" t="s">
        <v>22</v>
      </c>
      <c r="I782" s="10" t="s">
        <v>8</v>
      </c>
      <c r="J782" t="s">
        <v>8</v>
      </c>
      <c r="K782" s="10" t="e">
        <f t="shared" si="12"/>
        <v>#VALUE!</v>
      </c>
    </row>
    <row r="783" spans="1:11" x14ac:dyDescent="0.35">
      <c r="A783" t="s">
        <v>15</v>
      </c>
      <c r="B783" s="3">
        <v>45909</v>
      </c>
      <c r="C783" t="s">
        <v>58</v>
      </c>
      <c r="D783" t="s">
        <v>57</v>
      </c>
      <c r="F783" t="s">
        <v>11</v>
      </c>
      <c r="G783" t="s">
        <v>10</v>
      </c>
      <c r="H783" t="s">
        <v>22</v>
      </c>
      <c r="I783" s="10" t="s">
        <v>8</v>
      </c>
      <c r="J783" t="s">
        <v>8</v>
      </c>
      <c r="K783" s="10" t="e">
        <f t="shared" si="12"/>
        <v>#VALUE!</v>
      </c>
    </row>
    <row r="784" spans="1:11" x14ac:dyDescent="0.35">
      <c r="A784" t="s">
        <v>15</v>
      </c>
      <c r="B784" s="3">
        <v>45909</v>
      </c>
      <c r="C784" t="s">
        <v>56</v>
      </c>
      <c r="D784" t="s">
        <v>55</v>
      </c>
      <c r="E784" t="s">
        <v>54</v>
      </c>
      <c r="F784" t="s">
        <v>11</v>
      </c>
      <c r="G784" t="s">
        <v>10</v>
      </c>
      <c r="H784" t="s">
        <v>22</v>
      </c>
      <c r="I784" s="10" t="s">
        <v>8</v>
      </c>
      <c r="J784" t="s">
        <v>8</v>
      </c>
      <c r="K784" s="10" t="e">
        <f t="shared" si="12"/>
        <v>#VALUE!</v>
      </c>
    </row>
    <row r="785" spans="1:11" x14ac:dyDescent="0.35">
      <c r="A785" t="s">
        <v>15</v>
      </c>
      <c r="B785" s="3">
        <v>45867</v>
      </c>
      <c r="C785" t="s">
        <v>53</v>
      </c>
      <c r="D785" t="s">
        <v>17</v>
      </c>
      <c r="E785" t="s">
        <v>52</v>
      </c>
      <c r="F785" t="s">
        <v>11</v>
      </c>
      <c r="G785" t="s">
        <v>10</v>
      </c>
      <c r="H785" t="s">
        <v>22</v>
      </c>
      <c r="I785" s="10" t="s">
        <v>8</v>
      </c>
      <c r="J785" t="s">
        <v>8</v>
      </c>
      <c r="K785" s="10" t="e">
        <f t="shared" si="12"/>
        <v>#VALUE!</v>
      </c>
    </row>
    <row r="786" spans="1:11" x14ac:dyDescent="0.35">
      <c r="A786" t="s">
        <v>15</v>
      </c>
      <c r="B786" s="3">
        <v>45909</v>
      </c>
      <c r="C786" t="s">
        <v>51</v>
      </c>
      <c r="D786" t="s">
        <v>50</v>
      </c>
      <c r="E786" t="s">
        <v>49</v>
      </c>
      <c r="F786" t="s">
        <v>11</v>
      </c>
      <c r="G786" t="s">
        <v>10</v>
      </c>
      <c r="H786" t="s">
        <v>22</v>
      </c>
      <c r="I786" s="10" t="s">
        <v>8</v>
      </c>
      <c r="J786" t="s">
        <v>8</v>
      </c>
      <c r="K786" s="10" t="e">
        <f t="shared" si="12"/>
        <v>#VALUE!</v>
      </c>
    </row>
    <row r="787" spans="1:11" x14ac:dyDescent="0.35">
      <c r="A787" t="s">
        <v>15</v>
      </c>
      <c r="B787" s="3">
        <v>45845</v>
      </c>
      <c r="C787" t="s">
        <v>48</v>
      </c>
      <c r="D787" t="s">
        <v>47</v>
      </c>
      <c r="F787" t="s">
        <v>11</v>
      </c>
      <c r="G787" t="s">
        <v>10</v>
      </c>
      <c r="H787" t="s">
        <v>22</v>
      </c>
      <c r="I787" s="10" t="s">
        <v>8</v>
      </c>
      <c r="J787" t="s">
        <v>8</v>
      </c>
      <c r="K787" s="10" t="e">
        <f t="shared" si="12"/>
        <v>#VALUE!</v>
      </c>
    </row>
    <row r="788" spans="1:11" x14ac:dyDescent="0.35">
      <c r="A788" t="s">
        <v>15</v>
      </c>
      <c r="B788" s="3">
        <v>45862</v>
      </c>
      <c r="C788" t="s">
        <v>46</v>
      </c>
      <c r="D788" t="s">
        <v>45</v>
      </c>
      <c r="E788" t="s">
        <v>44</v>
      </c>
      <c r="F788" t="s">
        <v>11</v>
      </c>
      <c r="G788" t="s">
        <v>10</v>
      </c>
      <c r="H788" t="s">
        <v>22</v>
      </c>
      <c r="I788" s="10" t="s">
        <v>8</v>
      </c>
      <c r="J788" t="s">
        <v>8</v>
      </c>
      <c r="K788" s="10" t="e">
        <f t="shared" si="12"/>
        <v>#VALUE!</v>
      </c>
    </row>
    <row r="789" spans="1:11" x14ac:dyDescent="0.35">
      <c r="A789" t="s">
        <v>15</v>
      </c>
      <c r="B789" s="3">
        <v>45903</v>
      </c>
      <c r="C789" t="s">
        <v>43</v>
      </c>
      <c r="D789" t="s">
        <v>42</v>
      </c>
      <c r="E789" t="s">
        <v>41</v>
      </c>
      <c r="F789" t="s">
        <v>11</v>
      </c>
      <c r="G789" t="s">
        <v>25</v>
      </c>
      <c r="H789" t="s">
        <v>22</v>
      </c>
      <c r="I789" s="10" t="s">
        <v>8</v>
      </c>
      <c r="J789" t="s">
        <v>8</v>
      </c>
      <c r="K789" s="10" t="e">
        <f t="shared" si="12"/>
        <v>#VALUE!</v>
      </c>
    </row>
    <row r="790" spans="1:11" x14ac:dyDescent="0.35">
      <c r="A790" t="s">
        <v>15</v>
      </c>
      <c r="B790" s="3">
        <v>45910</v>
      </c>
      <c r="C790" t="s">
        <v>40</v>
      </c>
      <c r="D790" t="s">
        <v>39</v>
      </c>
      <c r="E790" t="s">
        <v>38</v>
      </c>
      <c r="F790" t="s">
        <v>11</v>
      </c>
      <c r="G790" t="s">
        <v>10</v>
      </c>
      <c r="H790" t="s">
        <v>9</v>
      </c>
      <c r="I790" s="10" t="s">
        <v>8</v>
      </c>
      <c r="J790" t="s">
        <v>8</v>
      </c>
      <c r="K790" s="10" t="e">
        <f t="shared" si="12"/>
        <v>#VALUE!</v>
      </c>
    </row>
    <row r="791" spans="1:11" x14ac:dyDescent="0.35">
      <c r="A791" t="s">
        <v>15</v>
      </c>
      <c r="B791" s="3">
        <v>45904</v>
      </c>
      <c r="C791" t="s">
        <v>37</v>
      </c>
      <c r="D791" t="s">
        <v>17</v>
      </c>
      <c r="E791" t="s">
        <v>36</v>
      </c>
      <c r="F791" t="s">
        <v>11</v>
      </c>
      <c r="G791" t="s">
        <v>10</v>
      </c>
      <c r="H791" t="s">
        <v>33</v>
      </c>
      <c r="I791" s="10" t="s">
        <v>8</v>
      </c>
      <c r="J791" t="s">
        <v>8</v>
      </c>
      <c r="K791" s="10" t="e">
        <f t="shared" si="12"/>
        <v>#VALUE!</v>
      </c>
    </row>
    <row r="792" spans="1:11" x14ac:dyDescent="0.35">
      <c r="A792" t="s">
        <v>15</v>
      </c>
      <c r="B792" s="3">
        <v>45862</v>
      </c>
      <c r="C792" t="s">
        <v>18</v>
      </c>
      <c r="D792" t="s">
        <v>35</v>
      </c>
      <c r="E792" t="s">
        <v>34</v>
      </c>
      <c r="F792" t="s">
        <v>11</v>
      </c>
      <c r="G792" t="s">
        <v>10</v>
      </c>
      <c r="H792" t="s">
        <v>33</v>
      </c>
      <c r="I792" s="10" t="s">
        <v>8</v>
      </c>
      <c r="J792" t="s">
        <v>8</v>
      </c>
      <c r="K792" s="10" t="e">
        <f t="shared" si="12"/>
        <v>#VALUE!</v>
      </c>
    </row>
    <row r="793" spans="1:11" x14ac:dyDescent="0.35">
      <c r="A793" t="s">
        <v>15</v>
      </c>
      <c r="B793" s="3">
        <v>45793</v>
      </c>
      <c r="C793" t="s">
        <v>32</v>
      </c>
      <c r="D793" t="s">
        <v>31</v>
      </c>
      <c r="E793" t="s">
        <v>30</v>
      </c>
      <c r="F793" t="s">
        <v>11</v>
      </c>
      <c r="G793" t="s">
        <v>10</v>
      </c>
      <c r="H793" t="s">
        <v>22</v>
      </c>
      <c r="I793" s="10" t="s">
        <v>8</v>
      </c>
      <c r="J793" t="s">
        <v>8</v>
      </c>
      <c r="K793" s="10" t="e">
        <f t="shared" si="12"/>
        <v>#VALUE!</v>
      </c>
    </row>
    <row r="794" spans="1:11" x14ac:dyDescent="0.35">
      <c r="A794" t="s">
        <v>15</v>
      </c>
      <c r="B794" s="3">
        <v>45910</v>
      </c>
      <c r="C794" t="s">
        <v>29</v>
      </c>
      <c r="D794" t="s">
        <v>28</v>
      </c>
      <c r="F794" t="s">
        <v>11</v>
      </c>
      <c r="G794" t="s">
        <v>10</v>
      </c>
      <c r="H794" t="s">
        <v>22</v>
      </c>
      <c r="I794" s="10" t="s">
        <v>8</v>
      </c>
      <c r="J794" t="s">
        <v>8</v>
      </c>
      <c r="K794" s="10" t="e">
        <f t="shared" si="12"/>
        <v>#VALUE!</v>
      </c>
    </row>
    <row r="795" spans="1:11" x14ac:dyDescent="0.35">
      <c r="A795" t="s">
        <v>15</v>
      </c>
      <c r="B795" s="3">
        <v>45909</v>
      </c>
      <c r="C795" t="s">
        <v>27</v>
      </c>
      <c r="D795" t="s">
        <v>26</v>
      </c>
      <c r="F795" t="s">
        <v>11</v>
      </c>
      <c r="G795" t="s">
        <v>25</v>
      </c>
      <c r="H795" t="s">
        <v>22</v>
      </c>
      <c r="I795" s="10" t="s">
        <v>8</v>
      </c>
      <c r="J795" t="s">
        <v>8</v>
      </c>
      <c r="K795" s="10" t="e">
        <f t="shared" si="12"/>
        <v>#VALUE!</v>
      </c>
    </row>
    <row r="796" spans="1:11" x14ac:dyDescent="0.35">
      <c r="A796" t="s">
        <v>15</v>
      </c>
      <c r="B796" s="3">
        <v>45895</v>
      </c>
      <c r="C796" t="s">
        <v>24</v>
      </c>
      <c r="D796" t="s">
        <v>23</v>
      </c>
      <c r="F796" t="s">
        <v>11</v>
      </c>
      <c r="G796" t="s">
        <v>10</v>
      </c>
      <c r="H796" t="s">
        <v>22</v>
      </c>
      <c r="I796" s="10" t="s">
        <v>8</v>
      </c>
      <c r="J796" t="s">
        <v>8</v>
      </c>
      <c r="K796" s="10" t="e">
        <f t="shared" si="12"/>
        <v>#VALUE!</v>
      </c>
    </row>
    <row r="797" spans="1:11" x14ac:dyDescent="0.35">
      <c r="A797" t="s">
        <v>15</v>
      </c>
      <c r="B797" s="3">
        <v>45911</v>
      </c>
      <c r="C797" t="s">
        <v>21</v>
      </c>
      <c r="D797" t="s">
        <v>20</v>
      </c>
      <c r="E797" t="s">
        <v>19</v>
      </c>
      <c r="F797" t="s">
        <v>11</v>
      </c>
      <c r="G797" t="s">
        <v>10</v>
      </c>
      <c r="H797" t="s">
        <v>9</v>
      </c>
      <c r="I797" s="10" t="s">
        <v>8</v>
      </c>
      <c r="J797" t="s">
        <v>8</v>
      </c>
      <c r="K797" s="10" t="e">
        <f t="shared" si="12"/>
        <v>#VALUE!</v>
      </c>
    </row>
    <row r="798" spans="1:11" x14ac:dyDescent="0.35">
      <c r="A798" t="s">
        <v>15</v>
      </c>
      <c r="B798" s="3">
        <v>45911</v>
      </c>
      <c r="C798" t="s">
        <v>18</v>
      </c>
      <c r="D798" t="s">
        <v>17</v>
      </c>
      <c r="E798" t="s">
        <v>16</v>
      </c>
      <c r="F798" t="s">
        <v>11</v>
      </c>
      <c r="G798" t="s">
        <v>10</v>
      </c>
      <c r="H798" t="s">
        <v>9</v>
      </c>
      <c r="I798" s="10" t="s">
        <v>8</v>
      </c>
      <c r="J798" t="s">
        <v>8</v>
      </c>
      <c r="K798" s="10" t="e">
        <f t="shared" si="12"/>
        <v>#VALUE!</v>
      </c>
    </row>
    <row r="799" spans="1:11" x14ac:dyDescent="0.35">
      <c r="A799" t="s">
        <v>15</v>
      </c>
      <c r="B799" s="3">
        <v>45895</v>
      </c>
      <c r="C799" t="s">
        <v>14</v>
      </c>
      <c r="D799" t="s">
        <v>13</v>
      </c>
      <c r="E799" t="s">
        <v>12</v>
      </c>
      <c r="F799" t="s">
        <v>11</v>
      </c>
      <c r="G799" t="s">
        <v>10</v>
      </c>
      <c r="H799" t="s">
        <v>9</v>
      </c>
      <c r="I799" s="10" t="s">
        <v>8</v>
      </c>
      <c r="J799" t="s">
        <v>8</v>
      </c>
      <c r="K799" s="10" t="e">
        <f t="shared" si="12"/>
        <v>#VALUE!</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3B93A-D6F0-49D4-8356-D44AAF1A70A6}">
  <sheetPr>
    <tabColor theme="4" tint="0.79998168889431442"/>
  </sheetPr>
  <dimension ref="A1:E280"/>
  <sheetViews>
    <sheetView zoomScale="80" zoomScaleNormal="80" workbookViewId="0">
      <pane ySplit="1" topLeftCell="A272" activePane="bottomLeft" state="frozen"/>
      <selection activeCell="E273" sqref="E273"/>
      <selection pane="bottomLeft" activeCell="C281" sqref="C281"/>
    </sheetView>
  </sheetViews>
  <sheetFormatPr defaultRowHeight="14.5" x14ac:dyDescent="0.35"/>
  <cols>
    <col min="1" max="1" width="16.26953125" bestFit="1" customWidth="1"/>
    <col min="2" max="2" width="37.26953125" bestFit="1" customWidth="1"/>
    <col min="3" max="3" width="18.7265625" customWidth="1"/>
    <col min="4" max="4" width="34.54296875" bestFit="1" customWidth="1"/>
    <col min="5" max="5" width="11.26953125" bestFit="1" customWidth="1"/>
  </cols>
  <sheetData>
    <row r="1" spans="1:5" x14ac:dyDescent="0.35">
      <c r="A1" s="1" t="s">
        <v>1658</v>
      </c>
      <c r="B1" s="8" t="s">
        <v>1657</v>
      </c>
      <c r="C1" s="8" t="s">
        <v>1656</v>
      </c>
      <c r="D1" s="9" t="s">
        <v>1655</v>
      </c>
      <c r="E1" s="8" t="s">
        <v>1654</v>
      </c>
    </row>
    <row r="2" spans="1:5" x14ac:dyDescent="0.35">
      <c r="A2" s="3">
        <v>45525</v>
      </c>
      <c r="B2" s="7">
        <v>316.72540300000003</v>
      </c>
      <c r="C2" s="6">
        <v>5.31</v>
      </c>
      <c r="D2" s="6">
        <v>2.0808</v>
      </c>
      <c r="E2" s="6">
        <f t="shared" ref="E2:E65" si="0">C2-D2</f>
        <v>3.2291999999999996</v>
      </c>
    </row>
    <row r="3" spans="1:5" x14ac:dyDescent="0.35">
      <c r="A3" s="3">
        <v>45526</v>
      </c>
      <c r="B3" s="7">
        <v>310.83441199999999</v>
      </c>
      <c r="C3" s="6">
        <v>5.31</v>
      </c>
      <c r="D3" s="6">
        <v>2.1019999999999999</v>
      </c>
      <c r="E3" s="6">
        <f t="shared" si="0"/>
        <v>3.2079999999999997</v>
      </c>
    </row>
    <row r="4" spans="1:5" x14ac:dyDescent="0.35">
      <c r="A4" s="3">
        <v>45527</v>
      </c>
      <c r="B4" s="7">
        <v>309.67520100000002</v>
      </c>
      <c r="C4" s="6">
        <v>5.33</v>
      </c>
      <c r="D4" s="6">
        <v>2.1230000000000002</v>
      </c>
      <c r="E4" s="6">
        <f t="shared" si="0"/>
        <v>3.2069999999999999</v>
      </c>
    </row>
    <row r="5" spans="1:5" x14ac:dyDescent="0.35">
      <c r="A5" s="3">
        <v>45530</v>
      </c>
      <c r="B5" s="7">
        <v>305.44131499999997</v>
      </c>
      <c r="C5" s="6">
        <v>5.34</v>
      </c>
      <c r="D5" s="6">
        <v>2.1438999999999999</v>
      </c>
      <c r="E5" s="6">
        <f t="shared" si="0"/>
        <v>3.1960999999999999</v>
      </c>
    </row>
    <row r="6" spans="1:5" x14ac:dyDescent="0.35">
      <c r="A6" s="3">
        <v>45531</v>
      </c>
      <c r="B6" s="7">
        <v>307.75988799999999</v>
      </c>
      <c r="C6" s="6">
        <v>5.35</v>
      </c>
      <c r="D6" s="6">
        <v>2.1522000000000001</v>
      </c>
      <c r="E6" s="6">
        <f t="shared" si="0"/>
        <v>3.1977999999999995</v>
      </c>
    </row>
    <row r="7" spans="1:5" x14ac:dyDescent="0.35">
      <c r="A7" s="3">
        <v>45532</v>
      </c>
      <c r="B7" s="7">
        <v>307.65741000000003</v>
      </c>
      <c r="C7" s="6">
        <v>5.35</v>
      </c>
      <c r="D7" s="6">
        <v>2.1535000000000002</v>
      </c>
      <c r="E7" s="6">
        <f t="shared" si="0"/>
        <v>3.1964999999999995</v>
      </c>
    </row>
    <row r="8" spans="1:5" x14ac:dyDescent="0.35">
      <c r="A8" s="3">
        <v>45533</v>
      </c>
      <c r="B8" s="7">
        <v>304.38909899999999</v>
      </c>
      <c r="C8" s="6">
        <v>5.33</v>
      </c>
      <c r="D8" s="6">
        <v>2.1597</v>
      </c>
      <c r="E8" s="6">
        <f t="shared" si="0"/>
        <v>3.1703000000000001</v>
      </c>
    </row>
    <row r="9" spans="1:5" x14ac:dyDescent="0.35">
      <c r="A9" s="3">
        <v>45534</v>
      </c>
      <c r="B9" s="7">
        <v>301.676605</v>
      </c>
      <c r="C9" s="6">
        <v>5.32</v>
      </c>
      <c r="D9" s="6">
        <v>2.1520000000000001</v>
      </c>
      <c r="E9" s="6">
        <f t="shared" si="0"/>
        <v>3.1680000000000001</v>
      </c>
    </row>
    <row r="10" spans="1:5" x14ac:dyDescent="0.35">
      <c r="A10" s="3">
        <v>45537</v>
      </c>
      <c r="B10" s="7">
        <v>304.863586</v>
      </c>
      <c r="C10" s="6">
        <v>5.32</v>
      </c>
      <c r="D10" s="6" t="e">
        <v>#N/A</v>
      </c>
      <c r="E10" s="6" t="e">
        <f t="shared" si="0"/>
        <v>#N/A</v>
      </c>
    </row>
    <row r="11" spans="1:5" x14ac:dyDescent="0.35">
      <c r="A11" s="3">
        <v>45538</v>
      </c>
      <c r="B11" s="7">
        <v>320.11309799999998</v>
      </c>
      <c r="C11" s="6">
        <v>5.34</v>
      </c>
      <c r="D11" s="6">
        <v>2.1131000000000002</v>
      </c>
      <c r="E11" s="6">
        <f t="shared" si="0"/>
        <v>3.2268999999999997</v>
      </c>
    </row>
    <row r="12" spans="1:5" x14ac:dyDescent="0.35">
      <c r="A12" s="3">
        <v>45539</v>
      </c>
      <c r="B12" s="7">
        <v>324.28359999999998</v>
      </c>
      <c r="C12" s="6">
        <v>5.35</v>
      </c>
      <c r="D12" s="6">
        <v>2.0613999999999999</v>
      </c>
      <c r="E12" s="6">
        <f t="shared" si="0"/>
        <v>3.2885999999999997</v>
      </c>
    </row>
    <row r="13" spans="1:5" x14ac:dyDescent="0.35">
      <c r="A13" s="3">
        <v>45540</v>
      </c>
      <c r="B13" s="7">
        <v>319.01229899999998</v>
      </c>
      <c r="C13" s="6">
        <v>5.35</v>
      </c>
      <c r="D13" s="6">
        <v>2.0485000000000002</v>
      </c>
      <c r="E13" s="6">
        <f t="shared" si="0"/>
        <v>3.3014999999999994</v>
      </c>
    </row>
    <row r="14" spans="1:5" x14ac:dyDescent="0.35">
      <c r="A14" s="3">
        <v>45541</v>
      </c>
      <c r="B14" s="7">
        <v>326.75289900000001</v>
      </c>
      <c r="C14" s="6">
        <v>5.34</v>
      </c>
      <c r="D14" s="6">
        <v>2.0354000000000001</v>
      </c>
      <c r="E14" s="6">
        <f t="shared" si="0"/>
        <v>3.3045999999999998</v>
      </c>
    </row>
    <row r="15" spans="1:5" x14ac:dyDescent="0.35">
      <c r="A15" s="3">
        <v>45544</v>
      </c>
      <c r="B15" s="7">
        <v>324.80969199999998</v>
      </c>
      <c r="C15" s="6">
        <v>5.34</v>
      </c>
      <c r="D15" s="6">
        <v>2.044</v>
      </c>
      <c r="E15" s="6">
        <f t="shared" si="0"/>
        <v>3.2959999999999998</v>
      </c>
    </row>
    <row r="16" spans="1:5" x14ac:dyDescent="0.35">
      <c r="A16" s="3">
        <v>45545</v>
      </c>
      <c r="B16" s="7">
        <v>334.85079999999999</v>
      </c>
      <c r="C16" s="6">
        <v>5.33</v>
      </c>
      <c r="D16" s="6">
        <v>2.0308000000000002</v>
      </c>
      <c r="E16" s="6">
        <f t="shared" si="0"/>
        <v>3.2991999999999999</v>
      </c>
    </row>
    <row r="17" spans="1:5" x14ac:dyDescent="0.35">
      <c r="A17" s="3">
        <v>45546</v>
      </c>
      <c r="B17" s="7">
        <v>334.194794</v>
      </c>
      <c r="C17" s="6">
        <v>5.32</v>
      </c>
      <c r="D17" s="6">
        <v>2.0436000000000001</v>
      </c>
      <c r="E17" s="6">
        <f t="shared" si="0"/>
        <v>3.2764000000000002</v>
      </c>
    </row>
    <row r="18" spans="1:5" x14ac:dyDescent="0.35">
      <c r="A18" s="3">
        <v>45547</v>
      </c>
      <c r="B18" s="7">
        <v>329.88610799999998</v>
      </c>
      <c r="C18" s="6">
        <v>5.33</v>
      </c>
      <c r="D18" s="6">
        <v>2.0642</v>
      </c>
      <c r="E18" s="6">
        <f t="shared" si="0"/>
        <v>3.2658</v>
      </c>
    </row>
    <row r="19" spans="1:5" x14ac:dyDescent="0.35">
      <c r="A19" s="3">
        <v>45548</v>
      </c>
      <c r="B19" s="7">
        <v>326.68240400000002</v>
      </c>
      <c r="C19" s="6">
        <v>5.33</v>
      </c>
      <c r="D19" s="6">
        <v>2.0817999999999999</v>
      </c>
      <c r="E19" s="6">
        <f t="shared" si="0"/>
        <v>3.2482000000000002</v>
      </c>
    </row>
    <row r="20" spans="1:5" x14ac:dyDescent="0.35">
      <c r="A20" s="3">
        <v>45551</v>
      </c>
      <c r="B20" s="7">
        <v>324.86920199999997</v>
      </c>
      <c r="C20" s="6">
        <v>5.38</v>
      </c>
      <c r="D20" s="6">
        <v>2.0895000000000001</v>
      </c>
      <c r="E20" s="6">
        <f t="shared" si="0"/>
        <v>3.2904999999999998</v>
      </c>
    </row>
    <row r="21" spans="1:5" x14ac:dyDescent="0.35">
      <c r="A21" s="3">
        <v>45552</v>
      </c>
      <c r="B21" s="7">
        <v>316.959991</v>
      </c>
      <c r="C21" s="6">
        <v>5.38</v>
      </c>
      <c r="D21" s="6">
        <v>2.1084000000000001</v>
      </c>
      <c r="E21" s="6">
        <f t="shared" si="0"/>
        <v>3.2715999999999998</v>
      </c>
    </row>
    <row r="22" spans="1:5" x14ac:dyDescent="0.35">
      <c r="A22" s="3">
        <v>45553</v>
      </c>
      <c r="B22" s="7">
        <v>311.98968500000001</v>
      </c>
      <c r="C22" s="6">
        <v>5.33</v>
      </c>
      <c r="D22" s="6">
        <v>2.1114000000000002</v>
      </c>
      <c r="E22" s="6">
        <f t="shared" si="0"/>
        <v>3.2185999999999999</v>
      </c>
    </row>
    <row r="23" spans="1:5" x14ac:dyDescent="0.35">
      <c r="A23" s="3">
        <v>45554</v>
      </c>
      <c r="B23" s="7">
        <v>303.057098</v>
      </c>
      <c r="C23" s="6">
        <v>4.82</v>
      </c>
      <c r="D23" s="6">
        <v>2.1613000000000002</v>
      </c>
      <c r="E23" s="6">
        <f t="shared" si="0"/>
        <v>2.6587000000000001</v>
      </c>
    </row>
    <row r="24" spans="1:5" x14ac:dyDescent="0.35">
      <c r="A24" s="3">
        <v>45555</v>
      </c>
      <c r="B24" s="7">
        <v>305.85760499999998</v>
      </c>
      <c r="C24" s="6">
        <v>4.83</v>
      </c>
      <c r="D24" s="6">
        <v>2.1530999999999998</v>
      </c>
      <c r="E24" s="6">
        <f t="shared" si="0"/>
        <v>2.6769000000000003</v>
      </c>
    </row>
    <row r="25" spans="1:5" x14ac:dyDescent="0.35">
      <c r="A25" s="3">
        <v>45558</v>
      </c>
      <c r="B25" s="7">
        <v>306.729309</v>
      </c>
      <c r="C25" s="6">
        <v>4.83</v>
      </c>
      <c r="D25" s="6">
        <v>2.1665000000000001</v>
      </c>
      <c r="E25" s="6">
        <f t="shared" si="0"/>
        <v>2.6635</v>
      </c>
    </row>
    <row r="26" spans="1:5" x14ac:dyDescent="0.35">
      <c r="A26" s="3">
        <v>45559</v>
      </c>
      <c r="B26" s="7">
        <v>311.32690400000001</v>
      </c>
      <c r="C26" s="6">
        <v>4.84</v>
      </c>
      <c r="D26" s="6">
        <v>2.1768999999999998</v>
      </c>
      <c r="E26" s="6">
        <f t="shared" si="0"/>
        <v>2.6631</v>
      </c>
    </row>
    <row r="27" spans="1:5" x14ac:dyDescent="0.35">
      <c r="A27" s="3">
        <v>45560</v>
      </c>
      <c r="B27" s="7">
        <v>308.83660900000001</v>
      </c>
      <c r="C27" s="6">
        <v>4.84</v>
      </c>
      <c r="D27" s="6">
        <v>2.1777000000000002</v>
      </c>
      <c r="E27" s="6">
        <f t="shared" si="0"/>
        <v>2.6622999999999997</v>
      </c>
    </row>
    <row r="28" spans="1:5" x14ac:dyDescent="0.35">
      <c r="A28" s="3">
        <v>45561</v>
      </c>
      <c r="B28" s="7">
        <v>304.44250499999998</v>
      </c>
      <c r="C28" s="6">
        <v>4.83</v>
      </c>
      <c r="D28" s="6">
        <v>2.1699000000000002</v>
      </c>
      <c r="E28" s="6">
        <f t="shared" si="0"/>
        <v>2.6600999999999999</v>
      </c>
    </row>
    <row r="29" spans="1:5" x14ac:dyDescent="0.35">
      <c r="A29" s="3">
        <v>45562</v>
      </c>
      <c r="B29" s="7">
        <v>303.38580300000001</v>
      </c>
      <c r="C29" s="6">
        <v>4.84</v>
      </c>
      <c r="D29" s="6">
        <v>2.1583000000000001</v>
      </c>
      <c r="E29" s="6">
        <f t="shared" si="0"/>
        <v>2.6816999999999998</v>
      </c>
    </row>
    <row r="30" spans="1:5" x14ac:dyDescent="0.35">
      <c r="A30" s="3">
        <v>45565</v>
      </c>
      <c r="B30" s="7">
        <v>299.720215</v>
      </c>
      <c r="C30" s="6">
        <v>4.96</v>
      </c>
      <c r="D30" s="6">
        <v>2.1873</v>
      </c>
      <c r="E30" s="6">
        <f t="shared" si="0"/>
        <v>2.7726999999999999</v>
      </c>
    </row>
    <row r="31" spans="1:5" x14ac:dyDescent="0.35">
      <c r="A31" s="3">
        <v>45566</v>
      </c>
      <c r="B31" s="7">
        <v>299.689392</v>
      </c>
      <c r="C31" s="6">
        <v>5.05</v>
      </c>
      <c r="D31" s="6">
        <v>2.1932999999999998</v>
      </c>
      <c r="E31" s="6">
        <f t="shared" si="0"/>
        <v>2.8567</v>
      </c>
    </row>
    <row r="32" spans="1:5" x14ac:dyDescent="0.35">
      <c r="A32" s="3">
        <v>45567</v>
      </c>
      <c r="B32" s="7">
        <v>299.20678700000002</v>
      </c>
      <c r="C32" s="6">
        <v>4.92</v>
      </c>
      <c r="D32" s="6">
        <v>2.2143999999999999</v>
      </c>
      <c r="E32" s="6">
        <f t="shared" si="0"/>
        <v>2.7056</v>
      </c>
    </row>
    <row r="33" spans="1:5" x14ac:dyDescent="0.35">
      <c r="A33" s="3">
        <v>45568</v>
      </c>
      <c r="B33" s="7">
        <v>297.33511399999998</v>
      </c>
      <c r="C33" s="6">
        <v>4.8499999999999996</v>
      </c>
      <c r="D33" s="6">
        <v>2.2069999999999999</v>
      </c>
      <c r="E33" s="6">
        <f t="shared" si="0"/>
        <v>2.6429999999999998</v>
      </c>
    </row>
    <row r="34" spans="1:5" x14ac:dyDescent="0.35">
      <c r="A34" s="3">
        <v>45569</v>
      </c>
      <c r="B34" s="7">
        <v>283.45150799999999</v>
      </c>
      <c r="C34" s="6">
        <v>4.83</v>
      </c>
      <c r="D34" s="6">
        <v>2.2332999999999998</v>
      </c>
      <c r="E34" s="6">
        <f t="shared" si="0"/>
        <v>2.5967000000000002</v>
      </c>
    </row>
    <row r="35" spans="1:5" x14ac:dyDescent="0.35">
      <c r="A35" s="3">
        <v>45572</v>
      </c>
      <c r="B35" s="7">
        <v>289.34439099999997</v>
      </c>
      <c r="C35" s="6">
        <v>4.83</v>
      </c>
      <c r="D35" s="6">
        <v>2.2734999999999999</v>
      </c>
      <c r="E35" s="6">
        <f t="shared" si="0"/>
        <v>2.5565000000000002</v>
      </c>
    </row>
    <row r="36" spans="1:5" x14ac:dyDescent="0.35">
      <c r="A36" s="3">
        <v>45573</v>
      </c>
      <c r="B36" s="7">
        <v>294.30310100000003</v>
      </c>
      <c r="C36" s="6">
        <v>4.84</v>
      </c>
      <c r="D36" s="6">
        <v>2.2841999999999998</v>
      </c>
      <c r="E36" s="6">
        <f t="shared" si="0"/>
        <v>2.5558000000000001</v>
      </c>
    </row>
    <row r="37" spans="1:5" x14ac:dyDescent="0.35">
      <c r="A37" s="3">
        <v>45574</v>
      </c>
      <c r="B37" s="7">
        <v>290.01638800000001</v>
      </c>
      <c r="C37" s="6">
        <v>4.83</v>
      </c>
      <c r="D37" s="6">
        <v>2.2961999999999998</v>
      </c>
      <c r="E37" s="6">
        <f t="shared" si="0"/>
        <v>2.5338000000000003</v>
      </c>
    </row>
    <row r="38" spans="1:5" x14ac:dyDescent="0.35">
      <c r="A38" s="3">
        <v>45575</v>
      </c>
      <c r="B38" s="7">
        <v>294.192902</v>
      </c>
      <c r="C38" s="6">
        <v>4.82</v>
      </c>
      <c r="D38" s="6">
        <v>2.3298999999999999</v>
      </c>
      <c r="E38" s="6">
        <f t="shared" si="0"/>
        <v>2.4901000000000004</v>
      </c>
    </row>
    <row r="39" spans="1:5" x14ac:dyDescent="0.35">
      <c r="A39" s="3">
        <v>45576</v>
      </c>
      <c r="B39" s="7">
        <v>293.93630999999999</v>
      </c>
      <c r="C39" s="6">
        <v>4.8099999999999996</v>
      </c>
      <c r="D39" s="6">
        <v>2.3323999999999998</v>
      </c>
      <c r="E39" s="6">
        <f t="shared" si="0"/>
        <v>2.4775999999999998</v>
      </c>
    </row>
    <row r="40" spans="1:5" x14ac:dyDescent="0.35">
      <c r="A40" s="3">
        <v>45579</v>
      </c>
      <c r="B40" s="7">
        <v>293.93630999999999</v>
      </c>
      <c r="C40" s="6">
        <v>4.8099999999999996</v>
      </c>
      <c r="D40" s="6" t="e">
        <v>#N/A</v>
      </c>
      <c r="E40" s="6" t="e">
        <f t="shared" si="0"/>
        <v>#N/A</v>
      </c>
    </row>
    <row r="41" spans="1:5" x14ac:dyDescent="0.35">
      <c r="A41" s="3">
        <v>45580</v>
      </c>
      <c r="B41" s="7">
        <v>288.85119600000002</v>
      </c>
      <c r="C41" s="6">
        <v>4.8600000000000003</v>
      </c>
      <c r="D41" s="6">
        <v>2.2778</v>
      </c>
      <c r="E41" s="6">
        <f t="shared" si="0"/>
        <v>2.5822000000000003</v>
      </c>
    </row>
    <row r="42" spans="1:5" x14ac:dyDescent="0.35">
      <c r="A42" s="3">
        <v>45581</v>
      </c>
      <c r="B42" s="7">
        <v>286.424103</v>
      </c>
      <c r="C42" s="6">
        <v>4.8600000000000003</v>
      </c>
      <c r="D42" s="6">
        <v>2.2709000000000001</v>
      </c>
      <c r="E42" s="6">
        <f t="shared" si="0"/>
        <v>2.5891000000000002</v>
      </c>
    </row>
    <row r="43" spans="1:5" x14ac:dyDescent="0.35">
      <c r="A43" s="3">
        <v>45582</v>
      </c>
      <c r="B43" s="7">
        <v>284.18499800000001</v>
      </c>
      <c r="C43" s="6">
        <v>4.8499999999999996</v>
      </c>
      <c r="D43" s="6">
        <v>2.3105000000000002</v>
      </c>
      <c r="E43" s="6">
        <f t="shared" si="0"/>
        <v>2.5394999999999994</v>
      </c>
    </row>
    <row r="44" spans="1:5" x14ac:dyDescent="0.35">
      <c r="A44" s="3">
        <v>45583</v>
      </c>
      <c r="B44" s="7">
        <v>285.35751299999998</v>
      </c>
      <c r="C44" s="6">
        <v>4.84</v>
      </c>
      <c r="D44" s="6">
        <v>2.3064</v>
      </c>
      <c r="E44" s="6">
        <f t="shared" si="0"/>
        <v>2.5335999999999999</v>
      </c>
    </row>
    <row r="45" spans="1:5" x14ac:dyDescent="0.35">
      <c r="A45" s="3">
        <v>45586</v>
      </c>
      <c r="B45" s="7">
        <v>282.92150900000001</v>
      </c>
      <c r="C45" s="6">
        <v>4.82</v>
      </c>
      <c r="D45" s="6">
        <v>2.3178000000000001</v>
      </c>
      <c r="E45" s="6">
        <f t="shared" si="0"/>
        <v>2.5022000000000002</v>
      </c>
    </row>
    <row r="46" spans="1:5" x14ac:dyDescent="0.35">
      <c r="A46" s="3">
        <v>45587</v>
      </c>
      <c r="B46" s="7">
        <v>287.66909800000002</v>
      </c>
      <c r="C46" s="6">
        <v>4.83</v>
      </c>
      <c r="D46" s="6">
        <v>2.3368000000000002</v>
      </c>
      <c r="E46" s="6">
        <f t="shared" si="0"/>
        <v>2.4931999999999999</v>
      </c>
    </row>
    <row r="47" spans="1:5" x14ac:dyDescent="0.35">
      <c r="A47" s="3">
        <v>45588</v>
      </c>
      <c r="B47" s="7">
        <v>289.68789700000002</v>
      </c>
      <c r="C47" s="6">
        <v>4.83</v>
      </c>
      <c r="D47" s="6">
        <v>2.3209</v>
      </c>
      <c r="E47" s="6">
        <f t="shared" si="0"/>
        <v>2.5091000000000001</v>
      </c>
    </row>
    <row r="48" spans="1:5" x14ac:dyDescent="0.35">
      <c r="A48" s="3">
        <v>45589</v>
      </c>
      <c r="B48" s="7">
        <v>288.89810199999999</v>
      </c>
      <c r="C48" s="6">
        <v>4.83</v>
      </c>
      <c r="D48" s="6">
        <v>2.2985000000000002</v>
      </c>
      <c r="E48" s="6">
        <f t="shared" si="0"/>
        <v>2.5314999999999999</v>
      </c>
    </row>
    <row r="49" spans="1:5" x14ac:dyDescent="0.35">
      <c r="A49" s="3">
        <v>45590</v>
      </c>
      <c r="B49" s="7">
        <v>285.79321299999998</v>
      </c>
      <c r="C49" s="6">
        <v>4.83</v>
      </c>
      <c r="D49" s="6">
        <v>2.2938000000000001</v>
      </c>
      <c r="E49" s="6">
        <f t="shared" si="0"/>
        <v>2.5362</v>
      </c>
    </row>
    <row r="50" spans="1:5" x14ac:dyDescent="0.35">
      <c r="A50" s="3">
        <v>45593</v>
      </c>
      <c r="B50" s="7">
        <v>279.58758499999999</v>
      </c>
      <c r="C50" s="6">
        <v>4.82</v>
      </c>
      <c r="D50" s="6">
        <v>2.294</v>
      </c>
      <c r="E50" s="6">
        <f t="shared" si="0"/>
        <v>2.5260000000000002</v>
      </c>
    </row>
    <row r="51" spans="1:5" x14ac:dyDescent="0.35">
      <c r="A51" s="3">
        <v>45594</v>
      </c>
      <c r="B51" s="7">
        <v>281.71579000000003</v>
      </c>
      <c r="C51" s="6">
        <v>4.82</v>
      </c>
      <c r="D51" s="6">
        <v>2.3136999999999999</v>
      </c>
      <c r="E51" s="6">
        <f t="shared" si="0"/>
        <v>2.5063000000000004</v>
      </c>
    </row>
    <row r="52" spans="1:5" x14ac:dyDescent="0.35">
      <c r="A52" s="3">
        <v>45595</v>
      </c>
      <c r="B52" s="7">
        <v>276.27758799999998</v>
      </c>
      <c r="C52" s="6">
        <v>4.8099999999999996</v>
      </c>
      <c r="D52" s="6">
        <v>2.3469000000000002</v>
      </c>
      <c r="E52" s="6">
        <f t="shared" si="0"/>
        <v>2.4630999999999994</v>
      </c>
    </row>
    <row r="53" spans="1:5" x14ac:dyDescent="0.35">
      <c r="A53" s="3">
        <v>45596</v>
      </c>
      <c r="B53" s="7">
        <v>282.57849099999999</v>
      </c>
      <c r="C53" s="6">
        <v>4.9000000000000004</v>
      </c>
      <c r="D53" s="6">
        <v>2.3275000000000001</v>
      </c>
      <c r="E53" s="6">
        <f t="shared" si="0"/>
        <v>2.5725000000000002</v>
      </c>
    </row>
    <row r="54" spans="1:5" x14ac:dyDescent="0.35">
      <c r="A54" s="3">
        <v>45597</v>
      </c>
      <c r="B54" s="7">
        <v>275.35461400000003</v>
      </c>
      <c r="C54" s="6">
        <v>4.8600000000000003</v>
      </c>
      <c r="D54" s="6">
        <v>2.3371</v>
      </c>
      <c r="E54" s="6">
        <f t="shared" si="0"/>
        <v>2.5229000000000004</v>
      </c>
    </row>
    <row r="55" spans="1:5" x14ac:dyDescent="0.35">
      <c r="A55" s="3">
        <v>45600</v>
      </c>
      <c r="B55" s="7">
        <v>279.48330700000002</v>
      </c>
      <c r="C55" s="6">
        <v>4.82</v>
      </c>
      <c r="D55" s="6">
        <v>2.2776999999999998</v>
      </c>
      <c r="E55" s="6">
        <f t="shared" si="0"/>
        <v>2.5423000000000004</v>
      </c>
    </row>
    <row r="56" spans="1:5" x14ac:dyDescent="0.35">
      <c r="A56" s="3">
        <v>45601</v>
      </c>
      <c r="B56" s="7">
        <v>278.28338600000001</v>
      </c>
      <c r="C56" s="6">
        <v>4.82</v>
      </c>
      <c r="D56" s="6">
        <v>2.302</v>
      </c>
      <c r="E56" s="6">
        <f t="shared" si="0"/>
        <v>2.5180000000000002</v>
      </c>
    </row>
    <row r="57" spans="1:5" x14ac:dyDescent="0.35">
      <c r="A57" s="3">
        <v>45602</v>
      </c>
      <c r="B57" s="7">
        <v>265.70419299999998</v>
      </c>
      <c r="C57" s="6">
        <v>4.8099999999999996</v>
      </c>
      <c r="D57" s="6">
        <v>2.4001999999999999</v>
      </c>
      <c r="E57" s="6">
        <f t="shared" si="0"/>
        <v>2.4097999999999997</v>
      </c>
    </row>
    <row r="58" spans="1:5" x14ac:dyDescent="0.35">
      <c r="A58" s="3">
        <v>45603</v>
      </c>
      <c r="B58" s="7">
        <v>267.29348800000002</v>
      </c>
      <c r="C58" s="6">
        <v>4.82</v>
      </c>
      <c r="D58" s="6">
        <v>2.3706999999999998</v>
      </c>
      <c r="E58" s="6">
        <f t="shared" si="0"/>
        <v>2.4493000000000005</v>
      </c>
    </row>
    <row r="59" spans="1:5" x14ac:dyDescent="0.35">
      <c r="A59" s="3">
        <v>45604</v>
      </c>
      <c r="B59" s="7">
        <v>256.27801499999998</v>
      </c>
      <c r="C59" s="6">
        <v>4.5999999999999996</v>
      </c>
      <c r="D59" s="6">
        <v>2.3631000000000002</v>
      </c>
      <c r="E59" s="6">
        <f t="shared" si="0"/>
        <v>2.2368999999999994</v>
      </c>
    </row>
    <row r="60" spans="1:5" x14ac:dyDescent="0.35">
      <c r="A60" s="3">
        <v>45607</v>
      </c>
      <c r="B60" s="7">
        <v>256.27801499999998</v>
      </c>
      <c r="C60" s="6">
        <v>4.5999999999999996</v>
      </c>
      <c r="D60" s="6" t="e">
        <v>#N/A</v>
      </c>
      <c r="E60" s="6" t="e">
        <f t="shared" si="0"/>
        <v>#N/A</v>
      </c>
    </row>
    <row r="61" spans="1:5" x14ac:dyDescent="0.35">
      <c r="A61" s="3">
        <v>45608</v>
      </c>
      <c r="B61" s="7">
        <v>252.667801</v>
      </c>
      <c r="C61" s="6">
        <v>4.5999999999999996</v>
      </c>
      <c r="D61" s="6">
        <v>2.3675999999999999</v>
      </c>
      <c r="E61" s="6">
        <f t="shared" si="0"/>
        <v>2.2323999999999997</v>
      </c>
    </row>
    <row r="62" spans="1:5" x14ac:dyDescent="0.35">
      <c r="A62" s="3">
        <v>45609</v>
      </c>
      <c r="B62" s="7">
        <v>255.22030599999999</v>
      </c>
      <c r="C62" s="6">
        <v>4.59</v>
      </c>
      <c r="D62" s="6">
        <v>2.3658000000000001</v>
      </c>
      <c r="E62" s="6">
        <f t="shared" si="0"/>
        <v>2.2241999999999997</v>
      </c>
    </row>
    <row r="63" spans="1:5" x14ac:dyDescent="0.35">
      <c r="A63" s="3">
        <v>45610</v>
      </c>
      <c r="B63" s="7">
        <v>254.170502</v>
      </c>
      <c r="C63" s="6">
        <v>4.58</v>
      </c>
      <c r="D63" s="6">
        <v>2.3454000000000002</v>
      </c>
      <c r="E63" s="6">
        <f t="shared" si="0"/>
        <v>2.2345999999999999</v>
      </c>
    </row>
    <row r="64" spans="1:5" x14ac:dyDescent="0.35">
      <c r="A64" s="3">
        <v>45611</v>
      </c>
      <c r="B64" s="7">
        <v>264.82681300000002</v>
      </c>
      <c r="C64" s="6">
        <v>4.57</v>
      </c>
      <c r="D64" s="6">
        <v>2.3408000000000002</v>
      </c>
      <c r="E64" s="6">
        <f t="shared" si="0"/>
        <v>2.2292000000000001</v>
      </c>
    </row>
    <row r="65" spans="1:5" x14ac:dyDescent="0.35">
      <c r="A65" s="3">
        <v>45614</v>
      </c>
      <c r="B65" s="7">
        <v>267.57510400000001</v>
      </c>
      <c r="C65" s="6">
        <v>4.57</v>
      </c>
      <c r="D65" s="6">
        <v>2.3525999999999998</v>
      </c>
      <c r="E65" s="6">
        <f t="shared" si="0"/>
        <v>2.2174000000000005</v>
      </c>
    </row>
    <row r="66" spans="1:5" x14ac:dyDescent="0.35">
      <c r="A66" s="3">
        <v>45615</v>
      </c>
      <c r="B66" s="7">
        <v>264.946594</v>
      </c>
      <c r="C66" s="6">
        <v>4.57</v>
      </c>
      <c r="D66" s="6">
        <v>2.3509000000000002</v>
      </c>
      <c r="E66" s="6">
        <f t="shared" ref="E66:E129" si="1">C66-D66</f>
        <v>2.2191000000000001</v>
      </c>
    </row>
    <row r="67" spans="1:5" x14ac:dyDescent="0.35">
      <c r="A67" s="3">
        <v>45616</v>
      </c>
      <c r="B67" s="7">
        <v>262.48599200000001</v>
      </c>
      <c r="C67" s="6">
        <v>4.5599999999999996</v>
      </c>
      <c r="D67" s="6">
        <v>2.3618000000000001</v>
      </c>
      <c r="E67" s="6">
        <f t="shared" si="1"/>
        <v>2.1981999999999995</v>
      </c>
    </row>
    <row r="68" spans="1:5" x14ac:dyDescent="0.35">
      <c r="A68" s="3">
        <v>45617</v>
      </c>
      <c r="B68" s="7">
        <v>256.76959199999999</v>
      </c>
      <c r="C68" s="6">
        <v>4.57</v>
      </c>
      <c r="D68" s="6">
        <v>2.3521999999999998</v>
      </c>
      <c r="E68" s="6">
        <f t="shared" si="1"/>
        <v>2.2178000000000004</v>
      </c>
    </row>
    <row r="69" spans="1:5" x14ac:dyDescent="0.35">
      <c r="A69" s="3">
        <v>45618</v>
      </c>
      <c r="B69" s="7">
        <v>257.56381199999998</v>
      </c>
      <c r="C69" s="6">
        <v>4.57</v>
      </c>
      <c r="D69" s="6">
        <v>2.3544999999999998</v>
      </c>
      <c r="E69" s="6">
        <f t="shared" si="1"/>
        <v>2.2155000000000005</v>
      </c>
    </row>
    <row r="70" spans="1:5" x14ac:dyDescent="0.35">
      <c r="A70" s="3">
        <v>45621</v>
      </c>
      <c r="B70" s="7">
        <v>261.13171399999999</v>
      </c>
      <c r="C70" s="6">
        <v>4.58</v>
      </c>
      <c r="D70" s="6">
        <v>2.2986</v>
      </c>
      <c r="E70" s="6">
        <f t="shared" si="1"/>
        <v>2.2814000000000001</v>
      </c>
    </row>
    <row r="71" spans="1:5" x14ac:dyDescent="0.35">
      <c r="A71" s="3">
        <v>45622</v>
      </c>
      <c r="B71" s="7">
        <v>263.43090799999999</v>
      </c>
      <c r="C71" s="6">
        <v>4.58</v>
      </c>
      <c r="D71" s="6">
        <v>2.2894999999999999</v>
      </c>
      <c r="E71" s="6">
        <f t="shared" si="1"/>
        <v>2.2905000000000002</v>
      </c>
    </row>
    <row r="72" spans="1:5" x14ac:dyDescent="0.35">
      <c r="A72" s="3">
        <v>45623</v>
      </c>
      <c r="B72" s="7">
        <v>265.04541</v>
      </c>
      <c r="C72" s="6">
        <v>4.57</v>
      </c>
      <c r="D72" s="6">
        <v>2.2783000000000002</v>
      </c>
      <c r="E72" s="6">
        <f t="shared" si="1"/>
        <v>2.2917000000000001</v>
      </c>
    </row>
    <row r="73" spans="1:5" x14ac:dyDescent="0.35">
      <c r="A73" s="3">
        <v>45624</v>
      </c>
      <c r="B73" s="7">
        <v>265.04541</v>
      </c>
      <c r="C73" s="6">
        <v>4.57</v>
      </c>
      <c r="D73" s="6" t="e">
        <v>#N/A</v>
      </c>
      <c r="E73" s="6" t="e">
        <f t="shared" si="1"/>
        <v>#N/A</v>
      </c>
    </row>
    <row r="74" spans="1:5" x14ac:dyDescent="0.35">
      <c r="A74" s="3">
        <v>45625</v>
      </c>
      <c r="B74" s="7">
        <v>264.76501500000001</v>
      </c>
      <c r="C74" s="6">
        <v>4.59</v>
      </c>
      <c r="D74" s="6">
        <v>2.2679</v>
      </c>
      <c r="E74" s="6">
        <f t="shared" si="1"/>
        <v>2.3220999999999998</v>
      </c>
    </row>
    <row r="75" spans="1:5" x14ac:dyDescent="0.35">
      <c r="A75" s="3">
        <v>45628</v>
      </c>
      <c r="B75" s="7">
        <v>263.61569200000002</v>
      </c>
      <c r="C75" s="6">
        <v>4.6399999999999997</v>
      </c>
      <c r="D75" s="6">
        <v>2.2648999999999999</v>
      </c>
      <c r="E75" s="6">
        <f t="shared" si="1"/>
        <v>2.3750999999999998</v>
      </c>
    </row>
    <row r="76" spans="1:5" x14ac:dyDescent="0.35">
      <c r="A76" s="3">
        <v>45629</v>
      </c>
      <c r="B76" s="7">
        <v>261.90368699999999</v>
      </c>
      <c r="C76" s="6">
        <v>4.6399999999999997</v>
      </c>
      <c r="D76" s="6">
        <v>2.3086000000000002</v>
      </c>
      <c r="E76" s="6">
        <f t="shared" si="1"/>
        <v>2.3313999999999995</v>
      </c>
    </row>
    <row r="77" spans="1:5" x14ac:dyDescent="0.35">
      <c r="A77" s="3">
        <v>45630</v>
      </c>
      <c r="B77" s="7">
        <v>262.247589</v>
      </c>
      <c r="C77" s="6">
        <v>4.59</v>
      </c>
      <c r="D77" s="6">
        <v>2.2879999999999998</v>
      </c>
      <c r="E77" s="6">
        <f t="shared" si="1"/>
        <v>2.302</v>
      </c>
    </row>
    <row r="78" spans="1:5" x14ac:dyDescent="0.35">
      <c r="A78" s="3">
        <v>45631</v>
      </c>
      <c r="B78" s="7">
        <v>262.05538899999999</v>
      </c>
      <c r="C78" s="6">
        <v>4.59</v>
      </c>
      <c r="D78" s="6">
        <v>2.2728999999999999</v>
      </c>
      <c r="E78" s="6">
        <f t="shared" si="1"/>
        <v>2.3170999999999999</v>
      </c>
    </row>
    <row r="79" spans="1:5" x14ac:dyDescent="0.35">
      <c r="A79" s="3">
        <v>45632</v>
      </c>
      <c r="B79" s="7">
        <v>263.60519399999998</v>
      </c>
      <c r="C79" s="6">
        <v>4.5999999999999996</v>
      </c>
      <c r="D79" s="6">
        <v>2.2526000000000002</v>
      </c>
      <c r="E79" s="6">
        <f t="shared" si="1"/>
        <v>2.3473999999999995</v>
      </c>
    </row>
    <row r="80" spans="1:5" x14ac:dyDescent="0.35">
      <c r="A80" s="3">
        <v>45635</v>
      </c>
      <c r="B80" s="7">
        <v>262.212311</v>
      </c>
      <c r="C80" s="6">
        <v>4.63</v>
      </c>
      <c r="D80" s="6">
        <v>2.2667999999999999</v>
      </c>
      <c r="E80" s="6">
        <f t="shared" si="1"/>
        <v>2.3632</v>
      </c>
    </row>
    <row r="81" spans="1:5" x14ac:dyDescent="0.35">
      <c r="A81" s="3">
        <v>45636</v>
      </c>
      <c r="B81" s="7">
        <v>262.77459700000003</v>
      </c>
      <c r="C81" s="6">
        <v>4.6399999999999997</v>
      </c>
      <c r="D81" s="6">
        <v>2.2970999999999999</v>
      </c>
      <c r="E81" s="6">
        <f t="shared" si="1"/>
        <v>2.3428999999999998</v>
      </c>
    </row>
    <row r="82" spans="1:5" x14ac:dyDescent="0.35">
      <c r="A82" s="3">
        <v>45637</v>
      </c>
      <c r="B82" s="7">
        <v>259.33590700000002</v>
      </c>
      <c r="C82" s="6">
        <v>4.62</v>
      </c>
      <c r="D82" s="6">
        <v>2.3188</v>
      </c>
      <c r="E82" s="6">
        <f t="shared" si="1"/>
        <v>2.3012000000000001</v>
      </c>
    </row>
    <row r="83" spans="1:5" x14ac:dyDescent="0.35">
      <c r="A83" s="3">
        <v>45638</v>
      </c>
      <c r="B83" s="7">
        <v>258.32919299999998</v>
      </c>
      <c r="C83" s="6">
        <v>4.62</v>
      </c>
      <c r="D83" s="6">
        <v>2.3275000000000001</v>
      </c>
      <c r="E83" s="6">
        <f t="shared" si="1"/>
        <v>2.2925</v>
      </c>
    </row>
    <row r="84" spans="1:5" x14ac:dyDescent="0.35">
      <c r="A84" s="3">
        <v>45639</v>
      </c>
      <c r="B84" s="7">
        <v>261.29669200000001</v>
      </c>
      <c r="C84" s="6">
        <v>4.5999999999999996</v>
      </c>
      <c r="D84" s="6">
        <v>2.3454999999999999</v>
      </c>
      <c r="E84" s="6">
        <f t="shared" si="1"/>
        <v>2.2544999999999997</v>
      </c>
    </row>
    <row r="85" spans="1:5" x14ac:dyDescent="0.35">
      <c r="A85" s="3">
        <v>45642</v>
      </c>
      <c r="B85" s="7">
        <v>263.949005</v>
      </c>
      <c r="C85" s="6">
        <v>4.6500000000000004</v>
      </c>
      <c r="D85" s="6">
        <v>2.327</v>
      </c>
      <c r="E85" s="6">
        <f t="shared" si="1"/>
        <v>2.3230000000000004</v>
      </c>
    </row>
    <row r="86" spans="1:5" x14ac:dyDescent="0.35">
      <c r="A86" s="3">
        <v>45643</v>
      </c>
      <c r="B86" s="7">
        <v>269.71640000000002</v>
      </c>
      <c r="C86" s="6">
        <v>4.62</v>
      </c>
      <c r="D86" s="6">
        <v>2.3149999999999999</v>
      </c>
      <c r="E86" s="6">
        <f t="shared" si="1"/>
        <v>2.3050000000000002</v>
      </c>
    </row>
    <row r="87" spans="1:5" x14ac:dyDescent="0.35">
      <c r="A87" s="3">
        <v>45644</v>
      </c>
      <c r="B87" s="7">
        <v>266.82739299999997</v>
      </c>
      <c r="C87" s="6">
        <v>4.57</v>
      </c>
      <c r="D87" s="6">
        <v>2.3155999999999999</v>
      </c>
      <c r="E87" s="6">
        <f t="shared" si="1"/>
        <v>2.2544000000000004</v>
      </c>
    </row>
    <row r="88" spans="1:5" x14ac:dyDescent="0.35">
      <c r="A88" s="3">
        <v>45645</v>
      </c>
      <c r="B88" s="7">
        <v>283.95300300000002</v>
      </c>
      <c r="C88" s="6">
        <v>4.3</v>
      </c>
      <c r="D88" s="6">
        <v>2.2976000000000001</v>
      </c>
      <c r="E88" s="6">
        <f t="shared" si="1"/>
        <v>2.0023999999999997</v>
      </c>
    </row>
    <row r="89" spans="1:5" x14ac:dyDescent="0.35">
      <c r="A89" s="3">
        <v>45646</v>
      </c>
      <c r="B89" s="7">
        <v>284.16839599999997</v>
      </c>
      <c r="C89" s="6">
        <v>4.3</v>
      </c>
      <c r="D89" s="6">
        <v>2.2987000000000002</v>
      </c>
      <c r="E89" s="6">
        <f t="shared" si="1"/>
        <v>2.0012999999999996</v>
      </c>
    </row>
    <row r="90" spans="1:5" x14ac:dyDescent="0.35">
      <c r="A90" s="3">
        <v>45649</v>
      </c>
      <c r="B90" s="7">
        <v>280.63980099999998</v>
      </c>
      <c r="C90" s="6">
        <v>4.3099999999999996</v>
      </c>
      <c r="D90" s="6">
        <v>2.3382000000000001</v>
      </c>
      <c r="E90" s="6">
        <f t="shared" si="1"/>
        <v>1.9717999999999996</v>
      </c>
    </row>
    <row r="91" spans="1:5" x14ac:dyDescent="0.35">
      <c r="A91" s="3">
        <v>45650</v>
      </c>
      <c r="B91" s="7">
        <v>281.40438799999998</v>
      </c>
      <c r="C91" s="6">
        <v>4.4000000000000004</v>
      </c>
      <c r="D91" s="6">
        <v>2.3534000000000002</v>
      </c>
      <c r="E91" s="6">
        <f t="shared" si="1"/>
        <v>2.0466000000000002</v>
      </c>
    </row>
    <row r="92" spans="1:5" x14ac:dyDescent="0.35">
      <c r="A92" s="3">
        <v>45651</v>
      </c>
      <c r="B92" s="7">
        <v>281.40438799999998</v>
      </c>
      <c r="C92" s="6">
        <v>4.4000000000000004</v>
      </c>
      <c r="D92" s="6" t="e">
        <v>#N/A</v>
      </c>
      <c r="E92" s="6" t="e">
        <f t="shared" si="1"/>
        <v>#N/A</v>
      </c>
    </row>
    <row r="93" spans="1:5" x14ac:dyDescent="0.35">
      <c r="A93" s="3">
        <v>45652</v>
      </c>
      <c r="B93" s="7">
        <v>278.42669699999999</v>
      </c>
      <c r="C93" s="6">
        <v>4.53</v>
      </c>
      <c r="D93" s="6">
        <v>2.3491</v>
      </c>
      <c r="E93" s="6">
        <f t="shared" si="1"/>
        <v>2.1809000000000003</v>
      </c>
    </row>
    <row r="94" spans="1:5" x14ac:dyDescent="0.35">
      <c r="A94" s="3">
        <v>45653</v>
      </c>
      <c r="B94" s="7">
        <v>280.66290300000003</v>
      </c>
      <c r="C94" s="6">
        <v>4.46</v>
      </c>
      <c r="D94" s="6">
        <v>2.3534000000000002</v>
      </c>
      <c r="E94" s="6">
        <f t="shared" si="1"/>
        <v>2.1065999999999998</v>
      </c>
    </row>
    <row r="95" spans="1:5" x14ac:dyDescent="0.35">
      <c r="A95" s="3">
        <v>45656</v>
      </c>
      <c r="B95" s="7">
        <v>287.21380599999998</v>
      </c>
      <c r="C95" s="6">
        <v>4.37</v>
      </c>
      <c r="D95" s="6">
        <v>2.3262</v>
      </c>
      <c r="E95" s="6">
        <f t="shared" si="1"/>
        <v>2.0438000000000001</v>
      </c>
    </row>
    <row r="96" spans="1:5" x14ac:dyDescent="0.35">
      <c r="A96" s="3">
        <v>45657</v>
      </c>
      <c r="B96" s="7">
        <v>287.37750199999999</v>
      </c>
      <c r="C96" s="6">
        <v>4.49</v>
      </c>
      <c r="D96" s="6">
        <v>2.3388</v>
      </c>
      <c r="E96" s="6">
        <f t="shared" si="1"/>
        <v>2.1512000000000002</v>
      </c>
    </row>
    <row r="97" spans="1:5" x14ac:dyDescent="0.35">
      <c r="A97" s="3">
        <v>45659</v>
      </c>
      <c r="B97" s="7">
        <v>281.79058800000001</v>
      </c>
      <c r="C97" s="6">
        <v>4.4000000000000004</v>
      </c>
      <c r="D97" s="6">
        <v>2.3401999999999998</v>
      </c>
      <c r="E97" s="6">
        <f t="shared" si="1"/>
        <v>2.0598000000000005</v>
      </c>
    </row>
    <row r="98" spans="1:5" x14ac:dyDescent="0.35">
      <c r="A98" s="3">
        <v>45660</v>
      </c>
      <c r="B98" s="7">
        <v>274.405396</v>
      </c>
      <c r="C98" s="6">
        <v>4.3099999999999996</v>
      </c>
      <c r="D98" s="6">
        <v>2.3399000000000001</v>
      </c>
      <c r="E98" s="6">
        <f t="shared" si="1"/>
        <v>1.9700999999999995</v>
      </c>
    </row>
    <row r="99" spans="1:5" x14ac:dyDescent="0.35">
      <c r="A99" s="3">
        <v>45663</v>
      </c>
      <c r="B99" s="7">
        <v>269.97039799999999</v>
      </c>
      <c r="C99" s="6">
        <v>4.2699999999999996</v>
      </c>
      <c r="D99" s="6">
        <v>2.3595999999999999</v>
      </c>
      <c r="E99" s="6">
        <f t="shared" si="1"/>
        <v>1.9103999999999997</v>
      </c>
    </row>
    <row r="100" spans="1:5" x14ac:dyDescent="0.35">
      <c r="A100" s="3">
        <v>45664</v>
      </c>
      <c r="B100" s="7">
        <v>271.35708599999998</v>
      </c>
      <c r="C100" s="6">
        <v>4.2699999999999996</v>
      </c>
      <c r="D100" s="6">
        <v>2.4024999999999999</v>
      </c>
      <c r="E100" s="6">
        <f t="shared" si="1"/>
        <v>1.8674999999999997</v>
      </c>
    </row>
    <row r="101" spans="1:5" x14ac:dyDescent="0.35">
      <c r="A101" s="3">
        <v>45665</v>
      </c>
      <c r="B101" s="7">
        <v>276.84368899999998</v>
      </c>
      <c r="C101" s="6">
        <v>4.29</v>
      </c>
      <c r="D101" s="6">
        <v>2.4196</v>
      </c>
      <c r="E101" s="6">
        <f t="shared" si="1"/>
        <v>1.8704000000000001</v>
      </c>
    </row>
    <row r="102" spans="1:5" x14ac:dyDescent="0.35">
      <c r="A102" s="3">
        <v>45666</v>
      </c>
      <c r="B102" s="7">
        <v>275.34698500000002</v>
      </c>
      <c r="C102" s="6">
        <v>4.3</v>
      </c>
      <c r="D102" s="6">
        <v>2.4104000000000001</v>
      </c>
      <c r="E102" s="6">
        <f t="shared" si="1"/>
        <v>1.8895999999999997</v>
      </c>
    </row>
    <row r="103" spans="1:5" x14ac:dyDescent="0.35">
      <c r="A103" s="3">
        <v>45667</v>
      </c>
      <c r="B103" s="7">
        <v>273.80371100000002</v>
      </c>
      <c r="C103" s="6">
        <v>4.3</v>
      </c>
      <c r="D103" s="6">
        <v>2.4443999999999999</v>
      </c>
      <c r="E103" s="6">
        <f t="shared" si="1"/>
        <v>1.8555999999999999</v>
      </c>
    </row>
    <row r="104" spans="1:5" x14ac:dyDescent="0.35">
      <c r="A104" s="3">
        <v>45670</v>
      </c>
      <c r="B104" s="7">
        <v>278.47119099999998</v>
      </c>
      <c r="C104" s="6">
        <v>4.29</v>
      </c>
      <c r="D104" s="6">
        <v>2.4657</v>
      </c>
      <c r="E104" s="6">
        <f t="shared" si="1"/>
        <v>1.8243</v>
      </c>
    </row>
    <row r="105" spans="1:5" x14ac:dyDescent="0.35">
      <c r="A105" s="3">
        <v>45671</v>
      </c>
      <c r="B105" s="7">
        <v>276.53561400000001</v>
      </c>
      <c r="C105" s="6">
        <v>4.28</v>
      </c>
      <c r="D105" s="6">
        <v>2.4632000000000001</v>
      </c>
      <c r="E105" s="6">
        <f t="shared" si="1"/>
        <v>1.8168000000000002</v>
      </c>
    </row>
    <row r="106" spans="1:5" x14ac:dyDescent="0.35">
      <c r="A106" s="3">
        <v>45672</v>
      </c>
      <c r="B106" s="7">
        <v>268.48998999999998</v>
      </c>
      <c r="C106" s="6">
        <v>4.28</v>
      </c>
      <c r="D106" s="6">
        <v>2.4329000000000001</v>
      </c>
      <c r="E106" s="6">
        <f t="shared" si="1"/>
        <v>1.8471000000000002</v>
      </c>
    </row>
    <row r="107" spans="1:5" x14ac:dyDescent="0.35">
      <c r="A107" s="3">
        <v>45673</v>
      </c>
      <c r="B107" s="7">
        <v>269.85449199999999</v>
      </c>
      <c r="C107" s="6">
        <v>4.29</v>
      </c>
      <c r="D107" s="6">
        <v>2.4236</v>
      </c>
      <c r="E107" s="6">
        <f t="shared" si="1"/>
        <v>1.8664000000000001</v>
      </c>
    </row>
    <row r="108" spans="1:5" x14ac:dyDescent="0.35">
      <c r="A108" s="3">
        <v>45674</v>
      </c>
      <c r="B108" s="7">
        <v>262.52801499999998</v>
      </c>
      <c r="C108" s="6">
        <v>4.29</v>
      </c>
      <c r="D108" s="6">
        <v>2.4300000000000002</v>
      </c>
      <c r="E108" s="6">
        <f t="shared" si="1"/>
        <v>1.8599999999999999</v>
      </c>
    </row>
    <row r="109" spans="1:5" x14ac:dyDescent="0.35">
      <c r="A109" s="3">
        <v>45677</v>
      </c>
      <c r="B109" s="7">
        <v>262.52801499999998</v>
      </c>
      <c r="C109" s="6">
        <v>4.29</v>
      </c>
      <c r="D109" s="6" t="e">
        <v>#N/A</v>
      </c>
      <c r="E109" s="6" t="e">
        <f t="shared" si="1"/>
        <v>#N/A</v>
      </c>
    </row>
    <row r="110" spans="1:5" x14ac:dyDescent="0.35">
      <c r="A110" s="3">
        <v>45678</v>
      </c>
      <c r="B110" s="7">
        <v>258.18539399999997</v>
      </c>
      <c r="C110" s="6">
        <v>4.29</v>
      </c>
      <c r="D110" s="6">
        <v>2.4022999999999999</v>
      </c>
      <c r="E110" s="6">
        <f t="shared" si="1"/>
        <v>1.8877000000000002</v>
      </c>
    </row>
    <row r="111" spans="1:5" x14ac:dyDescent="0.35">
      <c r="A111" s="3">
        <v>45679</v>
      </c>
      <c r="B111" s="7">
        <v>255.64390599999999</v>
      </c>
      <c r="C111" s="6">
        <v>4.3</v>
      </c>
      <c r="D111" s="6">
        <v>2.4184000000000001</v>
      </c>
      <c r="E111" s="6">
        <f t="shared" si="1"/>
        <v>1.8815999999999997</v>
      </c>
    </row>
    <row r="112" spans="1:5" x14ac:dyDescent="0.35">
      <c r="A112" s="3">
        <v>45680</v>
      </c>
      <c r="B112" s="7">
        <v>256.59069799999997</v>
      </c>
      <c r="C112" s="6">
        <v>4.3499999999999996</v>
      </c>
      <c r="D112" s="6">
        <v>2.4613999999999998</v>
      </c>
      <c r="E112" s="6">
        <f t="shared" si="1"/>
        <v>1.8885999999999998</v>
      </c>
    </row>
    <row r="113" spans="1:5" x14ac:dyDescent="0.35">
      <c r="A113" s="3">
        <v>45681</v>
      </c>
      <c r="B113" s="7">
        <v>256.11828600000001</v>
      </c>
      <c r="C113" s="6">
        <v>4.34</v>
      </c>
      <c r="D113" s="6">
        <v>2.4182999999999999</v>
      </c>
      <c r="E113" s="6">
        <f t="shared" si="1"/>
        <v>1.9217</v>
      </c>
    </row>
    <row r="114" spans="1:5" x14ac:dyDescent="0.35">
      <c r="A114" s="3">
        <v>45684</v>
      </c>
      <c r="B114" s="7">
        <v>262.65631100000002</v>
      </c>
      <c r="C114" s="6">
        <v>4.34</v>
      </c>
      <c r="D114" s="6">
        <v>2.4011999999999998</v>
      </c>
      <c r="E114" s="6">
        <f t="shared" si="1"/>
        <v>1.9388000000000001</v>
      </c>
    </row>
    <row r="115" spans="1:5" x14ac:dyDescent="0.35">
      <c r="A115" s="3">
        <v>45685</v>
      </c>
      <c r="B115" s="7">
        <v>263.757294</v>
      </c>
      <c r="C115" s="6">
        <v>4.3499999999999996</v>
      </c>
      <c r="D115" s="6">
        <v>2.4115000000000002</v>
      </c>
      <c r="E115" s="6">
        <f t="shared" si="1"/>
        <v>1.9384999999999994</v>
      </c>
    </row>
    <row r="116" spans="1:5" x14ac:dyDescent="0.35">
      <c r="A116" s="3">
        <v>45686</v>
      </c>
      <c r="B116" s="7">
        <v>262.35751299999998</v>
      </c>
      <c r="C116" s="6">
        <v>4.3499999999999996</v>
      </c>
      <c r="D116" s="6">
        <v>2.4094000000000002</v>
      </c>
      <c r="E116" s="6">
        <f t="shared" si="1"/>
        <v>1.9405999999999994</v>
      </c>
    </row>
    <row r="117" spans="1:5" x14ac:dyDescent="0.35">
      <c r="A117" s="3">
        <v>45687</v>
      </c>
      <c r="B117" s="7">
        <v>260.62109400000003</v>
      </c>
      <c r="C117" s="6">
        <v>4.3600000000000003</v>
      </c>
      <c r="D117" s="6">
        <v>2.3883999999999999</v>
      </c>
      <c r="E117" s="6">
        <f t="shared" si="1"/>
        <v>1.9716000000000005</v>
      </c>
    </row>
    <row r="118" spans="1:5" x14ac:dyDescent="0.35">
      <c r="A118" s="3">
        <v>45688</v>
      </c>
      <c r="B118" s="7">
        <v>260.95581099999998</v>
      </c>
      <c r="C118" s="6">
        <v>4.38</v>
      </c>
      <c r="D118" s="6">
        <v>2.4302000000000001</v>
      </c>
      <c r="E118" s="6">
        <f t="shared" si="1"/>
        <v>1.9497999999999998</v>
      </c>
    </row>
    <row r="119" spans="1:5" x14ac:dyDescent="0.35">
      <c r="A119" s="3">
        <v>45691</v>
      </c>
      <c r="B119" s="7">
        <v>266.890198</v>
      </c>
      <c r="C119" s="6">
        <v>4.3499999999999996</v>
      </c>
      <c r="D119" s="6">
        <v>2.4272999999999998</v>
      </c>
      <c r="E119" s="6">
        <f t="shared" si="1"/>
        <v>1.9226999999999999</v>
      </c>
    </row>
    <row r="120" spans="1:5" x14ac:dyDescent="0.35">
      <c r="A120" s="3">
        <v>45692</v>
      </c>
      <c r="B120" s="7">
        <v>266.42199699999998</v>
      </c>
      <c r="C120" s="6">
        <v>4.33</v>
      </c>
      <c r="D120" s="6">
        <v>2.4386999999999999</v>
      </c>
      <c r="E120" s="6">
        <f t="shared" si="1"/>
        <v>1.8913000000000002</v>
      </c>
    </row>
    <row r="121" spans="1:5" x14ac:dyDescent="0.35">
      <c r="A121" s="3">
        <v>45693</v>
      </c>
      <c r="B121" s="7">
        <v>263.009094</v>
      </c>
      <c r="C121" s="6">
        <v>4.33</v>
      </c>
      <c r="D121" s="6">
        <v>2.4195000000000002</v>
      </c>
      <c r="E121" s="6">
        <f t="shared" si="1"/>
        <v>1.9104999999999999</v>
      </c>
    </row>
    <row r="122" spans="1:5" x14ac:dyDescent="0.35">
      <c r="A122" s="3">
        <v>45694</v>
      </c>
      <c r="B122" s="7">
        <v>261.66729700000002</v>
      </c>
      <c r="C122" s="6">
        <v>4.3600000000000003</v>
      </c>
      <c r="D122" s="6">
        <v>2.4131</v>
      </c>
      <c r="E122" s="6">
        <f t="shared" si="1"/>
        <v>1.9469000000000003</v>
      </c>
    </row>
    <row r="123" spans="1:5" x14ac:dyDescent="0.35">
      <c r="A123" s="3">
        <v>45695</v>
      </c>
      <c r="B123" s="7">
        <v>263.68798800000002</v>
      </c>
      <c r="C123" s="6">
        <v>4.3499999999999996</v>
      </c>
      <c r="D123" s="6">
        <v>2.4298000000000002</v>
      </c>
      <c r="E123" s="6">
        <f t="shared" si="1"/>
        <v>1.9201999999999995</v>
      </c>
    </row>
    <row r="124" spans="1:5" x14ac:dyDescent="0.35">
      <c r="A124" s="3">
        <v>45698</v>
      </c>
      <c r="B124" s="7">
        <v>262.65920999999997</v>
      </c>
      <c r="C124" s="6">
        <v>4.3499999999999996</v>
      </c>
      <c r="D124" s="6">
        <v>2.4354</v>
      </c>
      <c r="E124" s="6">
        <f t="shared" si="1"/>
        <v>1.9145999999999996</v>
      </c>
    </row>
    <row r="125" spans="1:5" x14ac:dyDescent="0.35">
      <c r="A125" s="3">
        <v>45699</v>
      </c>
      <c r="B125" s="7">
        <v>263.12429800000001</v>
      </c>
      <c r="C125" s="6">
        <v>4.34</v>
      </c>
      <c r="D125" s="6">
        <v>2.4708000000000001</v>
      </c>
      <c r="E125" s="6">
        <f t="shared" si="1"/>
        <v>1.8691999999999998</v>
      </c>
    </row>
    <row r="126" spans="1:5" x14ac:dyDescent="0.35">
      <c r="A126" s="3">
        <v>45700</v>
      </c>
      <c r="B126" s="7">
        <v>262.25860599999999</v>
      </c>
      <c r="C126" s="6">
        <v>4.32</v>
      </c>
      <c r="D126" s="6">
        <v>2.4727000000000001</v>
      </c>
      <c r="E126" s="6">
        <f t="shared" si="1"/>
        <v>1.8473000000000002</v>
      </c>
    </row>
    <row r="127" spans="1:5" x14ac:dyDescent="0.35">
      <c r="A127" s="3">
        <v>45701</v>
      </c>
      <c r="B127" s="7">
        <v>262.24130200000002</v>
      </c>
      <c r="C127" s="6">
        <v>4.33</v>
      </c>
      <c r="D127" s="6">
        <v>2.4544000000000001</v>
      </c>
      <c r="E127" s="6">
        <f t="shared" si="1"/>
        <v>1.8755999999999999</v>
      </c>
    </row>
    <row r="128" spans="1:5" x14ac:dyDescent="0.35">
      <c r="A128" s="3">
        <v>45702</v>
      </c>
      <c r="B128" s="7">
        <v>260.85189800000001</v>
      </c>
      <c r="C128" s="6">
        <v>4.33</v>
      </c>
      <c r="D128" s="6">
        <v>2.4407000000000001</v>
      </c>
      <c r="E128" s="6">
        <f t="shared" si="1"/>
        <v>1.8893</v>
      </c>
    </row>
    <row r="129" spans="1:5" x14ac:dyDescent="0.35">
      <c r="A129" s="3">
        <v>45705</v>
      </c>
      <c r="B129" s="7">
        <v>260.85189800000001</v>
      </c>
      <c r="C129" s="6">
        <v>4.33</v>
      </c>
      <c r="D129" s="6" t="e">
        <v>#N/A</v>
      </c>
      <c r="E129" s="6" t="e">
        <f t="shared" si="1"/>
        <v>#N/A</v>
      </c>
    </row>
    <row r="130" spans="1:5" x14ac:dyDescent="0.35">
      <c r="A130" s="3">
        <v>45706</v>
      </c>
      <c r="B130" s="7">
        <v>257.07009900000003</v>
      </c>
      <c r="C130" s="6">
        <v>4.37</v>
      </c>
      <c r="D130" s="6">
        <v>2.4563999999999999</v>
      </c>
      <c r="E130" s="6">
        <f t="shared" ref="E130:E193" si="2">C130-D130</f>
        <v>1.9136000000000002</v>
      </c>
    </row>
    <row r="131" spans="1:5" x14ac:dyDescent="0.35">
      <c r="A131" s="3">
        <v>45707</v>
      </c>
      <c r="B131" s="7">
        <v>263.04129</v>
      </c>
      <c r="C131" s="6">
        <v>4.3499999999999996</v>
      </c>
      <c r="D131" s="6">
        <v>2.4643999999999999</v>
      </c>
      <c r="E131" s="6">
        <f t="shared" si="2"/>
        <v>1.8855999999999997</v>
      </c>
    </row>
    <row r="132" spans="1:5" x14ac:dyDescent="0.35">
      <c r="A132" s="3">
        <v>45708</v>
      </c>
      <c r="B132" s="7">
        <v>261.95590199999998</v>
      </c>
      <c r="C132" s="6">
        <v>4.33</v>
      </c>
      <c r="D132" s="6">
        <v>2.4681000000000002</v>
      </c>
      <c r="E132" s="6">
        <f t="shared" si="2"/>
        <v>1.8618999999999999</v>
      </c>
    </row>
    <row r="133" spans="1:5" x14ac:dyDescent="0.35">
      <c r="A133" s="3">
        <v>45709</v>
      </c>
      <c r="B133" s="7">
        <v>272.35818499999999</v>
      </c>
      <c r="C133" s="6">
        <v>4.34</v>
      </c>
      <c r="D133" s="6">
        <v>2.4220000000000002</v>
      </c>
      <c r="E133" s="6">
        <f t="shared" si="2"/>
        <v>1.9179999999999997</v>
      </c>
    </row>
    <row r="134" spans="1:5" x14ac:dyDescent="0.35">
      <c r="A134" s="3">
        <v>45712</v>
      </c>
      <c r="B134" s="7">
        <v>273.77420000000001</v>
      </c>
      <c r="C134" s="6">
        <v>4.34</v>
      </c>
      <c r="D134" s="6">
        <v>2.4331</v>
      </c>
      <c r="E134" s="6">
        <f t="shared" si="2"/>
        <v>1.9068999999999998</v>
      </c>
    </row>
    <row r="135" spans="1:5" x14ac:dyDescent="0.35">
      <c r="A135" s="3">
        <v>45713</v>
      </c>
      <c r="B135" s="7">
        <v>278.52359000000001</v>
      </c>
      <c r="C135" s="6">
        <v>4.33</v>
      </c>
      <c r="D135" s="6">
        <v>2.3883000000000001</v>
      </c>
      <c r="E135" s="6">
        <f t="shared" si="2"/>
        <v>1.9417</v>
      </c>
    </row>
    <row r="136" spans="1:5" x14ac:dyDescent="0.35">
      <c r="A136" s="3">
        <v>45714</v>
      </c>
      <c r="B136" s="7">
        <v>275.74508700000001</v>
      </c>
      <c r="C136" s="6">
        <v>4.33</v>
      </c>
      <c r="D136" s="6">
        <v>2.3620999999999999</v>
      </c>
      <c r="E136" s="6">
        <f t="shared" si="2"/>
        <v>1.9679000000000002</v>
      </c>
    </row>
    <row r="137" spans="1:5" x14ac:dyDescent="0.35">
      <c r="A137" s="3">
        <v>45715</v>
      </c>
      <c r="B137" s="7">
        <v>277.47119099999998</v>
      </c>
      <c r="C137" s="6">
        <v>4.3600000000000003</v>
      </c>
      <c r="D137" s="6">
        <v>2.3599000000000001</v>
      </c>
      <c r="E137" s="6">
        <f t="shared" si="2"/>
        <v>2.0001000000000002</v>
      </c>
    </row>
    <row r="138" spans="1:5" x14ac:dyDescent="0.35">
      <c r="A138" s="3">
        <v>45716</v>
      </c>
      <c r="B138" s="7">
        <v>282.52899200000002</v>
      </c>
      <c r="C138" s="6">
        <v>4.3899999999999997</v>
      </c>
      <c r="D138" s="6">
        <v>2.3677000000000001</v>
      </c>
      <c r="E138" s="6">
        <f t="shared" si="2"/>
        <v>2.0222999999999995</v>
      </c>
    </row>
    <row r="139" spans="1:5" x14ac:dyDescent="0.35">
      <c r="A139" s="3">
        <v>45719</v>
      </c>
      <c r="B139" s="7">
        <v>287.00060999999999</v>
      </c>
      <c r="C139" s="6">
        <v>4.33</v>
      </c>
      <c r="D139" s="6">
        <v>2.3641999999999999</v>
      </c>
      <c r="E139" s="6">
        <f t="shared" si="2"/>
        <v>1.9658000000000002</v>
      </c>
    </row>
    <row r="140" spans="1:5" x14ac:dyDescent="0.35">
      <c r="A140" s="3">
        <v>45720</v>
      </c>
      <c r="B140" s="7">
        <v>291.15258799999998</v>
      </c>
      <c r="C140" s="6">
        <v>4.33</v>
      </c>
      <c r="D140" s="6">
        <v>2.3555999999999999</v>
      </c>
      <c r="E140" s="6">
        <f t="shared" si="2"/>
        <v>1.9744000000000002</v>
      </c>
    </row>
    <row r="141" spans="1:5" x14ac:dyDescent="0.35">
      <c r="A141" s="3">
        <v>45721</v>
      </c>
      <c r="B141" s="7">
        <v>282.36810300000002</v>
      </c>
      <c r="C141" s="6">
        <v>4.34</v>
      </c>
      <c r="D141" s="6">
        <v>2.3403999999999998</v>
      </c>
      <c r="E141" s="6">
        <f t="shared" si="2"/>
        <v>1.9996</v>
      </c>
    </row>
    <row r="142" spans="1:5" x14ac:dyDescent="0.35">
      <c r="A142" s="3">
        <v>45722</v>
      </c>
      <c r="B142" s="7">
        <v>293.31588699999998</v>
      </c>
      <c r="C142" s="6">
        <v>4.3499999999999996</v>
      </c>
      <c r="D142" s="6">
        <v>2.3380999999999998</v>
      </c>
      <c r="E142" s="6">
        <f t="shared" si="2"/>
        <v>2.0118999999999998</v>
      </c>
    </row>
    <row r="143" spans="1:5" x14ac:dyDescent="0.35">
      <c r="A143" s="3">
        <v>45723</v>
      </c>
      <c r="B143" s="7">
        <v>290.40210000000002</v>
      </c>
      <c r="C143" s="6">
        <v>4.34</v>
      </c>
      <c r="D143" s="6">
        <v>2.3458999999999999</v>
      </c>
      <c r="E143" s="6">
        <f t="shared" si="2"/>
        <v>1.9941</v>
      </c>
    </row>
    <row r="144" spans="1:5" x14ac:dyDescent="0.35">
      <c r="A144" s="3">
        <v>45726</v>
      </c>
      <c r="B144" s="7">
        <v>309.17910799999999</v>
      </c>
      <c r="C144" s="6">
        <v>4.33</v>
      </c>
      <c r="D144" s="6">
        <v>2.3125</v>
      </c>
      <c r="E144" s="6">
        <f t="shared" si="2"/>
        <v>2.0175000000000001</v>
      </c>
    </row>
    <row r="145" spans="1:5" x14ac:dyDescent="0.35">
      <c r="A145" s="3">
        <v>45727</v>
      </c>
      <c r="B145" s="7">
        <v>315.272491</v>
      </c>
      <c r="C145" s="6">
        <v>4.32</v>
      </c>
      <c r="D145" s="6">
        <v>2.3176999999999999</v>
      </c>
      <c r="E145" s="6">
        <f t="shared" si="2"/>
        <v>2.0023000000000004</v>
      </c>
    </row>
    <row r="146" spans="1:5" x14ac:dyDescent="0.35">
      <c r="A146" s="3">
        <v>45728</v>
      </c>
      <c r="B146" s="7">
        <v>311.72650099999998</v>
      </c>
      <c r="C146" s="6">
        <v>4.3099999999999996</v>
      </c>
      <c r="D146" s="6">
        <v>2.3372000000000002</v>
      </c>
      <c r="E146" s="6">
        <f t="shared" si="2"/>
        <v>1.9727999999999994</v>
      </c>
    </row>
    <row r="147" spans="1:5" x14ac:dyDescent="0.35">
      <c r="A147" s="3">
        <v>45729</v>
      </c>
      <c r="B147" s="7">
        <v>334.23529100000002</v>
      </c>
      <c r="C147" s="6">
        <v>4.3</v>
      </c>
      <c r="D147" s="6">
        <v>2.3018000000000001</v>
      </c>
      <c r="E147" s="6">
        <f t="shared" si="2"/>
        <v>1.9981999999999998</v>
      </c>
    </row>
    <row r="148" spans="1:5" x14ac:dyDescent="0.35">
      <c r="A148" s="3">
        <v>45730</v>
      </c>
      <c r="B148" s="7">
        <v>320.028503</v>
      </c>
      <c r="C148" s="6">
        <v>4.3</v>
      </c>
      <c r="D148" s="6">
        <v>2.3100999999999998</v>
      </c>
      <c r="E148" s="6">
        <f t="shared" si="2"/>
        <v>1.9899</v>
      </c>
    </row>
    <row r="149" spans="1:5" x14ac:dyDescent="0.35">
      <c r="A149" s="3">
        <v>45733</v>
      </c>
      <c r="B149" s="7">
        <v>314.44131499999997</v>
      </c>
      <c r="C149" s="6">
        <v>4.32</v>
      </c>
      <c r="D149" s="6">
        <v>2.3008999999999999</v>
      </c>
      <c r="E149" s="6">
        <f t="shared" si="2"/>
        <v>2.0191000000000003</v>
      </c>
    </row>
    <row r="150" spans="1:5" x14ac:dyDescent="0.35">
      <c r="A150" s="3">
        <v>45734</v>
      </c>
      <c r="B150" s="7">
        <v>318.09310900000003</v>
      </c>
      <c r="C150" s="6">
        <v>4.3099999999999996</v>
      </c>
      <c r="D150" s="6">
        <v>2.2995000000000001</v>
      </c>
      <c r="E150" s="6">
        <f t="shared" si="2"/>
        <v>2.0104999999999995</v>
      </c>
    </row>
    <row r="151" spans="1:5" x14ac:dyDescent="0.35">
      <c r="A151" s="3">
        <v>45735</v>
      </c>
      <c r="B151" s="7">
        <v>313.17910799999999</v>
      </c>
      <c r="C151" s="6">
        <v>4.29</v>
      </c>
      <c r="D151" s="6">
        <v>2.3302999999999998</v>
      </c>
      <c r="E151" s="6">
        <f t="shared" si="2"/>
        <v>1.9597000000000002</v>
      </c>
    </row>
    <row r="152" spans="1:5" x14ac:dyDescent="0.35">
      <c r="A152" s="3">
        <v>45736</v>
      </c>
      <c r="B152" s="7">
        <v>312.89910900000001</v>
      </c>
      <c r="C152" s="6">
        <v>4.29</v>
      </c>
      <c r="D152" s="6">
        <v>2.3351999999999999</v>
      </c>
      <c r="E152" s="6">
        <f t="shared" si="2"/>
        <v>1.9548000000000001</v>
      </c>
    </row>
    <row r="153" spans="1:5" x14ac:dyDescent="0.35">
      <c r="A153" s="3">
        <v>45737</v>
      </c>
      <c r="B153" s="7">
        <v>315.656586</v>
      </c>
      <c r="C153" s="6">
        <v>4.3</v>
      </c>
      <c r="D153" s="6">
        <v>2.3281000000000001</v>
      </c>
      <c r="E153" s="6">
        <f t="shared" si="2"/>
        <v>1.9718999999999998</v>
      </c>
    </row>
    <row r="154" spans="1:5" x14ac:dyDescent="0.35">
      <c r="A154" s="3">
        <v>45740</v>
      </c>
      <c r="B154" s="7">
        <v>300.77539100000001</v>
      </c>
      <c r="C154" s="6">
        <v>4.3099999999999996</v>
      </c>
      <c r="D154" s="6">
        <v>2.3573</v>
      </c>
      <c r="E154" s="6">
        <f t="shared" si="2"/>
        <v>1.9526999999999997</v>
      </c>
    </row>
    <row r="155" spans="1:5" x14ac:dyDescent="0.35">
      <c r="A155" s="3">
        <v>45741</v>
      </c>
      <c r="B155" s="7">
        <v>304.82418799999999</v>
      </c>
      <c r="C155" s="6">
        <v>4.33</v>
      </c>
      <c r="D155" s="6">
        <v>2.3578000000000001</v>
      </c>
      <c r="E155" s="6">
        <f t="shared" si="2"/>
        <v>1.9722</v>
      </c>
    </row>
    <row r="156" spans="1:5" x14ac:dyDescent="0.35">
      <c r="A156" s="3">
        <v>45742</v>
      </c>
      <c r="B156" s="7">
        <v>313.23339800000002</v>
      </c>
      <c r="C156" s="6">
        <v>4.3499999999999996</v>
      </c>
      <c r="D156" s="6">
        <v>2.3723999999999998</v>
      </c>
      <c r="E156" s="6">
        <f t="shared" si="2"/>
        <v>1.9775999999999998</v>
      </c>
    </row>
    <row r="157" spans="1:5" x14ac:dyDescent="0.35">
      <c r="A157" s="3">
        <v>45743</v>
      </c>
      <c r="B157" s="7">
        <v>320.84670999999997</v>
      </c>
      <c r="C157" s="6">
        <v>4.3600000000000003</v>
      </c>
      <c r="D157" s="6">
        <v>2.4007000000000001</v>
      </c>
      <c r="E157" s="6">
        <f t="shared" si="2"/>
        <v>1.9593000000000003</v>
      </c>
    </row>
    <row r="158" spans="1:5" x14ac:dyDescent="0.35">
      <c r="A158" s="3">
        <v>45744</v>
      </c>
      <c r="B158" s="7">
        <v>338.20901500000002</v>
      </c>
      <c r="C158" s="6">
        <v>4.34</v>
      </c>
      <c r="D158" s="6">
        <v>2.3689</v>
      </c>
      <c r="E158" s="6">
        <f t="shared" si="2"/>
        <v>1.9710999999999999</v>
      </c>
    </row>
    <row r="159" spans="1:5" x14ac:dyDescent="0.35">
      <c r="A159" s="3">
        <v>45747</v>
      </c>
      <c r="B159" s="7">
        <v>345.09399400000001</v>
      </c>
      <c r="C159" s="6">
        <v>4.41</v>
      </c>
      <c r="D159" s="6">
        <v>2.3702999999999999</v>
      </c>
      <c r="E159" s="6">
        <f t="shared" si="2"/>
        <v>2.0397000000000003</v>
      </c>
    </row>
    <row r="160" spans="1:5" x14ac:dyDescent="0.35">
      <c r="A160" s="3">
        <v>45748</v>
      </c>
      <c r="B160" s="7">
        <v>345.00329599999998</v>
      </c>
      <c r="C160" s="6">
        <v>4.3899999999999997</v>
      </c>
      <c r="D160" s="6">
        <v>2.3361000000000001</v>
      </c>
      <c r="E160" s="6">
        <f t="shared" si="2"/>
        <v>2.0538999999999996</v>
      </c>
    </row>
    <row r="161" spans="1:5" x14ac:dyDescent="0.35">
      <c r="A161" s="3">
        <v>45749</v>
      </c>
      <c r="B161" s="7">
        <v>334.10079999999999</v>
      </c>
      <c r="C161" s="6">
        <v>4.37</v>
      </c>
      <c r="D161" s="6">
        <v>2.3371</v>
      </c>
      <c r="E161" s="6">
        <f t="shared" si="2"/>
        <v>2.0329000000000002</v>
      </c>
    </row>
    <row r="162" spans="1:5" x14ac:dyDescent="0.35">
      <c r="A162" s="3">
        <v>45750</v>
      </c>
      <c r="B162" s="7">
        <v>386.50201399999997</v>
      </c>
      <c r="C162" s="6">
        <v>4.3899999999999997</v>
      </c>
      <c r="D162" s="6">
        <v>2.2786</v>
      </c>
      <c r="E162" s="6">
        <f t="shared" si="2"/>
        <v>2.1113999999999997</v>
      </c>
    </row>
    <row r="163" spans="1:5" x14ac:dyDescent="0.35">
      <c r="A163" s="3">
        <v>45751</v>
      </c>
      <c r="B163" s="7">
        <v>426.05398600000001</v>
      </c>
      <c r="C163" s="6">
        <v>4.3499999999999996</v>
      </c>
      <c r="D163" s="6">
        <v>2.194</v>
      </c>
      <c r="E163" s="6">
        <f t="shared" si="2"/>
        <v>2.1559999999999997</v>
      </c>
    </row>
    <row r="164" spans="1:5" x14ac:dyDescent="0.35">
      <c r="A164" s="3">
        <v>45754</v>
      </c>
      <c r="B164" s="7">
        <v>448.93649299999998</v>
      </c>
      <c r="C164" s="6">
        <v>4.33</v>
      </c>
      <c r="D164" s="6">
        <v>2.2061000000000002</v>
      </c>
      <c r="E164" s="6">
        <f t="shared" si="2"/>
        <v>2.1238999999999999</v>
      </c>
    </row>
    <row r="165" spans="1:5" x14ac:dyDescent="0.35">
      <c r="A165" s="3">
        <v>45755</v>
      </c>
      <c r="B165" s="7">
        <v>452.42739899999998</v>
      </c>
      <c r="C165" s="6">
        <v>4.4000000000000004</v>
      </c>
      <c r="D165" s="6">
        <v>2.2307999999999999</v>
      </c>
      <c r="E165" s="6">
        <f t="shared" si="2"/>
        <v>2.1692000000000005</v>
      </c>
    </row>
    <row r="166" spans="1:5" x14ac:dyDescent="0.35">
      <c r="A166" s="3">
        <v>45756</v>
      </c>
      <c r="B166" s="7">
        <v>426.03509500000001</v>
      </c>
      <c r="C166" s="6">
        <v>4.42</v>
      </c>
      <c r="D166" s="6">
        <v>2.3014000000000001</v>
      </c>
      <c r="E166" s="6">
        <f t="shared" si="2"/>
        <v>2.1185999999999998</v>
      </c>
    </row>
    <row r="167" spans="1:5" x14ac:dyDescent="0.35">
      <c r="A167" s="3">
        <v>45757</v>
      </c>
      <c r="B167" s="7">
        <v>433.46109000000001</v>
      </c>
      <c r="C167" s="6">
        <v>4.37</v>
      </c>
      <c r="D167" s="6">
        <v>2.1717</v>
      </c>
      <c r="E167" s="6">
        <f t="shared" si="2"/>
        <v>2.1983000000000001</v>
      </c>
    </row>
    <row r="168" spans="1:5" x14ac:dyDescent="0.35">
      <c r="A168" s="3">
        <v>45758</v>
      </c>
      <c r="B168" s="7">
        <v>418.39471400000002</v>
      </c>
      <c r="C168" s="6">
        <v>4.33</v>
      </c>
      <c r="D168" s="6">
        <v>2.2336</v>
      </c>
      <c r="E168" s="6">
        <f t="shared" si="2"/>
        <v>2.0964</v>
      </c>
    </row>
    <row r="169" spans="1:5" x14ac:dyDescent="0.35">
      <c r="A169" s="3">
        <v>45761</v>
      </c>
      <c r="B169" s="7">
        <v>408.863495</v>
      </c>
      <c r="C169" s="6">
        <v>4.33</v>
      </c>
      <c r="D169" s="6">
        <v>2.2376</v>
      </c>
      <c r="E169" s="6">
        <f t="shared" si="2"/>
        <v>2.0924</v>
      </c>
    </row>
    <row r="170" spans="1:5" x14ac:dyDescent="0.35">
      <c r="A170" s="3">
        <v>45762</v>
      </c>
      <c r="B170" s="7">
        <v>404.56829800000003</v>
      </c>
      <c r="C170" s="6">
        <v>4.3600000000000003</v>
      </c>
      <c r="D170" s="6">
        <v>2.1945999999999999</v>
      </c>
      <c r="E170" s="6">
        <f t="shared" si="2"/>
        <v>2.1654000000000004</v>
      </c>
    </row>
    <row r="171" spans="1:5" x14ac:dyDescent="0.35">
      <c r="A171" s="3">
        <v>45763</v>
      </c>
      <c r="B171" s="7">
        <v>411.473907</v>
      </c>
      <c r="C171" s="6">
        <v>4.3099999999999996</v>
      </c>
      <c r="D171" s="6">
        <v>2.1867999999999999</v>
      </c>
      <c r="E171" s="6">
        <f t="shared" si="2"/>
        <v>2.1231999999999998</v>
      </c>
    </row>
    <row r="172" spans="1:5" x14ac:dyDescent="0.35">
      <c r="A172" s="3">
        <v>45764</v>
      </c>
      <c r="B172" s="7">
        <v>397.78460699999999</v>
      </c>
      <c r="C172" s="6">
        <v>4.32</v>
      </c>
      <c r="D172" s="6">
        <v>2.2381000000000002</v>
      </c>
      <c r="E172" s="6">
        <f t="shared" si="2"/>
        <v>2.0819000000000001</v>
      </c>
    </row>
    <row r="173" spans="1:5" x14ac:dyDescent="0.35">
      <c r="A173" s="3">
        <v>45765</v>
      </c>
      <c r="B173" s="7">
        <v>397.78460699999999</v>
      </c>
      <c r="C173" s="6">
        <v>4.32</v>
      </c>
      <c r="D173" s="6" t="e">
        <v>#N/A</v>
      </c>
      <c r="E173" s="6" t="e">
        <f t="shared" si="2"/>
        <v>#N/A</v>
      </c>
    </row>
    <row r="174" spans="1:5" x14ac:dyDescent="0.35">
      <c r="A174" s="3">
        <v>45768</v>
      </c>
      <c r="B174" s="7">
        <v>411.51409899999999</v>
      </c>
      <c r="C174" s="6">
        <v>4.32</v>
      </c>
      <c r="D174" s="6">
        <v>2.2309000000000001</v>
      </c>
      <c r="E174" s="6">
        <f t="shared" si="2"/>
        <v>2.0891000000000002</v>
      </c>
    </row>
    <row r="175" spans="1:5" x14ac:dyDescent="0.35">
      <c r="A175" s="3">
        <v>45769</v>
      </c>
      <c r="B175" s="7">
        <v>396.19760100000002</v>
      </c>
      <c r="C175" s="6">
        <v>4.3</v>
      </c>
      <c r="D175" s="6">
        <v>2.2732999999999999</v>
      </c>
      <c r="E175" s="6">
        <f t="shared" si="2"/>
        <v>2.0266999999999999</v>
      </c>
    </row>
    <row r="176" spans="1:5" x14ac:dyDescent="0.35">
      <c r="A176" s="3">
        <v>45770</v>
      </c>
      <c r="B176" s="7">
        <v>371.070404</v>
      </c>
      <c r="C176" s="6">
        <v>4.28</v>
      </c>
      <c r="D176" s="6">
        <v>2.3047</v>
      </c>
      <c r="E176" s="6">
        <f t="shared" si="2"/>
        <v>1.9753000000000003</v>
      </c>
    </row>
    <row r="177" spans="1:5" x14ac:dyDescent="0.35">
      <c r="A177" s="3">
        <v>45771</v>
      </c>
      <c r="B177" s="7">
        <v>367.912689</v>
      </c>
      <c r="C177" s="6">
        <v>4.29</v>
      </c>
      <c r="D177" s="6">
        <v>2.3039999999999998</v>
      </c>
      <c r="E177" s="6">
        <f t="shared" si="2"/>
        <v>1.9860000000000002</v>
      </c>
    </row>
    <row r="178" spans="1:5" x14ac:dyDescent="0.35">
      <c r="A178" s="3">
        <v>45772</v>
      </c>
      <c r="B178" s="7">
        <v>360.29681399999998</v>
      </c>
      <c r="C178" s="6">
        <v>4.33</v>
      </c>
      <c r="D178" s="6">
        <v>2.2721</v>
      </c>
      <c r="E178" s="6">
        <f t="shared" si="2"/>
        <v>2.0579000000000001</v>
      </c>
    </row>
    <row r="179" spans="1:5" x14ac:dyDescent="0.35">
      <c r="A179" s="3">
        <v>45775</v>
      </c>
      <c r="B179" s="7">
        <v>368.25311299999998</v>
      </c>
      <c r="C179" s="6">
        <v>4.3600000000000003</v>
      </c>
      <c r="D179" s="6">
        <v>2.2587000000000002</v>
      </c>
      <c r="E179" s="6">
        <f t="shared" si="2"/>
        <v>2.1013000000000002</v>
      </c>
    </row>
    <row r="180" spans="1:5" x14ac:dyDescent="0.35">
      <c r="A180" s="3">
        <v>45776</v>
      </c>
      <c r="B180" s="7">
        <v>369.55569500000001</v>
      </c>
      <c r="C180" s="6">
        <v>4.3600000000000003</v>
      </c>
      <c r="D180" s="6">
        <v>2.2317999999999998</v>
      </c>
      <c r="E180" s="6">
        <f t="shared" si="2"/>
        <v>2.1282000000000005</v>
      </c>
    </row>
    <row r="181" spans="1:5" x14ac:dyDescent="0.35">
      <c r="A181" s="3">
        <v>45777</v>
      </c>
      <c r="B181" s="7">
        <v>384.25390599999997</v>
      </c>
      <c r="C181" s="6">
        <v>4.41</v>
      </c>
      <c r="D181" s="6">
        <v>2.2395999999999998</v>
      </c>
      <c r="E181" s="6">
        <f t="shared" si="2"/>
        <v>2.1704000000000003</v>
      </c>
    </row>
    <row r="182" spans="1:5" x14ac:dyDescent="0.35">
      <c r="A182" s="3">
        <v>45778</v>
      </c>
      <c r="B182" s="7">
        <v>369.35861199999999</v>
      </c>
      <c r="C182" s="6">
        <v>4.3899999999999997</v>
      </c>
      <c r="D182" s="6">
        <v>2.2435</v>
      </c>
      <c r="E182" s="6">
        <f t="shared" si="2"/>
        <v>2.1464999999999996</v>
      </c>
    </row>
    <row r="183" spans="1:5" x14ac:dyDescent="0.35">
      <c r="A183" s="3">
        <v>45779</v>
      </c>
      <c r="B183" s="7">
        <v>352.44088699999998</v>
      </c>
      <c r="C183" s="6">
        <v>4.3600000000000003</v>
      </c>
      <c r="D183" s="6">
        <v>2.2706</v>
      </c>
      <c r="E183" s="6">
        <f t="shared" si="2"/>
        <v>2.0894000000000004</v>
      </c>
    </row>
    <row r="184" spans="1:5" x14ac:dyDescent="0.35">
      <c r="A184" s="3">
        <v>45782</v>
      </c>
      <c r="B184" s="7">
        <v>351.683899</v>
      </c>
      <c r="C184" s="6">
        <v>4.33</v>
      </c>
      <c r="D184" s="6">
        <v>2.2847</v>
      </c>
      <c r="E184" s="6">
        <f t="shared" si="2"/>
        <v>2.0453000000000001</v>
      </c>
    </row>
    <row r="185" spans="1:5" x14ac:dyDescent="0.35">
      <c r="A185" s="3">
        <v>45783</v>
      </c>
      <c r="B185" s="7">
        <v>357.861786</v>
      </c>
      <c r="C185" s="6">
        <v>4.32</v>
      </c>
      <c r="D185" s="6">
        <v>2.2888999999999999</v>
      </c>
      <c r="E185" s="6">
        <f t="shared" si="2"/>
        <v>2.0311000000000003</v>
      </c>
    </row>
    <row r="186" spans="1:5" x14ac:dyDescent="0.35">
      <c r="A186" s="3">
        <v>45784</v>
      </c>
      <c r="B186" s="7">
        <v>358.151093</v>
      </c>
      <c r="C186" s="6">
        <v>4.3</v>
      </c>
      <c r="D186" s="6">
        <v>2.2725</v>
      </c>
      <c r="E186" s="6">
        <f t="shared" si="2"/>
        <v>2.0274999999999999</v>
      </c>
    </row>
    <row r="187" spans="1:5" x14ac:dyDescent="0.35">
      <c r="A187" s="3">
        <v>45785</v>
      </c>
      <c r="B187" s="7">
        <v>344.09368899999998</v>
      </c>
      <c r="C187" s="6">
        <v>4.29</v>
      </c>
      <c r="D187" s="6">
        <v>2.31</v>
      </c>
      <c r="E187" s="6">
        <f t="shared" si="2"/>
        <v>1.98</v>
      </c>
    </row>
    <row r="188" spans="1:5" x14ac:dyDescent="0.35">
      <c r="A188" s="3">
        <v>45786</v>
      </c>
      <c r="B188" s="7">
        <v>345.25039700000002</v>
      </c>
      <c r="C188" s="6">
        <v>4.28</v>
      </c>
      <c r="D188" s="6">
        <v>2.3144999999999998</v>
      </c>
      <c r="E188" s="6">
        <f t="shared" si="2"/>
        <v>1.9655000000000005</v>
      </c>
    </row>
    <row r="189" spans="1:5" x14ac:dyDescent="0.35">
      <c r="A189" s="3">
        <v>45789</v>
      </c>
      <c r="B189" s="7">
        <v>307.01971400000002</v>
      </c>
      <c r="C189" s="6">
        <v>4.28</v>
      </c>
      <c r="D189" s="6">
        <v>2.3048999999999999</v>
      </c>
      <c r="E189" s="6">
        <f t="shared" si="2"/>
        <v>1.9751000000000003</v>
      </c>
    </row>
    <row r="190" spans="1:5" x14ac:dyDescent="0.35">
      <c r="A190" s="3">
        <v>45790</v>
      </c>
      <c r="B190" s="7">
        <v>301.25109900000001</v>
      </c>
      <c r="C190" s="6">
        <v>4.3</v>
      </c>
      <c r="D190" s="6">
        <v>2.3449</v>
      </c>
      <c r="E190" s="6">
        <f t="shared" si="2"/>
        <v>1.9550999999999998</v>
      </c>
    </row>
    <row r="191" spans="1:5" x14ac:dyDescent="0.35">
      <c r="A191" s="3">
        <v>45791</v>
      </c>
      <c r="B191" s="7">
        <v>302.65411399999999</v>
      </c>
      <c r="C191" s="6">
        <v>4.29</v>
      </c>
      <c r="D191" s="6">
        <v>2.3784999999999998</v>
      </c>
      <c r="E191" s="6">
        <f t="shared" si="2"/>
        <v>1.9115000000000002</v>
      </c>
    </row>
    <row r="192" spans="1:5" x14ac:dyDescent="0.35">
      <c r="A192" s="3">
        <v>45792</v>
      </c>
      <c r="B192" s="7">
        <v>311.27560399999999</v>
      </c>
      <c r="C192" s="6">
        <v>4.3099999999999996</v>
      </c>
      <c r="D192" s="6">
        <v>2.3393999999999999</v>
      </c>
      <c r="E192" s="6">
        <f t="shared" si="2"/>
        <v>1.9705999999999997</v>
      </c>
    </row>
    <row r="193" spans="1:5" x14ac:dyDescent="0.35">
      <c r="A193" s="3">
        <v>45793</v>
      </c>
      <c r="B193" s="7">
        <v>307.47961400000003</v>
      </c>
      <c r="C193" s="6">
        <v>4.3</v>
      </c>
      <c r="D193" s="6">
        <v>2.3593000000000002</v>
      </c>
      <c r="E193" s="6">
        <f t="shared" si="2"/>
        <v>1.9406999999999996</v>
      </c>
    </row>
    <row r="194" spans="1:5" x14ac:dyDescent="0.35">
      <c r="A194" s="3">
        <v>45796</v>
      </c>
      <c r="B194" s="7">
        <v>312.65869099999998</v>
      </c>
      <c r="C194" s="6">
        <v>4.29</v>
      </c>
      <c r="D194" s="6">
        <v>2.3597000000000001</v>
      </c>
      <c r="E194" s="6">
        <f t="shared" ref="E194:E257" si="3">C194-D194</f>
        <v>1.9302999999999999</v>
      </c>
    </row>
    <row r="195" spans="1:5" x14ac:dyDescent="0.35">
      <c r="A195" s="3">
        <v>45797</v>
      </c>
      <c r="B195" s="7">
        <v>311.92370599999998</v>
      </c>
      <c r="C195" s="6">
        <v>4.2699999999999996</v>
      </c>
      <c r="D195" s="6">
        <v>2.3584000000000001</v>
      </c>
      <c r="E195" s="6">
        <f t="shared" si="3"/>
        <v>1.9115999999999995</v>
      </c>
    </row>
    <row r="196" spans="1:5" x14ac:dyDescent="0.35">
      <c r="A196" s="3">
        <v>45798</v>
      </c>
      <c r="B196" s="7">
        <v>319.88000499999998</v>
      </c>
      <c r="C196" s="6">
        <v>4.26</v>
      </c>
      <c r="D196" s="6">
        <v>2.3643000000000001</v>
      </c>
      <c r="E196" s="6">
        <f t="shared" si="3"/>
        <v>1.8956999999999997</v>
      </c>
    </row>
    <row r="197" spans="1:5" x14ac:dyDescent="0.35">
      <c r="A197" s="3">
        <v>45799</v>
      </c>
      <c r="B197" s="7">
        <v>323.99648999999999</v>
      </c>
      <c r="C197" s="6">
        <v>4.26</v>
      </c>
      <c r="D197" s="6">
        <v>2.3628999999999998</v>
      </c>
      <c r="E197" s="6">
        <f t="shared" si="3"/>
        <v>1.8971</v>
      </c>
    </row>
    <row r="198" spans="1:5" x14ac:dyDescent="0.35">
      <c r="A198" s="3">
        <v>45800</v>
      </c>
      <c r="B198" s="7">
        <v>331.08200099999999</v>
      </c>
      <c r="C198" s="6">
        <v>4.26</v>
      </c>
      <c r="D198" s="6">
        <v>2.3464</v>
      </c>
      <c r="E198" s="6">
        <f t="shared" si="3"/>
        <v>1.9135999999999997</v>
      </c>
    </row>
    <row r="199" spans="1:5" x14ac:dyDescent="0.35">
      <c r="A199" s="3">
        <v>45803</v>
      </c>
      <c r="B199" s="7">
        <v>331.08200099999999</v>
      </c>
      <c r="C199" s="6">
        <v>4.26</v>
      </c>
      <c r="D199" s="6" t="e">
        <v>#N/A</v>
      </c>
      <c r="E199" s="6" t="e">
        <f t="shared" si="3"/>
        <v>#N/A</v>
      </c>
    </row>
    <row r="200" spans="1:5" x14ac:dyDescent="0.35">
      <c r="A200" s="3">
        <v>45804</v>
      </c>
      <c r="B200" s="7">
        <v>317.10330199999999</v>
      </c>
      <c r="C200" s="6">
        <v>4.3099999999999996</v>
      </c>
      <c r="D200" s="6">
        <v>2.3378000000000001</v>
      </c>
      <c r="E200" s="6">
        <f t="shared" si="3"/>
        <v>1.9721999999999995</v>
      </c>
    </row>
    <row r="201" spans="1:5" x14ac:dyDescent="0.35">
      <c r="A201" s="3">
        <v>45805</v>
      </c>
      <c r="B201" s="7">
        <v>312.36929300000003</v>
      </c>
      <c r="C201" s="6">
        <v>4.33</v>
      </c>
      <c r="D201" s="6">
        <v>2.3414999999999999</v>
      </c>
      <c r="E201" s="6">
        <f t="shared" si="3"/>
        <v>1.9885000000000002</v>
      </c>
    </row>
    <row r="202" spans="1:5" x14ac:dyDescent="0.35">
      <c r="A202" s="3">
        <v>45806</v>
      </c>
      <c r="B202" s="7">
        <v>311.48941000000002</v>
      </c>
      <c r="C202" s="6">
        <v>4.33</v>
      </c>
      <c r="D202" s="6">
        <v>2.3328000000000002</v>
      </c>
      <c r="E202" s="6">
        <f t="shared" si="3"/>
        <v>1.9971999999999999</v>
      </c>
    </row>
    <row r="203" spans="1:5" x14ac:dyDescent="0.35">
      <c r="A203" s="3">
        <v>45807</v>
      </c>
      <c r="B203" s="7">
        <v>315.27099600000003</v>
      </c>
      <c r="C203" s="6">
        <v>4.3499999999999996</v>
      </c>
      <c r="D203" s="6">
        <v>2.3296999999999999</v>
      </c>
      <c r="E203" s="6">
        <f t="shared" si="3"/>
        <v>2.0202999999999998</v>
      </c>
    </row>
    <row r="204" spans="1:5" x14ac:dyDescent="0.35">
      <c r="A204" s="3">
        <v>45810</v>
      </c>
      <c r="B204" s="7">
        <v>314.85360700000001</v>
      </c>
      <c r="C204" s="6">
        <v>4.3499999999999996</v>
      </c>
      <c r="D204" s="6">
        <v>2.3471000000000002</v>
      </c>
      <c r="E204" s="6">
        <f t="shared" si="3"/>
        <v>2.0028999999999995</v>
      </c>
    </row>
    <row r="205" spans="1:5" x14ac:dyDescent="0.35">
      <c r="A205" s="3">
        <v>45811</v>
      </c>
      <c r="B205" s="7">
        <v>308.50769000000003</v>
      </c>
      <c r="C205" s="6">
        <v>4.32</v>
      </c>
      <c r="D205" s="6">
        <v>2.3487</v>
      </c>
      <c r="E205" s="6">
        <f t="shared" si="3"/>
        <v>1.9713000000000003</v>
      </c>
    </row>
    <row r="206" spans="1:5" x14ac:dyDescent="0.35">
      <c r="A206" s="3">
        <v>45812</v>
      </c>
      <c r="B206" s="7">
        <v>311.27551299999999</v>
      </c>
      <c r="C206" s="6">
        <v>4.28</v>
      </c>
      <c r="D206" s="6">
        <v>2.3090999999999999</v>
      </c>
      <c r="E206" s="6">
        <f t="shared" si="3"/>
        <v>1.9709000000000003</v>
      </c>
    </row>
    <row r="207" spans="1:5" x14ac:dyDescent="0.35">
      <c r="A207" s="3">
        <v>45813</v>
      </c>
      <c r="B207" s="7">
        <v>308.42730699999998</v>
      </c>
      <c r="C207" s="6">
        <v>4.29</v>
      </c>
      <c r="D207" s="6">
        <v>2.2936000000000001</v>
      </c>
      <c r="E207" s="6">
        <f t="shared" si="3"/>
        <v>1.9964</v>
      </c>
    </row>
    <row r="208" spans="1:5" x14ac:dyDescent="0.35">
      <c r="A208" s="3">
        <v>45814</v>
      </c>
      <c r="B208" s="7">
        <v>299.65939300000002</v>
      </c>
      <c r="C208" s="6">
        <v>4.29</v>
      </c>
      <c r="D208" s="6">
        <v>2.3174000000000001</v>
      </c>
      <c r="E208" s="6">
        <f t="shared" si="3"/>
        <v>1.9725999999999999</v>
      </c>
    </row>
    <row r="209" spans="1:5" x14ac:dyDescent="0.35">
      <c r="A209" s="3">
        <v>45817</v>
      </c>
      <c r="B209" s="7">
        <v>302.22720299999997</v>
      </c>
      <c r="C209" s="6">
        <v>4.29</v>
      </c>
      <c r="D209" s="6">
        <v>2.3130000000000002</v>
      </c>
      <c r="E209" s="6">
        <f t="shared" si="3"/>
        <v>1.9769999999999999</v>
      </c>
    </row>
    <row r="210" spans="1:5" x14ac:dyDescent="0.35">
      <c r="A210" s="3">
        <v>45818</v>
      </c>
      <c r="B210" s="7">
        <v>301.125092</v>
      </c>
      <c r="C210" s="6">
        <v>4.28</v>
      </c>
      <c r="D210" s="6">
        <v>2.3035999999999999</v>
      </c>
      <c r="E210" s="6">
        <f t="shared" si="3"/>
        <v>1.9764000000000004</v>
      </c>
    </row>
    <row r="211" spans="1:5" x14ac:dyDescent="0.35">
      <c r="A211" s="3">
        <v>45819</v>
      </c>
      <c r="B211" s="7">
        <v>303.25060999999999</v>
      </c>
      <c r="C211" s="6">
        <v>4.28</v>
      </c>
      <c r="D211" s="6">
        <v>2.2869000000000002</v>
      </c>
      <c r="E211" s="6">
        <f t="shared" si="3"/>
        <v>1.9931000000000001</v>
      </c>
    </row>
    <row r="212" spans="1:5" x14ac:dyDescent="0.35">
      <c r="A212" s="3">
        <v>45820</v>
      </c>
      <c r="B212" s="7">
        <v>307.0401</v>
      </c>
      <c r="C212" s="6">
        <v>4.28</v>
      </c>
      <c r="D212" s="6">
        <v>2.2690000000000001</v>
      </c>
      <c r="E212" s="6">
        <f t="shared" si="3"/>
        <v>2.0110000000000001</v>
      </c>
    </row>
    <row r="213" spans="1:5" x14ac:dyDescent="0.35">
      <c r="A213" s="3">
        <v>45821</v>
      </c>
      <c r="B213" s="7">
        <v>309.020691</v>
      </c>
      <c r="C213" s="6">
        <v>4.28</v>
      </c>
      <c r="D213" s="6">
        <v>2.2892999999999999</v>
      </c>
      <c r="E213" s="6">
        <f t="shared" si="3"/>
        <v>1.9907000000000004</v>
      </c>
    </row>
    <row r="214" spans="1:5" x14ac:dyDescent="0.35">
      <c r="A214" s="3">
        <v>45824</v>
      </c>
      <c r="B214" s="7">
        <v>301.52121</v>
      </c>
      <c r="C214" s="6">
        <v>4.32</v>
      </c>
      <c r="D214" s="6">
        <v>2.3117999999999999</v>
      </c>
      <c r="E214" s="6">
        <f t="shared" si="3"/>
        <v>2.0082000000000004</v>
      </c>
    </row>
    <row r="215" spans="1:5" x14ac:dyDescent="0.35">
      <c r="A215" s="3">
        <v>45825</v>
      </c>
      <c r="B215" s="7">
        <v>308.58538800000002</v>
      </c>
      <c r="C215" s="6">
        <v>4.3099999999999996</v>
      </c>
      <c r="D215" s="6">
        <v>2.3233000000000001</v>
      </c>
      <c r="E215" s="6">
        <f t="shared" si="3"/>
        <v>1.9866999999999995</v>
      </c>
    </row>
    <row r="216" spans="1:5" x14ac:dyDescent="0.35">
      <c r="A216" s="3">
        <v>45826</v>
      </c>
      <c r="B216" s="7">
        <v>307.80960099999999</v>
      </c>
      <c r="C216" s="6">
        <v>4.28</v>
      </c>
      <c r="D216" s="6">
        <v>2.323</v>
      </c>
      <c r="E216" s="6">
        <f t="shared" si="3"/>
        <v>1.9570000000000003</v>
      </c>
    </row>
    <row r="217" spans="1:5" x14ac:dyDescent="0.35">
      <c r="A217" s="3">
        <v>45827</v>
      </c>
      <c r="B217" s="7">
        <v>307.80960099999999</v>
      </c>
      <c r="C217" s="6">
        <v>4.28</v>
      </c>
      <c r="D217" s="6" t="e">
        <v>#N/A</v>
      </c>
      <c r="E217" s="6" t="e">
        <f t="shared" si="3"/>
        <v>#N/A</v>
      </c>
    </row>
    <row r="218" spans="1:5" x14ac:dyDescent="0.35">
      <c r="A218" s="3">
        <v>45828</v>
      </c>
      <c r="B218" s="7">
        <v>304.13919099999998</v>
      </c>
      <c r="C218" s="6">
        <v>4.29</v>
      </c>
      <c r="D218" s="6">
        <v>2.3410000000000002</v>
      </c>
      <c r="E218" s="6">
        <f t="shared" si="3"/>
        <v>1.9489999999999998</v>
      </c>
    </row>
    <row r="219" spans="1:5" x14ac:dyDescent="0.35">
      <c r="A219" s="3">
        <v>45831</v>
      </c>
      <c r="B219" s="7">
        <v>304.82519500000001</v>
      </c>
      <c r="C219" s="6">
        <v>4.29</v>
      </c>
      <c r="D219" s="6">
        <v>2.3060999999999998</v>
      </c>
      <c r="E219" s="6">
        <f t="shared" si="3"/>
        <v>1.9839000000000002</v>
      </c>
    </row>
    <row r="220" spans="1:5" x14ac:dyDescent="0.35">
      <c r="A220" s="3">
        <v>45832</v>
      </c>
      <c r="B220" s="7">
        <v>294.66958599999998</v>
      </c>
      <c r="C220" s="6">
        <v>4.3</v>
      </c>
      <c r="D220" s="6">
        <v>2.2913999999999999</v>
      </c>
      <c r="E220" s="6">
        <f t="shared" si="3"/>
        <v>2.0085999999999999</v>
      </c>
    </row>
    <row r="221" spans="1:5" x14ac:dyDescent="0.35">
      <c r="A221" s="3">
        <v>45833</v>
      </c>
      <c r="B221" s="7">
        <v>295.98919699999999</v>
      </c>
      <c r="C221" s="6">
        <v>4.3600000000000003</v>
      </c>
      <c r="D221" s="6">
        <v>2.2904</v>
      </c>
      <c r="E221" s="6">
        <f t="shared" si="3"/>
        <v>2.0696000000000003</v>
      </c>
    </row>
    <row r="222" spans="1:5" x14ac:dyDescent="0.35">
      <c r="A222" s="3">
        <v>45834</v>
      </c>
      <c r="B222" s="7">
        <v>295.22589099999999</v>
      </c>
      <c r="C222" s="6">
        <v>4.4000000000000004</v>
      </c>
      <c r="D222" s="6">
        <v>2.2871000000000001</v>
      </c>
      <c r="E222" s="6">
        <f t="shared" si="3"/>
        <v>2.1129000000000002</v>
      </c>
    </row>
    <row r="223" spans="1:5" x14ac:dyDescent="0.35">
      <c r="A223" s="3">
        <v>45835</v>
      </c>
      <c r="B223" s="7">
        <v>292.61340300000001</v>
      </c>
      <c r="C223" s="6">
        <v>4.3899999999999997</v>
      </c>
      <c r="D223" s="6">
        <v>2.3043</v>
      </c>
      <c r="E223" s="6">
        <f t="shared" si="3"/>
        <v>2.0856999999999997</v>
      </c>
    </row>
    <row r="224" spans="1:5" x14ac:dyDescent="0.35">
      <c r="A224" s="3">
        <v>45838</v>
      </c>
      <c r="B224" s="7">
        <v>291.54800399999999</v>
      </c>
      <c r="C224" s="6">
        <v>4.45</v>
      </c>
      <c r="D224" s="6">
        <v>2.2839</v>
      </c>
      <c r="E224" s="6">
        <f t="shared" si="3"/>
        <v>2.1661000000000001</v>
      </c>
    </row>
    <row r="225" spans="1:5" x14ac:dyDescent="0.35">
      <c r="A225" s="3">
        <v>45839</v>
      </c>
      <c r="B225" s="7">
        <v>282.14089999999999</v>
      </c>
      <c r="C225" s="6">
        <v>4.4400000000000004</v>
      </c>
      <c r="D225" s="6">
        <v>2.2921999999999998</v>
      </c>
      <c r="E225" s="6">
        <f t="shared" si="3"/>
        <v>2.1478000000000006</v>
      </c>
    </row>
    <row r="226" spans="1:5" x14ac:dyDescent="0.35">
      <c r="A226" s="3">
        <v>45840</v>
      </c>
      <c r="B226" s="7">
        <v>278.90679899999998</v>
      </c>
      <c r="C226" s="6">
        <v>4.4000000000000004</v>
      </c>
      <c r="D226" s="6">
        <v>2.3123</v>
      </c>
      <c r="E226" s="6">
        <f t="shared" si="3"/>
        <v>2.0877000000000003</v>
      </c>
    </row>
    <row r="227" spans="1:5" x14ac:dyDescent="0.35">
      <c r="A227" s="3">
        <v>45841</v>
      </c>
      <c r="B227" s="7">
        <v>269.82321200000001</v>
      </c>
      <c r="C227" s="6">
        <v>4.3499999999999996</v>
      </c>
      <c r="D227" s="6">
        <v>2.3386</v>
      </c>
      <c r="E227" s="6">
        <f t="shared" si="3"/>
        <v>2.0113999999999996</v>
      </c>
    </row>
    <row r="228" spans="1:5" x14ac:dyDescent="0.35">
      <c r="A228" s="3">
        <v>45842</v>
      </c>
      <c r="B228" s="7">
        <v>269.82321200000001</v>
      </c>
      <c r="C228" s="6">
        <v>4.3499999999999996</v>
      </c>
      <c r="D228" s="6" t="e">
        <v>#N/A</v>
      </c>
      <c r="E228" s="6" t="e">
        <f t="shared" si="3"/>
        <v>#N/A</v>
      </c>
    </row>
    <row r="229" spans="1:5" x14ac:dyDescent="0.35">
      <c r="A229" s="3">
        <v>45845</v>
      </c>
      <c r="B229" s="7">
        <v>276.49429300000003</v>
      </c>
      <c r="C229" s="6">
        <v>4.33</v>
      </c>
      <c r="D229" s="6">
        <v>2.3628</v>
      </c>
      <c r="E229" s="6">
        <f t="shared" si="3"/>
        <v>1.9672000000000001</v>
      </c>
    </row>
    <row r="230" spans="1:5" x14ac:dyDescent="0.35">
      <c r="A230" s="3">
        <v>45846</v>
      </c>
      <c r="B230" s="7">
        <v>281.88760400000001</v>
      </c>
      <c r="C230" s="6">
        <v>4.34</v>
      </c>
      <c r="D230" s="6">
        <v>2.3633000000000002</v>
      </c>
      <c r="E230" s="6">
        <f t="shared" si="3"/>
        <v>1.9766999999999997</v>
      </c>
    </row>
    <row r="231" spans="1:5" x14ac:dyDescent="0.35">
      <c r="A231" s="3">
        <v>45847</v>
      </c>
      <c r="B231" s="7">
        <v>283.785706</v>
      </c>
      <c r="C231" s="6">
        <v>4.32</v>
      </c>
      <c r="D231" s="6">
        <v>2.3479999999999999</v>
      </c>
      <c r="E231" s="6">
        <f t="shared" si="3"/>
        <v>1.9720000000000004</v>
      </c>
    </row>
    <row r="232" spans="1:5" x14ac:dyDescent="0.35">
      <c r="A232" s="3">
        <v>45848</v>
      </c>
      <c r="B232" s="7">
        <v>281.45651199999998</v>
      </c>
      <c r="C232" s="6">
        <v>4.3099999999999996</v>
      </c>
      <c r="D232" s="6">
        <v>2.3540999999999999</v>
      </c>
      <c r="E232" s="6">
        <f t="shared" si="3"/>
        <v>1.9558999999999997</v>
      </c>
    </row>
    <row r="233" spans="1:5" x14ac:dyDescent="0.35">
      <c r="A233" s="3">
        <v>45849</v>
      </c>
      <c r="B233" s="7">
        <v>285.58538800000002</v>
      </c>
      <c r="C233" s="6">
        <v>4.3099999999999996</v>
      </c>
      <c r="D233" s="6">
        <v>2.3885999999999998</v>
      </c>
      <c r="E233" s="6">
        <f t="shared" si="3"/>
        <v>1.9213999999999998</v>
      </c>
    </row>
    <row r="234" spans="1:5" x14ac:dyDescent="0.35">
      <c r="A234" s="3">
        <v>45852</v>
      </c>
      <c r="B234" s="7">
        <v>286.89080799999999</v>
      </c>
      <c r="C234" s="6">
        <v>4.33</v>
      </c>
      <c r="D234" s="6">
        <v>2.4043000000000001</v>
      </c>
      <c r="E234" s="6">
        <f t="shared" si="3"/>
        <v>1.9257</v>
      </c>
    </row>
    <row r="235" spans="1:5" x14ac:dyDescent="0.35">
      <c r="A235" s="3">
        <v>45853</v>
      </c>
      <c r="B235" s="7">
        <v>285.02951000000002</v>
      </c>
      <c r="C235" s="6">
        <v>4.37</v>
      </c>
      <c r="D235" s="6">
        <v>2.4142999999999999</v>
      </c>
      <c r="E235" s="6">
        <f t="shared" si="3"/>
        <v>1.9557000000000002</v>
      </c>
    </row>
    <row r="236" spans="1:5" x14ac:dyDescent="0.35">
      <c r="A236" s="3">
        <v>45854</v>
      </c>
      <c r="B236" s="7">
        <v>290.45330799999999</v>
      </c>
      <c r="C236" s="6">
        <v>4.34</v>
      </c>
      <c r="D236" s="6">
        <v>2.4249000000000001</v>
      </c>
      <c r="E236" s="6">
        <f t="shared" si="3"/>
        <v>1.9150999999999998</v>
      </c>
    </row>
    <row r="237" spans="1:5" x14ac:dyDescent="0.35">
      <c r="A237" s="3">
        <v>45855</v>
      </c>
      <c r="B237" s="7">
        <v>283.93969700000002</v>
      </c>
      <c r="C237" s="6">
        <v>4.34</v>
      </c>
      <c r="D237" s="6">
        <v>2.4401999999999999</v>
      </c>
      <c r="E237" s="6">
        <f t="shared" si="3"/>
        <v>1.8997999999999999</v>
      </c>
    </row>
    <row r="238" spans="1:5" x14ac:dyDescent="0.35">
      <c r="A238" s="3">
        <v>45856</v>
      </c>
      <c r="B238" s="7">
        <v>286.07449300000002</v>
      </c>
      <c r="C238" s="6">
        <v>4.3</v>
      </c>
      <c r="D238" s="6">
        <v>2.4215</v>
      </c>
      <c r="E238" s="6">
        <f t="shared" si="3"/>
        <v>1.8784999999999998</v>
      </c>
    </row>
    <row r="239" spans="1:5" x14ac:dyDescent="0.35">
      <c r="A239" s="3">
        <v>45859</v>
      </c>
      <c r="B239" s="7">
        <v>282.65121499999998</v>
      </c>
      <c r="C239" s="6">
        <v>4.28</v>
      </c>
      <c r="D239" s="6">
        <v>2.4176000000000002</v>
      </c>
      <c r="E239" s="6">
        <f t="shared" si="3"/>
        <v>1.8624000000000001</v>
      </c>
    </row>
    <row r="240" spans="1:5" x14ac:dyDescent="0.35">
      <c r="A240" s="3">
        <v>45860</v>
      </c>
      <c r="B240" s="7">
        <v>282.17919899999998</v>
      </c>
      <c r="C240" s="6">
        <v>4.28</v>
      </c>
      <c r="D240" s="6">
        <v>2.3961000000000001</v>
      </c>
      <c r="E240" s="6">
        <f t="shared" si="3"/>
        <v>1.8839000000000001</v>
      </c>
    </row>
    <row r="241" spans="1:5" x14ac:dyDescent="0.35">
      <c r="A241" s="3">
        <v>45861</v>
      </c>
      <c r="B241" s="7">
        <v>275.500092</v>
      </c>
      <c r="C241" s="6">
        <v>4.28</v>
      </c>
      <c r="D241" s="6">
        <v>2.3851</v>
      </c>
      <c r="E241" s="6">
        <f t="shared" si="3"/>
        <v>1.8949000000000003</v>
      </c>
    </row>
    <row r="242" spans="1:5" x14ac:dyDescent="0.35">
      <c r="A242" s="3">
        <v>45862</v>
      </c>
      <c r="B242" s="7">
        <v>274.08670000000001</v>
      </c>
      <c r="C242" s="6">
        <v>4.3</v>
      </c>
      <c r="D242" s="6">
        <v>2.4211999999999998</v>
      </c>
      <c r="E242" s="6">
        <f t="shared" si="3"/>
        <v>1.8788</v>
      </c>
    </row>
    <row r="243" spans="1:5" x14ac:dyDescent="0.35">
      <c r="A243" s="3">
        <v>45863</v>
      </c>
      <c r="B243" s="7">
        <v>275.92810100000003</v>
      </c>
      <c r="C243" s="6">
        <v>4.3600000000000003</v>
      </c>
      <c r="D243" s="6">
        <v>2.4198</v>
      </c>
      <c r="E243" s="6">
        <f t="shared" si="3"/>
        <v>1.9402000000000004</v>
      </c>
    </row>
    <row r="244" spans="1:5" x14ac:dyDescent="0.35">
      <c r="A244" s="3">
        <v>45866</v>
      </c>
      <c r="B244" s="7">
        <v>275.51019300000002</v>
      </c>
      <c r="C244" s="6">
        <v>4.3600000000000003</v>
      </c>
      <c r="D244" s="6">
        <v>2.4264999999999999</v>
      </c>
      <c r="E244" s="6">
        <f t="shared" si="3"/>
        <v>1.9335000000000004</v>
      </c>
    </row>
    <row r="245" spans="1:5" x14ac:dyDescent="0.35">
      <c r="A245" s="3">
        <v>45867</v>
      </c>
      <c r="B245" s="7">
        <v>279.70150799999999</v>
      </c>
      <c r="C245" s="6">
        <v>4.3600000000000003</v>
      </c>
      <c r="D245" s="6">
        <v>2.4152</v>
      </c>
      <c r="E245" s="6">
        <f t="shared" si="3"/>
        <v>1.9448000000000003</v>
      </c>
    </row>
    <row r="246" spans="1:5" x14ac:dyDescent="0.35">
      <c r="A246" s="3">
        <v>45868</v>
      </c>
      <c r="B246" s="7">
        <v>281.04348800000002</v>
      </c>
      <c r="C246" s="6">
        <v>4.32</v>
      </c>
      <c r="D246" s="6">
        <v>2.4150999999999998</v>
      </c>
      <c r="E246" s="6">
        <f t="shared" si="3"/>
        <v>1.9049000000000005</v>
      </c>
    </row>
    <row r="247" spans="1:5" x14ac:dyDescent="0.35">
      <c r="A247" s="3">
        <v>45869</v>
      </c>
      <c r="B247" s="7">
        <v>280.80999800000001</v>
      </c>
      <c r="C247" s="6">
        <v>4.3899999999999997</v>
      </c>
      <c r="D247" s="6">
        <v>2.3933</v>
      </c>
      <c r="E247" s="6">
        <f t="shared" si="3"/>
        <v>1.9966999999999997</v>
      </c>
    </row>
    <row r="248" spans="1:5" x14ac:dyDescent="0.35">
      <c r="A248" s="3">
        <v>45870</v>
      </c>
      <c r="B248" s="7">
        <v>301.89730800000001</v>
      </c>
      <c r="C248" s="6">
        <v>4.34</v>
      </c>
      <c r="D248" s="6">
        <v>2.3325</v>
      </c>
      <c r="E248" s="6">
        <f t="shared" si="3"/>
        <v>2.0074999999999998</v>
      </c>
    </row>
    <row r="249" spans="1:5" x14ac:dyDescent="0.35">
      <c r="A249" s="3">
        <v>45873</v>
      </c>
      <c r="B249" s="7">
        <v>293.71499599999999</v>
      </c>
      <c r="C249" s="6">
        <v>4.33</v>
      </c>
      <c r="D249" s="6">
        <v>2.3582000000000001</v>
      </c>
      <c r="E249" s="6">
        <f t="shared" si="3"/>
        <v>1.9718</v>
      </c>
    </row>
    <row r="250" spans="1:5" x14ac:dyDescent="0.35">
      <c r="A250" s="3">
        <v>45874</v>
      </c>
      <c r="B250" s="7">
        <v>289.871307</v>
      </c>
      <c r="C250" s="6">
        <v>4.34</v>
      </c>
      <c r="D250" s="6">
        <v>2.3477999999999999</v>
      </c>
      <c r="E250" s="6">
        <f t="shared" si="3"/>
        <v>1.9922</v>
      </c>
    </row>
    <row r="251" spans="1:5" x14ac:dyDescent="0.35">
      <c r="A251" s="3">
        <v>45875</v>
      </c>
      <c r="B251" s="7">
        <v>288.59188799999998</v>
      </c>
      <c r="C251" s="6">
        <v>4.34</v>
      </c>
      <c r="D251" s="6">
        <v>2.3468</v>
      </c>
      <c r="E251" s="6">
        <f t="shared" si="3"/>
        <v>1.9931999999999999</v>
      </c>
    </row>
    <row r="252" spans="1:5" x14ac:dyDescent="0.35">
      <c r="A252" s="3">
        <v>45876</v>
      </c>
      <c r="B252" s="7">
        <v>286.84588600000001</v>
      </c>
      <c r="C252" s="6">
        <v>4.3499999999999996</v>
      </c>
      <c r="D252" s="6">
        <v>2.3738000000000001</v>
      </c>
      <c r="E252" s="6">
        <f t="shared" si="3"/>
        <v>1.9761999999999995</v>
      </c>
    </row>
    <row r="253" spans="1:5" x14ac:dyDescent="0.35">
      <c r="A253" s="3">
        <v>45877</v>
      </c>
      <c r="B253" s="7">
        <v>284.10171500000001</v>
      </c>
      <c r="C253" s="6">
        <v>4.3499999999999996</v>
      </c>
      <c r="D253" s="6">
        <v>2.3963999999999999</v>
      </c>
      <c r="E253" s="6">
        <f t="shared" si="3"/>
        <v>1.9535999999999998</v>
      </c>
    </row>
    <row r="254" spans="1:5" x14ac:dyDescent="0.35">
      <c r="A254" s="3">
        <v>45880</v>
      </c>
      <c r="B254" s="7">
        <v>286.00579800000003</v>
      </c>
      <c r="C254" s="6">
        <v>4.34</v>
      </c>
      <c r="D254" s="6">
        <v>2.4001999999999999</v>
      </c>
      <c r="E254" s="6">
        <f t="shared" si="3"/>
        <v>1.9398</v>
      </c>
    </row>
    <row r="255" spans="1:5" x14ac:dyDescent="0.35">
      <c r="A255" s="3">
        <v>45881</v>
      </c>
      <c r="B255" s="7">
        <v>284.99951199999998</v>
      </c>
      <c r="C255" s="6">
        <v>4.3600000000000003</v>
      </c>
      <c r="D255" s="6">
        <v>2.3871000000000002</v>
      </c>
      <c r="E255" s="6">
        <f t="shared" si="3"/>
        <v>1.9729000000000001</v>
      </c>
    </row>
    <row r="256" spans="1:5" x14ac:dyDescent="0.35">
      <c r="A256" s="3">
        <v>45882</v>
      </c>
      <c r="B256" s="7">
        <v>281.80679300000003</v>
      </c>
      <c r="C256" s="6">
        <v>4.33</v>
      </c>
      <c r="D256" s="6">
        <v>2.3759000000000001</v>
      </c>
      <c r="E256" s="6">
        <f t="shared" si="3"/>
        <v>1.9540999999999999</v>
      </c>
    </row>
    <row r="257" spans="1:5" x14ac:dyDescent="0.35">
      <c r="A257" s="3">
        <v>45883</v>
      </c>
      <c r="B257" s="7">
        <v>283.01779199999999</v>
      </c>
      <c r="C257" s="6">
        <v>4.34</v>
      </c>
      <c r="D257" s="6">
        <v>2.3961999999999999</v>
      </c>
      <c r="E257" s="6">
        <f t="shared" si="3"/>
        <v>1.9438</v>
      </c>
    </row>
    <row r="258" spans="1:5" x14ac:dyDescent="0.35">
      <c r="A258" s="3">
        <v>45884</v>
      </c>
      <c r="B258" s="7">
        <v>281.092285</v>
      </c>
      <c r="C258" s="6">
        <v>4.3600000000000003</v>
      </c>
      <c r="D258" s="6">
        <v>2.3843999999999999</v>
      </c>
      <c r="E258" s="6">
        <f t="shared" ref="E258:E277" si="4">C258-D258</f>
        <v>1.9756000000000005</v>
      </c>
    </row>
    <row r="259" spans="1:5" x14ac:dyDescent="0.35">
      <c r="A259" s="3">
        <v>45887</v>
      </c>
      <c r="B259" s="7">
        <v>283.30261200000001</v>
      </c>
      <c r="C259" s="6">
        <v>4.34</v>
      </c>
      <c r="D259" s="6">
        <v>2.3851</v>
      </c>
      <c r="E259" s="6">
        <f t="shared" si="4"/>
        <v>1.9548999999999999</v>
      </c>
    </row>
    <row r="260" spans="1:5" x14ac:dyDescent="0.35">
      <c r="A260" s="3">
        <v>45888</v>
      </c>
      <c r="B260" s="7">
        <v>286.617188</v>
      </c>
      <c r="C260" s="6">
        <v>4.33</v>
      </c>
      <c r="D260" s="6">
        <v>2.3582000000000001</v>
      </c>
      <c r="E260" s="6">
        <f t="shared" si="4"/>
        <v>1.9718</v>
      </c>
    </row>
    <row r="261" spans="1:5" x14ac:dyDescent="0.35">
      <c r="A261" s="3">
        <v>45889</v>
      </c>
      <c r="B261" s="7">
        <v>289.08709700000003</v>
      </c>
      <c r="C261" s="6">
        <v>4.3099999999999996</v>
      </c>
      <c r="D261" s="6">
        <v>2.3597000000000001</v>
      </c>
      <c r="E261" s="6">
        <f t="shared" si="4"/>
        <v>1.9502999999999995</v>
      </c>
    </row>
    <row r="262" spans="1:5" x14ac:dyDescent="0.35">
      <c r="A262" s="3">
        <v>45890</v>
      </c>
      <c r="B262" s="7">
        <v>288.68499800000001</v>
      </c>
      <c r="C262" s="6">
        <v>4.32</v>
      </c>
      <c r="D262" s="6">
        <v>2.3923000000000001</v>
      </c>
      <c r="E262" s="6">
        <f t="shared" si="4"/>
        <v>1.9277000000000002</v>
      </c>
    </row>
    <row r="263" spans="1:5" x14ac:dyDescent="0.35">
      <c r="A263" s="3">
        <v>45891</v>
      </c>
      <c r="B263" s="7">
        <v>280.238586</v>
      </c>
      <c r="C263" s="6">
        <v>4.3600000000000003</v>
      </c>
      <c r="D263" s="6">
        <v>2.4180000000000001</v>
      </c>
      <c r="E263" s="6">
        <f t="shared" si="4"/>
        <v>1.9420000000000002</v>
      </c>
    </row>
    <row r="264" spans="1:5" x14ac:dyDescent="0.35">
      <c r="A264" s="3">
        <v>45894</v>
      </c>
      <c r="B264" s="7">
        <v>273.38949600000001</v>
      </c>
      <c r="C264" s="6">
        <v>4.37</v>
      </c>
      <c r="D264" s="6">
        <v>2.4198</v>
      </c>
      <c r="E264" s="6">
        <f t="shared" si="4"/>
        <v>1.9502000000000002</v>
      </c>
    </row>
    <row r="265" spans="1:5" x14ac:dyDescent="0.35">
      <c r="A265" s="3">
        <v>45895</v>
      </c>
      <c r="B265" s="7">
        <v>271.11669899999998</v>
      </c>
      <c r="C265" s="6">
        <v>4.38</v>
      </c>
      <c r="D265" s="6">
        <v>2.4352</v>
      </c>
      <c r="E265" s="6">
        <f t="shared" si="4"/>
        <v>1.9447999999999999</v>
      </c>
    </row>
    <row r="266" spans="1:5" x14ac:dyDescent="0.35">
      <c r="A266" s="3">
        <v>45896</v>
      </c>
      <c r="B266" s="7">
        <v>269.64889499999998</v>
      </c>
      <c r="C266" s="6">
        <v>4.3600000000000003</v>
      </c>
      <c r="D266" s="6">
        <v>2.4392</v>
      </c>
      <c r="E266" s="6">
        <f t="shared" si="4"/>
        <v>1.9208000000000003</v>
      </c>
    </row>
    <row r="267" spans="1:5" x14ac:dyDescent="0.35">
      <c r="A267" s="3">
        <v>45897</v>
      </c>
      <c r="B267" s="7">
        <v>267.90499899999998</v>
      </c>
      <c r="C267" s="6">
        <v>4.34</v>
      </c>
      <c r="D267" s="6">
        <v>2.4161000000000001</v>
      </c>
      <c r="E267" s="6">
        <f t="shared" si="4"/>
        <v>1.9238999999999997</v>
      </c>
    </row>
    <row r="268" spans="1:5" x14ac:dyDescent="0.35">
      <c r="A268" s="3">
        <v>45898</v>
      </c>
      <c r="B268" s="7">
        <v>271.85159299999998</v>
      </c>
      <c r="C268" s="6">
        <v>4.34</v>
      </c>
      <c r="D268" s="6">
        <v>2.4121999999999999</v>
      </c>
      <c r="E268" s="6">
        <f t="shared" si="4"/>
        <v>1.9278</v>
      </c>
    </row>
    <row r="269" spans="1:5" x14ac:dyDescent="0.35">
      <c r="A269" s="3">
        <v>45901</v>
      </c>
      <c r="B269" s="7">
        <v>272.33770800000002</v>
      </c>
      <c r="C269" s="6">
        <v>4.34</v>
      </c>
      <c r="D269" s="6" t="e">
        <v>#N/A</v>
      </c>
      <c r="E269" s="6" t="e">
        <f t="shared" si="4"/>
        <v>#N/A</v>
      </c>
    </row>
    <row r="270" spans="1:5" x14ac:dyDescent="0.35">
      <c r="A270" s="3">
        <v>45902</v>
      </c>
      <c r="B270" s="7">
        <v>281.82189899999997</v>
      </c>
      <c r="C270" s="6">
        <v>4.3899999999999997</v>
      </c>
      <c r="D270" s="6">
        <v>2.4171999999999998</v>
      </c>
      <c r="E270" s="6">
        <f t="shared" si="4"/>
        <v>1.9727999999999999</v>
      </c>
    </row>
    <row r="271" spans="1:5" x14ac:dyDescent="0.35">
      <c r="A271" s="3">
        <v>45903</v>
      </c>
      <c r="B271" s="7">
        <v>280.776703</v>
      </c>
      <c r="C271" s="6">
        <v>4.3899999999999997</v>
      </c>
      <c r="D271" s="6">
        <v>2.4058000000000002</v>
      </c>
      <c r="E271" s="6">
        <f t="shared" si="4"/>
        <v>1.9841999999999995</v>
      </c>
    </row>
    <row r="272" spans="1:5" x14ac:dyDescent="0.35">
      <c r="A272" s="3">
        <v>45904</v>
      </c>
      <c r="B272" s="7">
        <v>276.25869799999998</v>
      </c>
      <c r="C272" s="6">
        <v>4.41</v>
      </c>
      <c r="D272" s="6">
        <v>2.39</v>
      </c>
      <c r="E272" s="6">
        <f t="shared" si="4"/>
        <v>2.02</v>
      </c>
    </row>
    <row r="273" spans="1:5" x14ac:dyDescent="0.35">
      <c r="A273" s="3">
        <v>45905</v>
      </c>
      <c r="B273" s="7">
        <v>273.99569700000001</v>
      </c>
      <c r="C273" s="6">
        <v>4.42</v>
      </c>
      <c r="D273" s="6">
        <v>2.3738000000000001</v>
      </c>
      <c r="E273" s="6">
        <f t="shared" si="4"/>
        <v>2.0461999999999998</v>
      </c>
    </row>
    <row r="274" spans="1:5" x14ac:dyDescent="0.35">
      <c r="A274" s="3">
        <v>45908</v>
      </c>
      <c r="B274" s="7">
        <v>274.96719400000001</v>
      </c>
      <c r="C274" s="6">
        <v>4.4000000000000004</v>
      </c>
      <c r="D274" s="6">
        <v>2.3563999999999998</v>
      </c>
      <c r="E274" s="6">
        <f t="shared" si="4"/>
        <v>2.0436000000000005</v>
      </c>
    </row>
    <row r="275" spans="1:5" x14ac:dyDescent="0.35">
      <c r="A275" s="3">
        <v>45909</v>
      </c>
      <c r="B275" s="7">
        <v>278.01431300000002</v>
      </c>
      <c r="C275" s="6">
        <v>4.4000000000000004</v>
      </c>
      <c r="D275" s="6">
        <v>2.3698999999999999</v>
      </c>
      <c r="E275" s="6">
        <f t="shared" si="4"/>
        <v>2.0301000000000005</v>
      </c>
    </row>
    <row r="276" spans="1:5" x14ac:dyDescent="0.35">
      <c r="A276" s="3">
        <v>45910</v>
      </c>
      <c r="B276" s="7">
        <v>275.66821299999998</v>
      </c>
      <c r="C276" s="6">
        <v>4.3899999999999997</v>
      </c>
      <c r="D276" s="6">
        <v>2.3542000000000001</v>
      </c>
      <c r="E276" s="6">
        <f t="shared" si="4"/>
        <v>2.0357999999999996</v>
      </c>
    </row>
    <row r="277" spans="1:5" x14ac:dyDescent="0.35">
      <c r="A277" s="3">
        <v>45911</v>
      </c>
      <c r="B277" s="7">
        <v>269.36129799999998</v>
      </c>
      <c r="C277" s="6">
        <v>4.3899999999999997</v>
      </c>
      <c r="D277" s="6">
        <v>2.3614000000000002</v>
      </c>
      <c r="E277" s="6">
        <f t="shared" si="4"/>
        <v>2.0285999999999995</v>
      </c>
    </row>
    <row r="280" spans="1:5" x14ac:dyDescent="0.35">
      <c r="B280" s="5">
        <f>(E224+B224/300)/100</f>
        <v>3.13792668E-2</v>
      </c>
      <c r="C280" s="4" t="s">
        <v>1653</v>
      </c>
      <c r="D280" t="s">
        <v>1660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57488-3103-4482-8E0A-6008E67F9B60}">
  <sheetPr>
    <tabColor theme="5" tint="0.79998168889431442"/>
  </sheetPr>
  <dimension ref="B2:O22"/>
  <sheetViews>
    <sheetView zoomScale="80" zoomScaleNormal="80" workbookViewId="0">
      <selection activeCell="L9" sqref="L9"/>
    </sheetView>
  </sheetViews>
  <sheetFormatPr defaultRowHeight="14.5" x14ac:dyDescent="0.35"/>
  <cols>
    <col min="1" max="1" width="5.1796875" customWidth="1"/>
    <col min="2" max="2" width="20.1796875" bestFit="1" customWidth="1"/>
  </cols>
  <sheetData>
    <row r="2" spans="2:15" x14ac:dyDescent="0.35">
      <c r="B2" t="s">
        <v>1664</v>
      </c>
      <c r="C2" s="2">
        <v>4.6899999999999997E-2</v>
      </c>
    </row>
    <row r="3" spans="2:15" x14ac:dyDescent="0.35">
      <c r="B3" t="s">
        <v>1665</v>
      </c>
      <c r="C3" s="2">
        <f>C2/3</f>
        <v>1.5633333333333332E-2</v>
      </c>
    </row>
    <row r="4" spans="2:15" x14ac:dyDescent="0.35">
      <c r="B4" t="s">
        <v>1666</v>
      </c>
      <c r="C4" s="2">
        <f>C2-C3</f>
        <v>3.1266666666666665E-2</v>
      </c>
    </row>
    <row r="5" spans="2:15" x14ac:dyDescent="0.35">
      <c r="B5" t="s">
        <v>1667</v>
      </c>
      <c r="C5" s="2">
        <v>0</v>
      </c>
    </row>
    <row r="6" spans="2:15" x14ac:dyDescent="0.35">
      <c r="B6" t="s">
        <v>1668</v>
      </c>
      <c r="C6" s="2">
        <f>C4+C5</f>
        <v>3.1266666666666665E-2</v>
      </c>
    </row>
    <row r="7" spans="2:15" x14ac:dyDescent="0.35">
      <c r="B7" t="s">
        <v>1662</v>
      </c>
      <c r="C7" s="16">
        <f>cost_of_debt!D224/100</f>
        <v>2.2839000000000002E-2</v>
      </c>
    </row>
    <row r="8" spans="2:15" x14ac:dyDescent="0.35">
      <c r="B8" s="1" t="s">
        <v>1669</v>
      </c>
      <c r="C8" s="11">
        <f>C6+C7</f>
        <v>5.4105666666666663E-2</v>
      </c>
    </row>
    <row r="12" spans="2:15" ht="15" thickBot="1" x14ac:dyDescent="0.4">
      <c r="D12" s="52"/>
      <c r="E12" s="52"/>
      <c r="F12" s="52"/>
      <c r="G12" s="52"/>
      <c r="H12" s="52"/>
      <c r="I12" s="52"/>
      <c r="J12" s="48"/>
      <c r="K12" s="48"/>
      <c r="L12" s="48"/>
      <c r="M12" s="48"/>
      <c r="N12" s="48"/>
      <c r="O12" s="48"/>
    </row>
    <row r="13" spans="2:15" ht="35" thickBot="1" x14ac:dyDescent="0.4">
      <c r="D13" s="34" t="s">
        <v>1664</v>
      </c>
      <c r="E13" s="35" t="s">
        <v>1730</v>
      </c>
      <c r="F13" s="35" t="s">
        <v>1666</v>
      </c>
      <c r="G13" s="35" t="s">
        <v>1667</v>
      </c>
      <c r="H13" s="35" t="s">
        <v>1668</v>
      </c>
      <c r="I13" s="35" t="s">
        <v>1662</v>
      </c>
      <c r="J13" s="56" t="s">
        <v>1669</v>
      </c>
      <c r="K13" s="49"/>
      <c r="L13" s="49"/>
      <c r="M13" s="49"/>
      <c r="N13" s="49"/>
      <c r="O13" s="49"/>
    </row>
    <row r="14" spans="2:15" ht="15" thickBot="1" x14ac:dyDescent="0.4">
      <c r="D14" s="54">
        <f>C2</f>
        <v>4.6899999999999997E-2</v>
      </c>
      <c r="E14" s="55">
        <f>C3</f>
        <v>1.5633333333333332E-2</v>
      </c>
      <c r="F14" s="55">
        <f>C4</f>
        <v>3.1266666666666665E-2</v>
      </c>
      <c r="G14" s="55">
        <f>C5</f>
        <v>0</v>
      </c>
      <c r="H14" s="55">
        <f>C6</f>
        <v>3.1266666666666665E-2</v>
      </c>
      <c r="I14" s="55">
        <f>C7</f>
        <v>2.2839000000000002E-2</v>
      </c>
      <c r="J14" s="57">
        <f>C8</f>
        <v>5.4105666666666663E-2</v>
      </c>
      <c r="K14" s="50"/>
      <c r="L14" s="50"/>
      <c r="M14" s="50"/>
      <c r="N14" s="50"/>
      <c r="O14" s="51"/>
    </row>
    <row r="21" spans="4:4" x14ac:dyDescent="0.35">
      <c r="D21" s="53"/>
    </row>
    <row r="22" spans="4:4" x14ac:dyDescent="0.35">
      <c r="D22" s="53"/>
    </row>
  </sheetData>
  <pageMargins left="0.7" right="0.7" top="0.75" bottom="0.75" header="0.3" footer="0.3"/>
  <ignoredErrors>
    <ignoredError sqref="C7"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6BB51-5B2A-4814-B74B-EDE9BCDE64FE}">
  <sheetPr>
    <tabColor theme="9" tint="0.79998168889431442"/>
  </sheetPr>
  <dimension ref="B2:L51"/>
  <sheetViews>
    <sheetView zoomScale="80" zoomScaleNormal="80" workbookViewId="0">
      <selection activeCell="F20" sqref="F20"/>
    </sheetView>
  </sheetViews>
  <sheetFormatPr defaultRowHeight="14.5" x14ac:dyDescent="0.35"/>
  <cols>
    <col min="2" max="2" width="43.81640625" bestFit="1" customWidth="1"/>
    <col min="3" max="3" width="9.6328125" customWidth="1"/>
    <col min="4" max="4" width="9.81640625" customWidth="1"/>
    <col min="8" max="8" width="12" customWidth="1"/>
    <col min="9" max="9" width="9.6328125" customWidth="1"/>
    <col min="10" max="10" width="9.54296875" customWidth="1"/>
    <col min="11" max="11" width="9.81640625" customWidth="1"/>
    <col min="12" max="12" width="8.7265625" customWidth="1"/>
  </cols>
  <sheetData>
    <row r="2" spans="2:12" x14ac:dyDescent="0.35">
      <c r="B2" t="s">
        <v>1691</v>
      </c>
      <c r="C2" s="16">
        <v>5.1761000000000001E-2</v>
      </c>
      <c r="D2" t="s">
        <v>1695</v>
      </c>
    </row>
    <row r="3" spans="2:12" x14ac:dyDescent="0.35">
      <c r="B3" t="s">
        <v>1693</v>
      </c>
      <c r="C3" s="16">
        <f>cash!F308</f>
        <v>1.6420666666666663E-2</v>
      </c>
    </row>
    <row r="4" spans="2:12" x14ac:dyDescent="0.35">
      <c r="B4" t="s">
        <v>1692</v>
      </c>
      <c r="C4" s="16">
        <f>C2-C3</f>
        <v>3.5340333333333335E-2</v>
      </c>
    </row>
    <row r="5" spans="2:12" x14ac:dyDescent="0.35">
      <c r="B5" t="s">
        <v>1671</v>
      </c>
      <c r="C5" s="21">
        <v>1.2</v>
      </c>
      <c r="D5" s="25" t="s">
        <v>1702</v>
      </c>
    </row>
    <row r="6" spans="2:12" x14ac:dyDescent="0.35">
      <c r="B6" t="s">
        <v>1672</v>
      </c>
      <c r="C6" s="16">
        <f>C3+C4*C5</f>
        <v>5.8829066666666666E-2</v>
      </c>
    </row>
    <row r="7" spans="2:12" x14ac:dyDescent="0.35">
      <c r="B7" t="s">
        <v>1700</v>
      </c>
      <c r="C7" s="16">
        <f>D7^2*C5</f>
        <v>1.8636447336808963E-2</v>
      </c>
      <c r="D7" s="16">
        <v>0.124620916304905</v>
      </c>
      <c r="E7" t="s">
        <v>1701</v>
      </c>
    </row>
    <row r="8" spans="2:12" x14ac:dyDescent="0.35">
      <c r="B8" t="s">
        <v>1673</v>
      </c>
      <c r="C8" s="16">
        <f>C6-C7/2</f>
        <v>4.9510842998262181E-2</v>
      </c>
    </row>
    <row r="9" spans="2:12" x14ac:dyDescent="0.35">
      <c r="B9" t="s">
        <v>1662</v>
      </c>
      <c r="C9" s="16">
        <f>cost_of_debt!D224/100</f>
        <v>2.2839000000000002E-2</v>
      </c>
    </row>
    <row r="10" spans="2:12" x14ac:dyDescent="0.35">
      <c r="B10" s="1" t="s">
        <v>1694</v>
      </c>
      <c r="C10" s="20">
        <f>(1+C8)*(1+C9)-1</f>
        <v>7.3480621141499558E-2</v>
      </c>
    </row>
    <row r="12" spans="2:12" ht="15" thickBot="1" x14ac:dyDescent="0.4"/>
    <row r="13" spans="2:12" ht="69.5" thickBot="1" x14ac:dyDescent="0.4">
      <c r="D13" s="34" t="s">
        <v>1691</v>
      </c>
      <c r="E13" s="35" t="s">
        <v>1693</v>
      </c>
      <c r="F13" s="35" t="s">
        <v>1692</v>
      </c>
      <c r="G13" s="35" t="s">
        <v>1671</v>
      </c>
      <c r="H13" s="35" t="s">
        <v>1672</v>
      </c>
      <c r="I13" s="35" t="s">
        <v>1700</v>
      </c>
      <c r="J13" s="35" t="s">
        <v>1673</v>
      </c>
      <c r="K13" s="35" t="s">
        <v>1662</v>
      </c>
      <c r="L13" s="56" t="s">
        <v>1694</v>
      </c>
    </row>
    <row r="14" spans="2:12" ht="15" thickBot="1" x14ac:dyDescent="0.4">
      <c r="D14" s="54">
        <v>5.1761000000000001E-2</v>
      </c>
      <c r="E14" s="55">
        <v>1.6420666666666663E-2</v>
      </c>
      <c r="F14" s="55">
        <v>3.5340333333333335E-2</v>
      </c>
      <c r="G14" s="55">
        <v>1.2</v>
      </c>
      <c r="H14" s="55">
        <v>5.8829066666666666E-2</v>
      </c>
      <c r="I14" s="55">
        <v>1.8636447336809081E-2</v>
      </c>
      <c r="J14" s="55">
        <v>4.9510842998262125E-2</v>
      </c>
      <c r="K14" s="55">
        <v>2.2839000000000002E-2</v>
      </c>
      <c r="L14" s="57">
        <v>7.3480621141499336E-2</v>
      </c>
    </row>
    <row r="25" spans="2:8" x14ac:dyDescent="0.35">
      <c r="B25" s="1" t="s">
        <v>1680</v>
      </c>
    </row>
    <row r="26" spans="2:8" x14ac:dyDescent="0.35">
      <c r="B26" t="s">
        <v>1674</v>
      </c>
      <c r="C26">
        <v>1</v>
      </c>
      <c r="D26">
        <v>2</v>
      </c>
      <c r="E26">
        <v>3</v>
      </c>
      <c r="F26">
        <v>4</v>
      </c>
      <c r="G26">
        <v>5</v>
      </c>
      <c r="H26">
        <v>6</v>
      </c>
    </row>
    <row r="27" spans="2:8" x14ac:dyDescent="0.35">
      <c r="B27" t="s">
        <v>1675</v>
      </c>
      <c r="C27" s="13">
        <v>1.4999999999999999E-2</v>
      </c>
      <c r="D27" s="13">
        <v>0.1</v>
      </c>
      <c r="E27" s="13">
        <v>-0.12</v>
      </c>
      <c r="F27" s="13">
        <v>0.2</v>
      </c>
      <c r="G27" s="13">
        <v>1.2E-2</v>
      </c>
      <c r="H27" s="13">
        <v>0.06</v>
      </c>
    </row>
    <row r="29" spans="2:8" x14ac:dyDescent="0.35">
      <c r="B29" s="17" t="s">
        <v>1677</v>
      </c>
      <c r="C29" s="13">
        <f>AVERAGE(C27:H27)</f>
        <v>4.4500000000000005E-2</v>
      </c>
    </row>
    <row r="30" spans="2:8" x14ac:dyDescent="0.35">
      <c r="B30" s="17" t="s">
        <v>1676</v>
      </c>
      <c r="C30" s="13" cm="1">
        <f t="array" ref="C30">(PRODUCT(1+C27:H27))^(1/6)-1</f>
        <v>3.9923766920414439E-2</v>
      </c>
    </row>
    <row r="31" spans="2:8" x14ac:dyDescent="0.35">
      <c r="B31" t="s">
        <v>1679</v>
      </c>
      <c r="C31" s="15">
        <f>_xlfn.VAR.P(C27:H27)/2</f>
        <v>4.7072916666666695E-3</v>
      </c>
    </row>
    <row r="32" spans="2:8" x14ac:dyDescent="0.35">
      <c r="B32" t="s">
        <v>1678</v>
      </c>
      <c r="C32" s="13">
        <f>C29-C31</f>
        <v>3.9792708333333336E-2</v>
      </c>
    </row>
    <row r="35" spans="2:3" x14ac:dyDescent="0.35">
      <c r="B35" s="1" t="s">
        <v>1670</v>
      </c>
    </row>
    <row r="36" spans="2:3" x14ac:dyDescent="0.35">
      <c r="B36" t="s">
        <v>1681</v>
      </c>
      <c r="C36" s="12">
        <v>0.02</v>
      </c>
    </row>
    <row r="37" spans="2:3" x14ac:dyDescent="0.35">
      <c r="B37" t="s">
        <v>1682</v>
      </c>
      <c r="C37" s="12">
        <v>0.04</v>
      </c>
    </row>
    <row r="38" spans="2:3" x14ac:dyDescent="0.35">
      <c r="B38" t="s">
        <v>1683</v>
      </c>
      <c r="C38" s="12">
        <f>SUM(C36:C37)</f>
        <v>0.06</v>
      </c>
    </row>
    <row r="40" spans="2:3" x14ac:dyDescent="0.35">
      <c r="B40" t="s">
        <v>1684</v>
      </c>
      <c r="C40" s="18">
        <v>100</v>
      </c>
    </row>
    <row r="41" spans="2:3" x14ac:dyDescent="0.35">
      <c r="B41" t="s">
        <v>1670</v>
      </c>
      <c r="C41" s="12">
        <v>0.2</v>
      </c>
    </row>
    <row r="42" spans="2:3" x14ac:dyDescent="0.35">
      <c r="B42" t="s">
        <v>1685</v>
      </c>
      <c r="C42" s="18">
        <f>C40*(1+C41)</f>
        <v>120</v>
      </c>
    </row>
    <row r="43" spans="2:3" x14ac:dyDescent="0.35">
      <c r="B43" t="s">
        <v>1671</v>
      </c>
      <c r="C43">
        <f>C42/C40</f>
        <v>1.2</v>
      </c>
    </row>
    <row r="45" spans="2:3" x14ac:dyDescent="0.35">
      <c r="B45" t="s">
        <v>1686</v>
      </c>
      <c r="C45" s="19">
        <f>C42*C38</f>
        <v>7.1999999999999993</v>
      </c>
    </row>
    <row r="46" spans="2:3" x14ac:dyDescent="0.35">
      <c r="B46" t="s">
        <v>1687</v>
      </c>
      <c r="C46" s="19">
        <f>C40*C41*C36</f>
        <v>0.4</v>
      </c>
    </row>
    <row r="47" spans="2:3" x14ac:dyDescent="0.35">
      <c r="B47" t="s">
        <v>1688</v>
      </c>
      <c r="C47" s="19">
        <f>C45-C46</f>
        <v>6.7999999999999989</v>
      </c>
    </row>
    <row r="49" spans="2:3" x14ac:dyDescent="0.35">
      <c r="B49" t="s">
        <v>1689</v>
      </c>
      <c r="C49" s="15">
        <f>C47/C40</f>
        <v>6.7999999999999991E-2</v>
      </c>
    </row>
    <row r="50" spans="2:3" x14ac:dyDescent="0.35">
      <c r="B50" t="s">
        <v>1690</v>
      </c>
      <c r="C50" s="15">
        <f>C37*C43+C36</f>
        <v>6.8000000000000005E-2</v>
      </c>
    </row>
    <row r="51" spans="2:3" x14ac:dyDescent="0.35">
      <c r="C51" t="b">
        <f>C50=C49</f>
        <v>1</v>
      </c>
    </row>
  </sheetData>
  <hyperlinks>
    <hyperlink ref="D5" r:id="rId1" xr:uid="{DA7CA479-6EBA-47E0-A544-F550452606D5}"/>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5E1DF-2DCC-47DE-AB19-A094D151FC94}">
  <dimension ref="A1:H309"/>
  <sheetViews>
    <sheetView zoomScale="80" zoomScaleNormal="80" workbookViewId="0">
      <pane ySplit="1" topLeftCell="A296" activePane="bottomLeft" state="frozen"/>
      <selection pane="bottomLeft" activeCell="F308" sqref="F308"/>
    </sheetView>
  </sheetViews>
  <sheetFormatPr defaultRowHeight="14.5" x14ac:dyDescent="0.35"/>
  <cols>
    <col min="1" max="1" width="10.81640625" bestFit="1" customWidth="1"/>
    <col min="4" max="4" width="31.54296875" customWidth="1"/>
    <col min="5" max="5" width="21.54296875" customWidth="1"/>
    <col min="6" max="6" width="23.81640625" customWidth="1"/>
  </cols>
  <sheetData>
    <row r="1" spans="1:3" ht="15.5" x14ac:dyDescent="0.35">
      <c r="A1" s="1" t="s">
        <v>1658</v>
      </c>
      <c r="B1" s="24" t="s">
        <v>1696</v>
      </c>
      <c r="C1" s="24" t="s">
        <v>1697</v>
      </c>
    </row>
    <row r="2" spans="1:3" x14ac:dyDescent="0.35">
      <c r="A2" s="22">
        <v>36525</v>
      </c>
      <c r="B2" s="2">
        <v>5.4109999999999998E-2</v>
      </c>
      <c r="C2" s="23">
        <v>6.5919999999999992E-2</v>
      </c>
    </row>
    <row r="3" spans="1:3" x14ac:dyDescent="0.35">
      <c r="A3" s="22">
        <v>36556</v>
      </c>
      <c r="B3" s="2">
        <v>5.6919999999999998E-2</v>
      </c>
      <c r="C3" s="23">
        <v>6.6650000000000001E-2</v>
      </c>
    </row>
    <row r="4" spans="1:3" x14ac:dyDescent="0.35">
      <c r="A4" s="22">
        <v>36585</v>
      </c>
      <c r="B4" s="2">
        <v>5.781E-2</v>
      </c>
      <c r="C4" s="23">
        <v>6.4089999999999994E-2</v>
      </c>
    </row>
    <row r="5" spans="1:3" x14ac:dyDescent="0.35">
      <c r="A5" s="22">
        <v>36616</v>
      </c>
      <c r="B5" s="2">
        <v>5.8710000000000005E-2</v>
      </c>
      <c r="C5" s="23">
        <v>6.0039999999999996E-2</v>
      </c>
    </row>
    <row r="6" spans="1:3" x14ac:dyDescent="0.35">
      <c r="A6" s="22">
        <v>36646</v>
      </c>
      <c r="B6" s="2">
        <v>5.8289999999999995E-2</v>
      </c>
      <c r="C6" s="23">
        <v>6.2119999999999995E-2</v>
      </c>
    </row>
    <row r="7" spans="1:3" x14ac:dyDescent="0.35">
      <c r="A7" s="22">
        <v>36677</v>
      </c>
      <c r="B7" s="2">
        <v>5.6189999999999997E-2</v>
      </c>
      <c r="C7" s="23">
        <v>6.2719999999999998E-2</v>
      </c>
    </row>
    <row r="8" spans="1:3" x14ac:dyDescent="0.35">
      <c r="A8" s="22">
        <v>36707</v>
      </c>
      <c r="B8" s="2">
        <v>5.8540000000000002E-2</v>
      </c>
      <c r="C8" s="23">
        <v>6.0309999999999996E-2</v>
      </c>
    </row>
    <row r="9" spans="1:3" x14ac:dyDescent="0.35">
      <c r="A9" s="22">
        <v>36738</v>
      </c>
      <c r="B9" s="2">
        <v>6.2190000000000002E-2</v>
      </c>
      <c r="C9" s="23">
        <v>6.0309999999999996E-2</v>
      </c>
    </row>
    <row r="10" spans="1:3" x14ac:dyDescent="0.35">
      <c r="A10" s="22">
        <v>36769</v>
      </c>
      <c r="B10" s="2">
        <v>6.3060000000000005E-2</v>
      </c>
      <c r="C10" s="23">
        <v>5.7249999999999995E-2</v>
      </c>
    </row>
    <row r="11" spans="1:3" x14ac:dyDescent="0.35">
      <c r="A11" s="22">
        <v>36799</v>
      </c>
      <c r="B11" s="2">
        <v>6.2089999999999999E-2</v>
      </c>
      <c r="C11" s="23">
        <v>5.8019999999999995E-2</v>
      </c>
    </row>
    <row r="12" spans="1:3" x14ac:dyDescent="0.35">
      <c r="A12" s="22">
        <v>36830</v>
      </c>
      <c r="B12" s="2">
        <v>6.3890000000000002E-2</v>
      </c>
      <c r="C12" s="23">
        <v>5.7510000000000006E-2</v>
      </c>
    </row>
    <row r="13" spans="1:3" x14ac:dyDescent="0.35">
      <c r="A13" s="22">
        <v>36860</v>
      </c>
      <c r="B13" s="2">
        <v>6.2019999999999999E-2</v>
      </c>
      <c r="C13" s="23">
        <v>5.4679999999999999E-2</v>
      </c>
    </row>
    <row r="14" spans="1:3" x14ac:dyDescent="0.35">
      <c r="A14" s="22">
        <v>36891</v>
      </c>
      <c r="B14" s="2">
        <v>5.8949999999999995E-2</v>
      </c>
      <c r="C14" s="23">
        <v>5.1119999999999999E-2</v>
      </c>
    </row>
    <row r="15" spans="1:3" x14ac:dyDescent="0.35">
      <c r="A15" s="22">
        <v>36922</v>
      </c>
      <c r="B15" s="2">
        <v>4.9939999999999998E-2</v>
      </c>
      <c r="C15" s="23">
        <v>5.1139999999999998E-2</v>
      </c>
    </row>
    <row r="16" spans="1:3" x14ac:dyDescent="0.35">
      <c r="A16" s="22">
        <v>36950</v>
      </c>
      <c r="B16" s="2">
        <v>4.8590000000000001E-2</v>
      </c>
      <c r="C16" s="23">
        <v>4.8959999999999997E-2</v>
      </c>
    </row>
    <row r="17" spans="1:3" x14ac:dyDescent="0.35">
      <c r="A17" s="22">
        <v>36981</v>
      </c>
      <c r="B17" s="2">
        <v>4.2859999999999995E-2</v>
      </c>
      <c r="C17" s="23">
        <v>4.9169999999999998E-2</v>
      </c>
    </row>
    <row r="18" spans="1:3" x14ac:dyDescent="0.35">
      <c r="A18" s="22">
        <v>37011</v>
      </c>
      <c r="B18" s="2">
        <v>3.8830000000000003E-2</v>
      </c>
      <c r="C18" s="23">
        <v>5.3380000000000004E-2</v>
      </c>
    </row>
    <row r="19" spans="1:3" x14ac:dyDescent="0.35">
      <c r="A19" s="22">
        <v>37042</v>
      </c>
      <c r="B19" s="2">
        <v>3.6159999999999998E-2</v>
      </c>
      <c r="C19" s="23">
        <v>5.3810000000000004E-2</v>
      </c>
    </row>
    <row r="20" spans="1:3" x14ac:dyDescent="0.35">
      <c r="A20" s="22">
        <v>37072</v>
      </c>
      <c r="B20" s="2">
        <v>3.6560000000000002E-2</v>
      </c>
      <c r="C20" s="23">
        <v>5.4120000000000001E-2</v>
      </c>
    </row>
    <row r="21" spans="1:3" x14ac:dyDescent="0.35">
      <c r="A21" s="22">
        <v>37103</v>
      </c>
      <c r="B21" s="2">
        <v>3.524E-2</v>
      </c>
      <c r="C21" s="23">
        <v>5.0540000000000002E-2</v>
      </c>
    </row>
    <row r="22" spans="1:3" x14ac:dyDescent="0.35">
      <c r="A22" s="22">
        <v>37134</v>
      </c>
      <c r="B22" s="2">
        <v>3.3669999999999999E-2</v>
      </c>
      <c r="C22" s="23">
        <v>4.8320000000000002E-2</v>
      </c>
    </row>
    <row r="23" spans="1:3" x14ac:dyDescent="0.35">
      <c r="A23" s="22">
        <v>37164</v>
      </c>
      <c r="B23" s="2">
        <v>2.3709999999999998E-2</v>
      </c>
      <c r="C23" s="23">
        <v>4.5880000000000004E-2</v>
      </c>
    </row>
    <row r="24" spans="1:3" x14ac:dyDescent="0.35">
      <c r="A24" s="22">
        <v>37195</v>
      </c>
      <c r="B24" s="2">
        <v>2.0119999999999999E-2</v>
      </c>
      <c r="C24" s="23">
        <v>4.2320000000000003E-2</v>
      </c>
    </row>
    <row r="25" spans="1:3" x14ac:dyDescent="0.35">
      <c r="A25" s="22">
        <v>37225</v>
      </c>
      <c r="B25" s="2">
        <v>1.7260000000000001E-2</v>
      </c>
      <c r="C25" s="23">
        <v>4.752E-2</v>
      </c>
    </row>
    <row r="26" spans="1:3" x14ac:dyDescent="0.35">
      <c r="A26" s="22">
        <v>37256</v>
      </c>
      <c r="B26" s="2">
        <v>1.7250000000000001E-2</v>
      </c>
      <c r="C26" s="23">
        <v>5.0509999999999999E-2</v>
      </c>
    </row>
    <row r="27" spans="1:3" x14ac:dyDescent="0.35">
      <c r="A27" s="22">
        <v>37287</v>
      </c>
      <c r="B27" s="2">
        <v>1.7569999999999999E-2</v>
      </c>
      <c r="C27" s="23">
        <v>5.0330000000000007E-2</v>
      </c>
    </row>
    <row r="28" spans="1:3" x14ac:dyDescent="0.35">
      <c r="A28" s="22">
        <v>37315</v>
      </c>
      <c r="B28" s="2">
        <v>1.7569999999999999E-2</v>
      </c>
      <c r="C28" s="23">
        <v>4.8770000000000001E-2</v>
      </c>
    </row>
    <row r="29" spans="1:3" x14ac:dyDescent="0.35">
      <c r="A29" s="22">
        <v>37346</v>
      </c>
      <c r="B29" s="2">
        <v>1.787E-2</v>
      </c>
      <c r="C29" s="23">
        <v>5.4000000000000006E-2</v>
      </c>
    </row>
    <row r="30" spans="1:3" x14ac:dyDescent="0.35">
      <c r="A30" s="22">
        <v>37376</v>
      </c>
      <c r="B30" s="2">
        <v>1.7669999999999998E-2</v>
      </c>
      <c r="C30" s="23">
        <v>5.0846999999999996E-2</v>
      </c>
    </row>
    <row r="31" spans="1:3" x14ac:dyDescent="0.35">
      <c r="A31" s="22">
        <v>37407</v>
      </c>
      <c r="B31" s="2">
        <v>1.7260000000000001E-2</v>
      </c>
      <c r="C31" s="23">
        <v>5.0427E-2</v>
      </c>
    </row>
    <row r="32" spans="1:3" x14ac:dyDescent="0.35">
      <c r="A32" s="22">
        <v>37437</v>
      </c>
      <c r="B32" s="2">
        <v>1.685E-2</v>
      </c>
      <c r="C32" s="23">
        <v>4.7965000000000001E-2</v>
      </c>
    </row>
    <row r="33" spans="1:3" x14ac:dyDescent="0.35">
      <c r="A33" s="22">
        <v>37468</v>
      </c>
      <c r="B33" s="2">
        <v>1.695E-2</v>
      </c>
      <c r="C33" s="23">
        <v>4.4588000000000003E-2</v>
      </c>
    </row>
    <row r="34" spans="1:3" x14ac:dyDescent="0.35">
      <c r="A34" s="22">
        <v>37499</v>
      </c>
      <c r="B34" s="2">
        <v>1.6739999999999998E-2</v>
      </c>
      <c r="C34" s="23">
        <v>4.1409000000000001E-2</v>
      </c>
    </row>
    <row r="35" spans="1:3" x14ac:dyDescent="0.35">
      <c r="A35" s="22">
        <v>37529</v>
      </c>
      <c r="B35" s="2">
        <v>1.5520000000000001E-2</v>
      </c>
      <c r="C35" s="23">
        <v>3.5942000000000002E-2</v>
      </c>
    </row>
    <row r="36" spans="1:3" x14ac:dyDescent="0.35">
      <c r="A36" s="22">
        <v>37560</v>
      </c>
      <c r="B36" s="2">
        <v>1.4499999999999999E-2</v>
      </c>
      <c r="C36" s="23">
        <v>3.8925000000000001E-2</v>
      </c>
    </row>
    <row r="37" spans="1:3" x14ac:dyDescent="0.35">
      <c r="A37" s="22">
        <v>37590</v>
      </c>
      <c r="B37" s="2">
        <v>1.2150000000000001E-2</v>
      </c>
      <c r="C37" s="23">
        <v>4.2051999999999999E-2</v>
      </c>
    </row>
    <row r="38" spans="1:3" x14ac:dyDescent="0.35">
      <c r="A38" s="22">
        <v>37621</v>
      </c>
      <c r="B38" s="2">
        <v>1.1950000000000001E-2</v>
      </c>
      <c r="C38" s="23">
        <v>3.8159999999999999E-2</v>
      </c>
    </row>
    <row r="39" spans="1:3" x14ac:dyDescent="0.35">
      <c r="A39" s="22">
        <v>37652</v>
      </c>
      <c r="B39" s="2">
        <v>1.1739999999999999E-2</v>
      </c>
      <c r="C39" s="23">
        <v>3.9625E-2</v>
      </c>
    </row>
    <row r="40" spans="1:3" x14ac:dyDescent="0.35">
      <c r="A40" s="22">
        <v>37680</v>
      </c>
      <c r="B40" s="2">
        <v>1.1950000000000001E-2</v>
      </c>
      <c r="C40" s="23">
        <v>3.6896999999999999E-2</v>
      </c>
    </row>
    <row r="41" spans="1:3" x14ac:dyDescent="0.35">
      <c r="A41" s="22">
        <v>37711</v>
      </c>
      <c r="B41" s="2">
        <v>1.1129999999999999E-2</v>
      </c>
      <c r="C41" s="23">
        <v>3.7960000000000001E-2</v>
      </c>
    </row>
    <row r="42" spans="1:3" x14ac:dyDescent="0.35">
      <c r="A42" s="22">
        <v>37741</v>
      </c>
      <c r="B42" s="2">
        <v>1.1129999999999999E-2</v>
      </c>
      <c r="C42" s="23">
        <v>3.8359000000000004E-2</v>
      </c>
    </row>
    <row r="43" spans="1:3" x14ac:dyDescent="0.35">
      <c r="A43" s="22">
        <v>37772</v>
      </c>
      <c r="B43" s="2">
        <v>1.103E-2</v>
      </c>
      <c r="C43" s="23">
        <v>3.3699E-2</v>
      </c>
    </row>
    <row r="44" spans="1:3" x14ac:dyDescent="0.35">
      <c r="A44" s="22">
        <v>37802</v>
      </c>
      <c r="B44" s="2">
        <v>8.5100000000000002E-3</v>
      </c>
      <c r="C44" s="23">
        <v>3.5132999999999998E-2</v>
      </c>
    </row>
    <row r="45" spans="1:3" x14ac:dyDescent="0.35">
      <c r="A45" s="22">
        <v>37833</v>
      </c>
      <c r="B45" s="2">
        <v>9.4299999999999991E-3</v>
      </c>
      <c r="C45" s="23">
        <v>4.4054999999999997E-2</v>
      </c>
    </row>
    <row r="46" spans="1:3" x14ac:dyDescent="0.35">
      <c r="A46" s="22">
        <v>37864</v>
      </c>
      <c r="B46" s="2">
        <v>9.7299999999999991E-3</v>
      </c>
      <c r="C46" s="23">
        <v>4.4635999999999995E-2</v>
      </c>
    </row>
    <row r="47" spans="1:3" x14ac:dyDescent="0.35">
      <c r="A47" s="22">
        <v>37894</v>
      </c>
      <c r="B47" s="2">
        <v>9.4299999999999991E-3</v>
      </c>
      <c r="C47" s="23">
        <v>3.9376000000000001E-2</v>
      </c>
    </row>
    <row r="48" spans="1:3" x14ac:dyDescent="0.35">
      <c r="A48" s="22">
        <v>37925</v>
      </c>
      <c r="B48" s="2">
        <v>9.5300000000000003E-3</v>
      </c>
      <c r="C48" s="23">
        <v>4.2927E-2</v>
      </c>
    </row>
    <row r="49" spans="1:3" x14ac:dyDescent="0.35">
      <c r="A49" s="22">
        <v>37955</v>
      </c>
      <c r="B49" s="2">
        <v>9.3200000000000002E-3</v>
      </c>
      <c r="C49" s="23">
        <v>4.3316E-2</v>
      </c>
    </row>
    <row r="50" spans="1:3" x14ac:dyDescent="0.35">
      <c r="A50" s="22">
        <v>37986</v>
      </c>
      <c r="B50" s="2">
        <v>9.2200000000000008E-3</v>
      </c>
      <c r="C50" s="23">
        <v>4.2455E-2</v>
      </c>
    </row>
    <row r="51" spans="1:3" x14ac:dyDescent="0.35">
      <c r="A51" s="22">
        <v>38017</v>
      </c>
      <c r="B51" s="2">
        <v>9.1199999999999996E-3</v>
      </c>
      <c r="C51" s="23">
        <v>4.1319000000000002E-2</v>
      </c>
    </row>
    <row r="52" spans="1:3" x14ac:dyDescent="0.35">
      <c r="A52" s="22">
        <v>38046</v>
      </c>
      <c r="B52" s="2">
        <v>9.4299999999999991E-3</v>
      </c>
      <c r="C52" s="23">
        <v>3.9710999999999996E-2</v>
      </c>
    </row>
    <row r="53" spans="1:3" x14ac:dyDescent="0.35">
      <c r="A53" s="22">
        <v>38077</v>
      </c>
      <c r="B53" s="2">
        <v>9.4299999999999991E-3</v>
      </c>
      <c r="C53" s="23">
        <v>3.8348E-2</v>
      </c>
    </row>
    <row r="54" spans="1:3" x14ac:dyDescent="0.35">
      <c r="A54" s="22">
        <v>38107</v>
      </c>
      <c r="B54" s="2">
        <v>9.6299999999999997E-3</v>
      </c>
      <c r="C54" s="23">
        <v>4.5053000000000003E-2</v>
      </c>
    </row>
    <row r="55" spans="1:3" x14ac:dyDescent="0.35">
      <c r="A55" s="22">
        <v>38138</v>
      </c>
      <c r="B55" s="2">
        <v>1.065E-2</v>
      </c>
      <c r="C55" s="23">
        <v>4.6467999999999995E-2</v>
      </c>
    </row>
    <row r="56" spans="1:3" x14ac:dyDescent="0.35">
      <c r="A56" s="22">
        <v>38168</v>
      </c>
      <c r="B56" s="2">
        <v>1.2659999999999999E-2</v>
      </c>
      <c r="C56" s="23">
        <v>4.5805999999999993E-2</v>
      </c>
    </row>
    <row r="57" spans="1:3" x14ac:dyDescent="0.35">
      <c r="A57" s="22">
        <v>38199</v>
      </c>
      <c r="B57" s="2">
        <v>1.44E-2</v>
      </c>
      <c r="C57" s="23">
        <v>4.4747000000000002E-2</v>
      </c>
    </row>
    <row r="58" spans="1:3" x14ac:dyDescent="0.35">
      <c r="A58" s="22">
        <v>38230</v>
      </c>
      <c r="B58" s="2">
        <v>1.583E-2</v>
      </c>
      <c r="C58" s="23">
        <v>4.1166999999999995E-2</v>
      </c>
    </row>
    <row r="59" spans="1:3" x14ac:dyDescent="0.35">
      <c r="A59" s="22">
        <v>38260</v>
      </c>
      <c r="B59" s="2">
        <v>1.7049999999999999E-2</v>
      </c>
      <c r="C59" s="23">
        <v>4.1193999999999995E-2</v>
      </c>
    </row>
    <row r="60" spans="1:3" x14ac:dyDescent="0.35">
      <c r="A60" s="22">
        <v>38291</v>
      </c>
      <c r="B60" s="2">
        <v>1.899E-2</v>
      </c>
      <c r="C60" s="23">
        <v>4.0235E-2</v>
      </c>
    </row>
    <row r="61" spans="1:3" x14ac:dyDescent="0.35">
      <c r="A61" s="22">
        <v>38321</v>
      </c>
      <c r="B61" s="2">
        <v>2.2280000000000001E-2</v>
      </c>
      <c r="C61" s="23">
        <v>4.3491999999999996E-2</v>
      </c>
    </row>
    <row r="62" spans="1:3" x14ac:dyDescent="0.35">
      <c r="A62" s="22">
        <v>38352</v>
      </c>
      <c r="B62" s="2">
        <v>2.2170000000000002E-2</v>
      </c>
      <c r="C62" s="23">
        <v>4.2182000000000004E-2</v>
      </c>
    </row>
    <row r="63" spans="1:3" x14ac:dyDescent="0.35">
      <c r="A63" s="22">
        <v>38383</v>
      </c>
      <c r="B63" s="2">
        <v>2.4629999999999999E-2</v>
      </c>
      <c r="C63" s="23">
        <v>4.1280000000000004E-2</v>
      </c>
    </row>
    <row r="64" spans="1:3" x14ac:dyDescent="0.35">
      <c r="A64" s="22">
        <v>38411</v>
      </c>
      <c r="B64" s="2">
        <v>2.75E-2</v>
      </c>
      <c r="C64" s="23">
        <v>4.3765999999999999E-2</v>
      </c>
    </row>
    <row r="65" spans="1:3" x14ac:dyDescent="0.35">
      <c r="A65" s="22">
        <v>38442</v>
      </c>
      <c r="B65" s="2">
        <v>2.7719999999999998E-2</v>
      </c>
      <c r="C65" s="23">
        <v>4.4814999999999994E-2</v>
      </c>
    </row>
    <row r="66" spans="1:3" x14ac:dyDescent="0.35">
      <c r="A66" s="22">
        <v>38472</v>
      </c>
      <c r="B66" s="2">
        <v>2.894E-2</v>
      </c>
      <c r="C66" s="23">
        <v>4.1976000000000006E-2</v>
      </c>
    </row>
    <row r="67" spans="1:3" x14ac:dyDescent="0.35">
      <c r="A67" s="22">
        <v>38503</v>
      </c>
      <c r="B67" s="2">
        <v>2.9449999999999997E-2</v>
      </c>
      <c r="C67" s="23">
        <v>3.9809999999999998E-2</v>
      </c>
    </row>
    <row r="68" spans="1:3" x14ac:dyDescent="0.35">
      <c r="A68" s="22">
        <v>38533</v>
      </c>
      <c r="B68" s="2">
        <v>3.1210000000000002E-2</v>
      </c>
      <c r="C68" s="23">
        <v>3.9129999999999998E-2</v>
      </c>
    </row>
    <row r="69" spans="1:3" x14ac:dyDescent="0.35">
      <c r="A69" s="22">
        <v>38564</v>
      </c>
      <c r="B69" s="2">
        <v>3.3980000000000003E-2</v>
      </c>
      <c r="C69" s="23">
        <v>4.2759999999999999E-2</v>
      </c>
    </row>
    <row r="70" spans="1:3" x14ac:dyDescent="0.35">
      <c r="A70" s="22">
        <v>38595</v>
      </c>
      <c r="B70" s="2">
        <v>3.5029999999999999E-2</v>
      </c>
      <c r="C70" s="23">
        <v>4.0136999999999999E-2</v>
      </c>
    </row>
    <row r="71" spans="1:3" x14ac:dyDescent="0.35">
      <c r="A71" s="22">
        <v>38625</v>
      </c>
      <c r="B71" s="2">
        <v>3.5430000000000003E-2</v>
      </c>
      <c r="C71" s="23">
        <v>4.3240000000000001E-2</v>
      </c>
    </row>
    <row r="72" spans="1:3" x14ac:dyDescent="0.35">
      <c r="A72" s="22">
        <v>38656</v>
      </c>
      <c r="B72" s="2">
        <v>3.8830000000000003E-2</v>
      </c>
      <c r="C72" s="23">
        <v>4.5506000000000005E-2</v>
      </c>
    </row>
    <row r="73" spans="1:3" x14ac:dyDescent="0.35">
      <c r="A73" s="22">
        <v>38686</v>
      </c>
      <c r="B73" s="2">
        <v>3.9369999999999995E-2</v>
      </c>
      <c r="C73" s="23">
        <v>4.4839999999999998E-2</v>
      </c>
    </row>
    <row r="74" spans="1:3" x14ac:dyDescent="0.35">
      <c r="A74" s="22">
        <v>38717</v>
      </c>
      <c r="B74" s="2">
        <v>4.079E-2</v>
      </c>
      <c r="C74" s="23">
        <v>4.3910999999999999E-2</v>
      </c>
    </row>
    <row r="75" spans="1:3" x14ac:dyDescent="0.35">
      <c r="A75" s="22">
        <v>38748</v>
      </c>
      <c r="B75" s="2">
        <v>4.4649999999999995E-2</v>
      </c>
      <c r="C75" s="23">
        <v>4.5151999999999998E-2</v>
      </c>
    </row>
    <row r="76" spans="1:3" x14ac:dyDescent="0.35">
      <c r="A76" s="22">
        <v>38776</v>
      </c>
      <c r="B76" s="2">
        <v>4.6210000000000001E-2</v>
      </c>
      <c r="C76" s="23">
        <v>4.5510000000000002E-2</v>
      </c>
    </row>
    <row r="77" spans="1:3" x14ac:dyDescent="0.35">
      <c r="A77" s="22">
        <v>38807</v>
      </c>
      <c r="B77" s="2">
        <v>4.607E-2</v>
      </c>
      <c r="C77" s="23">
        <v>4.8472000000000001E-2</v>
      </c>
    </row>
    <row r="78" spans="1:3" x14ac:dyDescent="0.35">
      <c r="A78" s="22">
        <v>38837</v>
      </c>
      <c r="B78" s="2">
        <v>4.7629999999999999E-2</v>
      </c>
      <c r="C78" s="23">
        <v>5.0505000000000001E-2</v>
      </c>
    </row>
    <row r="79" spans="1:3" x14ac:dyDescent="0.35">
      <c r="A79" s="22">
        <v>38868</v>
      </c>
      <c r="B79" s="2">
        <v>4.8379999999999999E-2</v>
      </c>
      <c r="C79" s="23">
        <v>5.1185999999999995E-2</v>
      </c>
    </row>
    <row r="80" spans="1:3" x14ac:dyDescent="0.35">
      <c r="A80" s="22">
        <v>38898</v>
      </c>
      <c r="B80" s="2">
        <v>4.981E-2</v>
      </c>
      <c r="C80" s="23">
        <v>5.1364E-2</v>
      </c>
    </row>
    <row r="81" spans="1:3" x14ac:dyDescent="0.35">
      <c r="A81" s="22">
        <v>38929</v>
      </c>
      <c r="B81" s="2">
        <v>5.074E-2</v>
      </c>
      <c r="C81" s="23">
        <v>4.9793999999999998E-2</v>
      </c>
    </row>
    <row r="82" spans="1:3" x14ac:dyDescent="0.35">
      <c r="A82" s="22">
        <v>38960</v>
      </c>
      <c r="B82" s="2">
        <v>5.0349999999999999E-2</v>
      </c>
      <c r="C82" s="23">
        <v>4.7257999999999994E-2</v>
      </c>
    </row>
    <row r="83" spans="1:3" x14ac:dyDescent="0.35">
      <c r="A83" s="22">
        <v>38990</v>
      </c>
      <c r="B83" s="2">
        <v>4.8770000000000001E-2</v>
      </c>
      <c r="C83" s="23">
        <v>4.6276000000000005E-2</v>
      </c>
    </row>
    <row r="84" spans="1:3" x14ac:dyDescent="0.35">
      <c r="A84" s="22">
        <v>39021</v>
      </c>
      <c r="B84" s="2">
        <v>5.0780000000000006E-2</v>
      </c>
      <c r="C84" s="23">
        <v>4.5980999999999994E-2</v>
      </c>
    </row>
    <row r="85" spans="1:3" x14ac:dyDescent="0.35">
      <c r="A85" s="22">
        <v>39051</v>
      </c>
      <c r="B85" s="2">
        <v>5.024E-2</v>
      </c>
      <c r="C85" s="23">
        <v>4.4581000000000003E-2</v>
      </c>
    </row>
    <row r="86" spans="1:3" x14ac:dyDescent="0.35">
      <c r="A86" s="22">
        <v>39082</v>
      </c>
      <c r="B86" s="2">
        <v>5.0110000000000002E-2</v>
      </c>
      <c r="C86" s="23">
        <v>4.7022000000000001E-2</v>
      </c>
    </row>
    <row r="87" spans="1:3" x14ac:dyDescent="0.35">
      <c r="A87" s="22">
        <v>39113</v>
      </c>
      <c r="B87" s="2">
        <v>5.1079999999999993E-2</v>
      </c>
      <c r="C87" s="23">
        <v>4.8079999999999998E-2</v>
      </c>
    </row>
    <row r="88" spans="1:3" x14ac:dyDescent="0.35">
      <c r="A88" s="22">
        <v>39141</v>
      </c>
      <c r="B88" s="2">
        <v>5.1289999999999995E-2</v>
      </c>
      <c r="C88" s="23">
        <v>4.5656999999999996E-2</v>
      </c>
    </row>
    <row r="89" spans="1:3" x14ac:dyDescent="0.35">
      <c r="A89" s="22">
        <v>39172</v>
      </c>
      <c r="B89" s="2">
        <v>5.0330000000000007E-2</v>
      </c>
      <c r="C89" s="23">
        <v>4.6443000000000005E-2</v>
      </c>
    </row>
    <row r="90" spans="1:3" x14ac:dyDescent="0.35">
      <c r="A90" s="22">
        <v>39202</v>
      </c>
      <c r="B90" s="2">
        <v>4.845E-2</v>
      </c>
      <c r="C90" s="23">
        <v>4.6222000000000006E-2</v>
      </c>
    </row>
    <row r="91" spans="1:3" x14ac:dyDescent="0.35">
      <c r="A91" s="22">
        <v>39233</v>
      </c>
      <c r="B91" s="2">
        <v>4.7359999999999999E-2</v>
      </c>
      <c r="C91" s="23">
        <v>4.8878999999999999E-2</v>
      </c>
    </row>
    <row r="92" spans="1:3" x14ac:dyDescent="0.35">
      <c r="A92" s="22">
        <v>39263</v>
      </c>
      <c r="B92" s="2">
        <v>4.8070000000000002E-2</v>
      </c>
      <c r="C92" s="23">
        <v>5.0243999999999997E-2</v>
      </c>
    </row>
    <row r="93" spans="1:3" x14ac:dyDescent="0.35">
      <c r="A93" s="22">
        <v>39294</v>
      </c>
      <c r="B93" s="2">
        <v>4.9459999999999997E-2</v>
      </c>
      <c r="C93" s="23">
        <v>4.7388000000000007E-2</v>
      </c>
    </row>
    <row r="94" spans="1:3" x14ac:dyDescent="0.35">
      <c r="A94" s="22">
        <v>39325</v>
      </c>
      <c r="B94" s="2">
        <v>4.1110000000000001E-2</v>
      </c>
      <c r="C94" s="23">
        <v>4.5292000000000006E-2</v>
      </c>
    </row>
    <row r="95" spans="1:3" x14ac:dyDescent="0.35">
      <c r="A95" s="22">
        <v>39355</v>
      </c>
      <c r="B95" s="2">
        <v>3.8010000000000002E-2</v>
      </c>
      <c r="C95" s="23">
        <v>4.5865000000000003E-2</v>
      </c>
    </row>
    <row r="96" spans="1:3" x14ac:dyDescent="0.35">
      <c r="A96" s="22">
        <v>39386</v>
      </c>
      <c r="B96" s="2">
        <v>3.916E-2</v>
      </c>
      <c r="C96" s="23">
        <v>4.4707999999999998E-2</v>
      </c>
    </row>
    <row r="97" spans="1:3" x14ac:dyDescent="0.35">
      <c r="A97" s="22">
        <v>39416</v>
      </c>
      <c r="B97" s="2">
        <v>3.15E-2</v>
      </c>
      <c r="C97" s="23">
        <v>3.9378999999999997E-2</v>
      </c>
    </row>
    <row r="98" spans="1:3" x14ac:dyDescent="0.35">
      <c r="A98" s="22">
        <v>39447</v>
      </c>
      <c r="B98" s="2">
        <v>3.2419999999999997E-2</v>
      </c>
      <c r="C98" s="23">
        <v>4.0232000000000004E-2</v>
      </c>
    </row>
    <row r="99" spans="1:3" x14ac:dyDescent="0.35">
      <c r="A99" s="22">
        <v>39478</v>
      </c>
      <c r="B99" s="2">
        <v>1.9459999999999998E-2</v>
      </c>
      <c r="C99" s="23">
        <v>3.5931000000000005E-2</v>
      </c>
    </row>
    <row r="100" spans="1:3" x14ac:dyDescent="0.35">
      <c r="A100" s="22">
        <v>39507</v>
      </c>
      <c r="B100" s="2">
        <v>1.8429999999999998E-2</v>
      </c>
      <c r="C100" s="23">
        <v>3.5091999999999998E-2</v>
      </c>
    </row>
    <row r="101" spans="1:3" x14ac:dyDescent="0.35">
      <c r="A101" s="22">
        <v>39538</v>
      </c>
      <c r="B101" s="2">
        <v>1.321E-2</v>
      </c>
      <c r="C101" s="23">
        <v>3.4096000000000001E-2</v>
      </c>
    </row>
    <row r="102" spans="1:3" x14ac:dyDescent="0.35">
      <c r="A102" s="22">
        <v>39568</v>
      </c>
      <c r="B102" s="2">
        <v>1.3819999999999999E-2</v>
      </c>
      <c r="C102" s="23">
        <v>3.7279E-2</v>
      </c>
    </row>
    <row r="103" spans="1:3" x14ac:dyDescent="0.35">
      <c r="A103" s="22">
        <v>39599</v>
      </c>
      <c r="B103" s="2">
        <v>1.8839999999999999E-2</v>
      </c>
      <c r="C103" s="23">
        <v>4.0594999999999999E-2</v>
      </c>
    </row>
    <row r="104" spans="1:3" x14ac:dyDescent="0.35">
      <c r="A104" s="22">
        <v>39629</v>
      </c>
      <c r="B104" s="2">
        <v>1.736E-2</v>
      </c>
      <c r="C104" s="23">
        <v>3.9689999999999996E-2</v>
      </c>
    </row>
    <row r="105" spans="1:3" x14ac:dyDescent="0.35">
      <c r="A105" s="22">
        <v>39660</v>
      </c>
      <c r="B105" s="2">
        <v>1.6650000000000002E-2</v>
      </c>
      <c r="C105" s="23">
        <v>3.9462000000000004E-2</v>
      </c>
    </row>
    <row r="106" spans="1:3" x14ac:dyDescent="0.35">
      <c r="A106" s="22">
        <v>39691</v>
      </c>
      <c r="B106" s="2">
        <v>1.7150000000000002E-2</v>
      </c>
      <c r="C106" s="23">
        <v>3.8115999999999997E-2</v>
      </c>
    </row>
    <row r="107" spans="1:3" x14ac:dyDescent="0.35">
      <c r="A107" s="22">
        <v>39721</v>
      </c>
      <c r="B107" s="2">
        <v>9.1000000000000004E-3</v>
      </c>
      <c r="C107" s="23">
        <v>3.8233999999999997E-2</v>
      </c>
    </row>
    <row r="108" spans="1:3" x14ac:dyDescent="0.35">
      <c r="A108" s="22">
        <v>39752</v>
      </c>
      <c r="B108" s="2">
        <v>4.3800000000000002E-3</v>
      </c>
      <c r="C108" s="23">
        <v>3.9529999999999996E-2</v>
      </c>
    </row>
    <row r="109" spans="1:3" x14ac:dyDescent="0.35">
      <c r="A109" s="22">
        <v>39782</v>
      </c>
      <c r="B109" s="2">
        <v>4.6000000000000001E-4</v>
      </c>
      <c r="C109" s="23">
        <v>2.92E-2</v>
      </c>
    </row>
    <row r="110" spans="1:3" x14ac:dyDescent="0.35">
      <c r="A110" s="22">
        <v>39813</v>
      </c>
      <c r="B110" s="2">
        <v>8.1000000000000006E-4</v>
      </c>
      <c r="C110" s="23">
        <v>2.2123E-2</v>
      </c>
    </row>
    <row r="111" spans="1:3" x14ac:dyDescent="0.35">
      <c r="A111" s="22">
        <v>39844</v>
      </c>
      <c r="B111" s="2">
        <v>2.31E-3</v>
      </c>
      <c r="C111" s="23">
        <v>2.8403000000000001E-2</v>
      </c>
    </row>
    <row r="112" spans="1:3" x14ac:dyDescent="0.35">
      <c r="A112" s="22">
        <v>39872</v>
      </c>
      <c r="B112" s="2">
        <v>2.5200000000000001E-3</v>
      </c>
      <c r="C112" s="23">
        <v>3.0131000000000002E-2</v>
      </c>
    </row>
    <row r="113" spans="1:3" x14ac:dyDescent="0.35">
      <c r="A113" s="22">
        <v>39903</v>
      </c>
      <c r="B113" s="2">
        <v>2.0599999999999998E-3</v>
      </c>
      <c r="C113" s="23">
        <v>2.6629E-2</v>
      </c>
    </row>
    <row r="114" spans="1:3" x14ac:dyDescent="0.35">
      <c r="A114" s="22">
        <v>39933</v>
      </c>
      <c r="B114" s="2">
        <v>1.2999999999999999E-3</v>
      </c>
      <c r="C114" s="23">
        <v>3.1186999999999999E-2</v>
      </c>
    </row>
    <row r="115" spans="1:3" x14ac:dyDescent="0.35">
      <c r="A115" s="22">
        <v>39964</v>
      </c>
      <c r="B115" s="2">
        <v>1.3500000000000001E-3</v>
      </c>
      <c r="C115" s="23">
        <v>3.4594E-2</v>
      </c>
    </row>
    <row r="116" spans="1:3" x14ac:dyDescent="0.35">
      <c r="A116" s="22">
        <v>39994</v>
      </c>
      <c r="B116" s="2">
        <v>1.8799999999999999E-3</v>
      </c>
      <c r="C116" s="23">
        <v>3.5325999999999996E-2</v>
      </c>
    </row>
    <row r="117" spans="1:3" x14ac:dyDescent="0.35">
      <c r="A117" s="22">
        <v>40025</v>
      </c>
      <c r="B117" s="2">
        <v>1.81E-3</v>
      </c>
      <c r="C117" s="23">
        <v>3.4796000000000001E-2</v>
      </c>
    </row>
    <row r="118" spans="1:3" x14ac:dyDescent="0.35">
      <c r="A118" s="22">
        <v>40056</v>
      </c>
      <c r="B118" s="2">
        <v>1.32E-3</v>
      </c>
      <c r="C118" s="23">
        <v>3.3974999999999998E-2</v>
      </c>
    </row>
    <row r="119" spans="1:3" x14ac:dyDescent="0.35">
      <c r="A119" s="22">
        <v>40086</v>
      </c>
      <c r="B119" s="2">
        <v>1.1299999999999999E-3</v>
      </c>
      <c r="C119" s="23">
        <v>3.3052999999999999E-2</v>
      </c>
    </row>
    <row r="120" spans="1:3" x14ac:dyDescent="0.35">
      <c r="A120" s="22">
        <v>40117</v>
      </c>
      <c r="B120" s="2">
        <v>5.0000000000000001E-4</v>
      </c>
      <c r="C120" s="23">
        <v>3.3827999999999997E-2</v>
      </c>
    </row>
    <row r="121" spans="1:3" x14ac:dyDescent="0.35">
      <c r="A121" s="22">
        <v>40147</v>
      </c>
      <c r="B121" s="2">
        <v>5.1999999999999995E-4</v>
      </c>
      <c r="C121" s="23">
        <v>3.1977999999999999E-2</v>
      </c>
    </row>
    <row r="122" spans="1:3" x14ac:dyDescent="0.35">
      <c r="A122" s="22">
        <v>40178</v>
      </c>
      <c r="B122" s="2">
        <v>5.2999999999999998E-4</v>
      </c>
      <c r="C122" s="23">
        <v>3.8367999999999999E-2</v>
      </c>
    </row>
    <row r="123" spans="1:3" x14ac:dyDescent="0.35">
      <c r="A123" s="22">
        <v>40209</v>
      </c>
      <c r="B123" s="2">
        <v>7.3999999999999999E-4</v>
      </c>
      <c r="C123" s="23">
        <v>3.5844000000000001E-2</v>
      </c>
    </row>
    <row r="124" spans="1:3" x14ac:dyDescent="0.35">
      <c r="A124" s="22">
        <v>40237</v>
      </c>
      <c r="B124" s="2">
        <v>1.1999999999999999E-3</v>
      </c>
      <c r="C124" s="23">
        <v>3.6116999999999996E-2</v>
      </c>
    </row>
    <row r="125" spans="1:3" x14ac:dyDescent="0.35">
      <c r="A125" s="22">
        <v>40268</v>
      </c>
      <c r="B125" s="2">
        <v>1.5499999999999999E-3</v>
      </c>
      <c r="C125" s="23">
        <v>3.8256999999999999E-2</v>
      </c>
    </row>
    <row r="126" spans="1:3" x14ac:dyDescent="0.35">
      <c r="A126" s="22">
        <v>40298</v>
      </c>
      <c r="B126" s="2">
        <v>1.5900000000000001E-3</v>
      </c>
      <c r="C126" s="23">
        <v>3.6532000000000002E-2</v>
      </c>
    </row>
    <row r="127" spans="1:3" x14ac:dyDescent="0.35">
      <c r="A127" s="22">
        <v>40329</v>
      </c>
      <c r="B127" s="2">
        <v>1.6000000000000001E-3</v>
      </c>
      <c r="C127" s="23">
        <v>3.2922E-2</v>
      </c>
    </row>
    <row r="128" spans="1:3" x14ac:dyDescent="0.35">
      <c r="A128" s="22">
        <v>40359</v>
      </c>
      <c r="B128" s="2">
        <v>1.7499999999999998E-3</v>
      </c>
      <c r="C128" s="23">
        <v>2.9310999999999997E-2</v>
      </c>
    </row>
    <row r="129" spans="1:3" x14ac:dyDescent="0.35">
      <c r="A129" s="22">
        <v>40390</v>
      </c>
      <c r="B129" s="2">
        <v>1.4499999999999999E-3</v>
      </c>
      <c r="C129" s="23">
        <v>2.9051999999999998E-2</v>
      </c>
    </row>
    <row r="130" spans="1:3" x14ac:dyDescent="0.35">
      <c r="A130" s="22">
        <v>40421</v>
      </c>
      <c r="B130" s="2">
        <v>1.3700000000000001E-3</v>
      </c>
      <c r="C130" s="23">
        <v>2.4683E-2</v>
      </c>
    </row>
    <row r="131" spans="1:3" x14ac:dyDescent="0.35">
      <c r="A131" s="22">
        <v>40451</v>
      </c>
      <c r="B131" s="2">
        <v>1.58E-3</v>
      </c>
      <c r="C131" s="23">
        <v>2.5097999999999999E-2</v>
      </c>
    </row>
    <row r="132" spans="1:3" x14ac:dyDescent="0.35">
      <c r="A132" s="22">
        <v>40482</v>
      </c>
      <c r="B132" s="2">
        <v>1.16E-3</v>
      </c>
      <c r="C132" s="23">
        <v>2.5992999999999999E-2</v>
      </c>
    </row>
    <row r="133" spans="1:3" x14ac:dyDescent="0.35">
      <c r="A133" s="22">
        <v>40512</v>
      </c>
      <c r="B133" s="2">
        <v>1.65E-3</v>
      </c>
      <c r="C133" s="23">
        <v>2.7968000000000003E-2</v>
      </c>
    </row>
    <row r="134" spans="1:3" x14ac:dyDescent="0.35">
      <c r="A134" s="22">
        <v>40543</v>
      </c>
      <c r="B134" s="2">
        <v>1.25E-3</v>
      </c>
      <c r="C134" s="23">
        <v>3.2934999999999999E-2</v>
      </c>
    </row>
    <row r="135" spans="1:3" x14ac:dyDescent="0.35">
      <c r="A135" s="22">
        <v>40574</v>
      </c>
      <c r="B135" s="2">
        <v>1.5E-3</v>
      </c>
      <c r="C135" s="23">
        <v>3.3703999999999998E-2</v>
      </c>
    </row>
    <row r="136" spans="1:3" x14ac:dyDescent="0.35">
      <c r="A136" s="22">
        <v>40602</v>
      </c>
      <c r="B136" s="2">
        <v>1.4000000000000002E-3</v>
      </c>
      <c r="C136" s="23">
        <v>3.4271999999999997E-2</v>
      </c>
    </row>
    <row r="137" spans="1:3" x14ac:dyDescent="0.35">
      <c r="A137" s="22">
        <v>40633</v>
      </c>
      <c r="B137" s="2">
        <v>9.3999999999999997E-4</v>
      </c>
      <c r="C137" s="23">
        <v>3.4702999999999998E-2</v>
      </c>
    </row>
    <row r="138" spans="1:3" x14ac:dyDescent="0.35">
      <c r="A138" s="22">
        <v>40663</v>
      </c>
      <c r="B138" s="2">
        <v>4.0999999999999999E-4</v>
      </c>
      <c r="C138" s="23">
        <v>3.2863000000000003E-2</v>
      </c>
    </row>
    <row r="139" spans="1:3" x14ac:dyDescent="0.35">
      <c r="A139" s="22">
        <v>40694</v>
      </c>
      <c r="B139" s="2">
        <v>4.8000000000000001E-4</v>
      </c>
      <c r="C139" s="23">
        <v>3.0607000000000002E-2</v>
      </c>
    </row>
    <row r="140" spans="1:3" x14ac:dyDescent="0.35">
      <c r="A140" s="22">
        <v>40724</v>
      </c>
      <c r="B140" s="2">
        <v>1.4999999999999999E-4</v>
      </c>
      <c r="C140" s="23">
        <v>3.1600000000000003E-2</v>
      </c>
    </row>
    <row r="141" spans="1:3" x14ac:dyDescent="0.35">
      <c r="A141" s="22">
        <v>40755</v>
      </c>
      <c r="B141" s="2">
        <v>9.3999999999999997E-4</v>
      </c>
      <c r="C141" s="23">
        <v>2.7961E-2</v>
      </c>
    </row>
    <row r="142" spans="1:3" x14ac:dyDescent="0.35">
      <c r="A142" s="22">
        <v>40786</v>
      </c>
      <c r="B142" s="2">
        <v>1.2999999999999999E-4</v>
      </c>
      <c r="C142" s="23">
        <v>2.2233999999999997E-2</v>
      </c>
    </row>
    <row r="143" spans="1:3" x14ac:dyDescent="0.35">
      <c r="A143" s="22">
        <v>40816</v>
      </c>
      <c r="B143" s="2">
        <v>2.3000000000000001E-4</v>
      </c>
      <c r="C143" s="23">
        <v>1.9154000000000001E-2</v>
      </c>
    </row>
    <row r="144" spans="1:3" x14ac:dyDescent="0.35">
      <c r="A144" s="22">
        <v>40847</v>
      </c>
      <c r="B144" s="2">
        <v>-1.2999999999999999E-4</v>
      </c>
      <c r="C144" s="23">
        <v>2.1133000000000002E-2</v>
      </c>
    </row>
    <row r="145" spans="1:3" x14ac:dyDescent="0.35">
      <c r="A145" s="22">
        <v>40877</v>
      </c>
      <c r="B145" s="2">
        <v>3.0000000000000001E-5</v>
      </c>
      <c r="C145" s="23">
        <v>2.068E-2</v>
      </c>
    </row>
    <row r="146" spans="1:3" x14ac:dyDescent="0.35">
      <c r="A146" s="22">
        <v>40908</v>
      </c>
      <c r="B146" s="2">
        <v>1.2999999999999999E-4</v>
      </c>
      <c r="C146" s="23">
        <v>1.8762000000000001E-2</v>
      </c>
    </row>
    <row r="147" spans="1:3" x14ac:dyDescent="0.35">
      <c r="A147" s="22">
        <v>40939</v>
      </c>
      <c r="B147" s="2">
        <v>5.2999999999999998E-4</v>
      </c>
      <c r="C147" s="23">
        <v>1.7971000000000001E-2</v>
      </c>
    </row>
    <row r="148" spans="1:3" x14ac:dyDescent="0.35">
      <c r="A148" s="22">
        <v>40968</v>
      </c>
      <c r="B148" s="2">
        <v>7.9000000000000001E-4</v>
      </c>
      <c r="C148" s="23">
        <v>1.9705E-2</v>
      </c>
    </row>
    <row r="149" spans="1:3" x14ac:dyDescent="0.35">
      <c r="A149" s="22">
        <v>40999</v>
      </c>
      <c r="B149" s="2">
        <v>6.9000000000000008E-4</v>
      </c>
      <c r="C149" s="23">
        <v>2.2088E-2</v>
      </c>
    </row>
    <row r="150" spans="1:3" x14ac:dyDescent="0.35">
      <c r="A150" s="22">
        <v>41029</v>
      </c>
      <c r="B150" s="2">
        <v>9.3999999999999997E-4</v>
      </c>
      <c r="C150" s="23">
        <v>1.9137000000000001E-2</v>
      </c>
    </row>
    <row r="151" spans="1:3" x14ac:dyDescent="0.35">
      <c r="A151" s="22">
        <v>41060</v>
      </c>
      <c r="B151" s="2">
        <v>6.8000000000000005E-4</v>
      </c>
      <c r="C151" s="23">
        <v>1.5578000000000002E-2</v>
      </c>
    </row>
    <row r="152" spans="1:3" x14ac:dyDescent="0.35">
      <c r="A152" s="22">
        <v>41090</v>
      </c>
      <c r="B152" s="2">
        <v>8.4000000000000003E-4</v>
      </c>
      <c r="C152" s="23">
        <v>1.6449000000000002E-2</v>
      </c>
    </row>
    <row r="153" spans="1:3" x14ac:dyDescent="0.35">
      <c r="A153" s="22">
        <v>41121</v>
      </c>
      <c r="B153" s="2">
        <v>9.8999999999999999E-4</v>
      </c>
      <c r="C153" s="23">
        <v>1.4678999999999999E-2</v>
      </c>
    </row>
    <row r="154" spans="1:3" x14ac:dyDescent="0.35">
      <c r="A154" s="22">
        <v>41152</v>
      </c>
      <c r="B154" s="2">
        <v>7.3999999999999999E-4</v>
      </c>
      <c r="C154" s="23">
        <v>1.5484E-2</v>
      </c>
    </row>
    <row r="155" spans="1:3" x14ac:dyDescent="0.35">
      <c r="A155" s="22">
        <v>41182</v>
      </c>
      <c r="B155" s="2">
        <v>9.3999999999999997E-4</v>
      </c>
      <c r="C155" s="23">
        <v>1.6334999999999999E-2</v>
      </c>
    </row>
    <row r="156" spans="1:3" x14ac:dyDescent="0.35">
      <c r="A156" s="22">
        <v>41213</v>
      </c>
      <c r="B156" s="2">
        <v>1.09E-3</v>
      </c>
      <c r="C156" s="23">
        <v>1.6900999999999999E-2</v>
      </c>
    </row>
    <row r="157" spans="1:3" x14ac:dyDescent="0.35">
      <c r="A157" s="22">
        <v>41243</v>
      </c>
      <c r="B157" s="2">
        <v>7.9000000000000001E-4</v>
      </c>
      <c r="C157" s="23">
        <v>1.6156E-2</v>
      </c>
    </row>
    <row r="158" spans="1:3" x14ac:dyDescent="0.35">
      <c r="A158" s="22">
        <v>41274</v>
      </c>
      <c r="B158" s="2">
        <v>4.2999999999999999E-4</v>
      </c>
      <c r="C158" s="23">
        <v>1.7573999999999999E-2</v>
      </c>
    </row>
    <row r="159" spans="1:3" x14ac:dyDescent="0.35">
      <c r="A159" s="22">
        <v>41305</v>
      </c>
      <c r="B159" s="2">
        <v>7.3999999999999999E-4</v>
      </c>
      <c r="C159" s="23">
        <v>1.9849000000000002E-2</v>
      </c>
    </row>
    <row r="160" spans="1:3" x14ac:dyDescent="0.35">
      <c r="A160" s="22">
        <v>41333</v>
      </c>
      <c r="B160" s="2">
        <v>1.0399999999999999E-3</v>
      </c>
      <c r="C160" s="23">
        <v>1.8755999999999998E-2</v>
      </c>
    </row>
    <row r="161" spans="1:3" x14ac:dyDescent="0.35">
      <c r="A161" s="22">
        <v>41364</v>
      </c>
      <c r="B161" s="2">
        <v>7.3999999999999999E-4</v>
      </c>
      <c r="C161" s="23">
        <v>1.8487E-2</v>
      </c>
    </row>
    <row r="162" spans="1:3" x14ac:dyDescent="0.35">
      <c r="A162" s="22">
        <v>41394</v>
      </c>
      <c r="B162" s="2">
        <v>4.8000000000000001E-4</v>
      </c>
      <c r="C162" s="23">
        <v>1.6716999999999999E-2</v>
      </c>
    </row>
    <row r="163" spans="1:3" x14ac:dyDescent="0.35">
      <c r="A163" s="22">
        <v>41425</v>
      </c>
      <c r="B163" s="2">
        <v>2.8000000000000003E-4</v>
      </c>
      <c r="C163" s="23">
        <v>2.1282000000000002E-2</v>
      </c>
    </row>
    <row r="164" spans="1:3" x14ac:dyDescent="0.35">
      <c r="A164" s="22">
        <v>41455</v>
      </c>
      <c r="B164" s="2">
        <v>3.3E-4</v>
      </c>
      <c r="C164" s="23">
        <v>2.4857000000000001E-2</v>
      </c>
    </row>
    <row r="165" spans="1:3" x14ac:dyDescent="0.35">
      <c r="A165" s="22">
        <v>41486</v>
      </c>
      <c r="B165" s="2">
        <v>3.7999999999999997E-4</v>
      </c>
      <c r="C165" s="23">
        <v>2.5762E-2</v>
      </c>
    </row>
    <row r="166" spans="1:3" x14ac:dyDescent="0.35">
      <c r="A166" s="22">
        <v>41517</v>
      </c>
      <c r="B166" s="2">
        <v>2.3000000000000001E-4</v>
      </c>
      <c r="C166" s="23">
        <v>2.7838999999999999E-2</v>
      </c>
    </row>
    <row r="167" spans="1:3" x14ac:dyDescent="0.35">
      <c r="A167" s="22">
        <v>41547</v>
      </c>
      <c r="B167" s="2">
        <v>8.0000000000000007E-5</v>
      </c>
      <c r="C167" s="23">
        <v>2.6099999999999998E-2</v>
      </c>
    </row>
    <row r="168" spans="1:3" x14ac:dyDescent="0.35">
      <c r="A168" s="22">
        <v>41578</v>
      </c>
      <c r="B168" s="2">
        <v>3.7999999999999997E-4</v>
      </c>
      <c r="C168" s="23">
        <v>2.5541999999999999E-2</v>
      </c>
    </row>
    <row r="169" spans="1:3" x14ac:dyDescent="0.35">
      <c r="A169" s="22">
        <v>41608</v>
      </c>
      <c r="B169" s="2">
        <v>5.8E-4</v>
      </c>
      <c r="C169" s="23">
        <v>2.7445000000000001E-2</v>
      </c>
    </row>
    <row r="170" spans="1:3" x14ac:dyDescent="0.35">
      <c r="A170" s="22">
        <v>41639</v>
      </c>
      <c r="B170" s="2">
        <v>6.8000000000000005E-4</v>
      </c>
      <c r="C170" s="23">
        <v>3.0282E-2</v>
      </c>
    </row>
    <row r="171" spans="1:3" x14ac:dyDescent="0.35">
      <c r="A171" s="22">
        <v>41670</v>
      </c>
      <c r="B171" s="2">
        <v>2.3000000000000001E-4</v>
      </c>
      <c r="C171" s="23">
        <v>2.6440000000000002E-2</v>
      </c>
    </row>
    <row r="172" spans="1:3" x14ac:dyDescent="0.35">
      <c r="A172" s="22">
        <v>41698</v>
      </c>
      <c r="B172" s="2">
        <v>4.8000000000000001E-4</v>
      </c>
      <c r="C172" s="23">
        <v>2.6476000000000003E-2</v>
      </c>
    </row>
    <row r="173" spans="1:3" x14ac:dyDescent="0.35">
      <c r="A173" s="22">
        <v>41729</v>
      </c>
      <c r="B173" s="2">
        <v>3.3E-4</v>
      </c>
      <c r="C173" s="23">
        <v>2.7179999999999999E-2</v>
      </c>
    </row>
    <row r="174" spans="1:3" x14ac:dyDescent="0.35">
      <c r="A174" s="22">
        <v>41759</v>
      </c>
      <c r="B174" s="2">
        <v>2.8000000000000003E-4</v>
      </c>
      <c r="C174" s="23">
        <v>2.6459E-2</v>
      </c>
    </row>
    <row r="175" spans="1:3" x14ac:dyDescent="0.35">
      <c r="A175" s="22">
        <v>41790</v>
      </c>
      <c r="B175" s="2">
        <v>3.3E-4</v>
      </c>
      <c r="C175" s="23">
        <v>2.4759000000000003E-2</v>
      </c>
    </row>
    <row r="176" spans="1:3" x14ac:dyDescent="0.35">
      <c r="A176" s="22">
        <v>41820</v>
      </c>
      <c r="B176" s="2">
        <v>2.3000000000000001E-4</v>
      </c>
      <c r="C176" s="23">
        <v>2.5304000000000004E-2</v>
      </c>
    </row>
    <row r="177" spans="1:3" x14ac:dyDescent="0.35">
      <c r="A177" s="22">
        <v>41851</v>
      </c>
      <c r="B177" s="2">
        <v>2.3000000000000001E-4</v>
      </c>
      <c r="C177" s="23">
        <v>2.5578E-2</v>
      </c>
    </row>
    <row r="178" spans="1:3" x14ac:dyDescent="0.35">
      <c r="A178" s="22">
        <v>41882</v>
      </c>
      <c r="B178" s="2">
        <v>2.3000000000000001E-4</v>
      </c>
      <c r="C178" s="23">
        <v>2.3431E-2</v>
      </c>
    </row>
    <row r="179" spans="1:3" x14ac:dyDescent="0.35">
      <c r="A179" s="22">
        <v>41912</v>
      </c>
      <c r="B179" s="2">
        <v>1.7999999999999998E-4</v>
      </c>
      <c r="C179" s="23">
        <v>2.4888E-2</v>
      </c>
    </row>
    <row r="180" spans="1:3" x14ac:dyDescent="0.35">
      <c r="A180" s="22">
        <v>41943</v>
      </c>
      <c r="B180" s="2">
        <v>8.0000000000000007E-5</v>
      </c>
      <c r="C180" s="23">
        <v>2.3353000000000002E-2</v>
      </c>
    </row>
    <row r="181" spans="1:3" x14ac:dyDescent="0.35">
      <c r="A181" s="22">
        <v>41973</v>
      </c>
      <c r="B181" s="2">
        <v>1.2999999999999999E-4</v>
      </c>
      <c r="C181" s="23">
        <v>2.1640000000000003E-2</v>
      </c>
    </row>
    <row r="182" spans="1:3" x14ac:dyDescent="0.35">
      <c r="A182" s="22">
        <v>42004</v>
      </c>
      <c r="B182" s="2">
        <v>4.0999999999999999E-4</v>
      </c>
      <c r="C182" s="23">
        <v>2.1711999999999999E-2</v>
      </c>
    </row>
    <row r="183" spans="1:3" x14ac:dyDescent="0.35">
      <c r="A183" s="22">
        <v>42035</v>
      </c>
      <c r="B183" s="2">
        <v>3.0000000000000001E-5</v>
      </c>
      <c r="C183" s="23">
        <v>1.6407000000000001E-2</v>
      </c>
    </row>
    <row r="184" spans="1:3" x14ac:dyDescent="0.35">
      <c r="A184" s="22">
        <v>42063</v>
      </c>
      <c r="B184" s="2">
        <v>1.2999999999999999E-4</v>
      </c>
      <c r="C184" s="23">
        <v>1.993E-2</v>
      </c>
    </row>
    <row r="185" spans="1:3" x14ac:dyDescent="0.35">
      <c r="A185" s="22">
        <v>42094</v>
      </c>
      <c r="B185" s="2">
        <v>2.3000000000000001E-4</v>
      </c>
      <c r="C185" s="23">
        <v>1.9231000000000002E-2</v>
      </c>
    </row>
    <row r="186" spans="1:3" x14ac:dyDescent="0.35">
      <c r="A186" s="22">
        <v>42124</v>
      </c>
      <c r="B186" s="2">
        <v>3.0000000000000001E-5</v>
      </c>
      <c r="C186" s="23">
        <v>2.0316999999999998E-2</v>
      </c>
    </row>
    <row r="187" spans="1:3" x14ac:dyDescent="0.35">
      <c r="A187" s="22">
        <v>42155</v>
      </c>
      <c r="B187" s="2">
        <v>3.0000000000000001E-5</v>
      </c>
      <c r="C187" s="23">
        <v>2.1214E-2</v>
      </c>
    </row>
    <row r="188" spans="1:3" x14ac:dyDescent="0.35">
      <c r="A188" s="22">
        <v>42185</v>
      </c>
      <c r="B188" s="2">
        <v>8.0000000000000007E-5</v>
      </c>
      <c r="C188" s="23">
        <v>2.3531E-2</v>
      </c>
    </row>
    <row r="189" spans="1:3" x14ac:dyDescent="0.35">
      <c r="A189" s="22">
        <v>42216</v>
      </c>
      <c r="B189" s="2">
        <v>6.4000000000000005E-4</v>
      </c>
      <c r="C189" s="23">
        <v>2.1801000000000001E-2</v>
      </c>
    </row>
    <row r="190" spans="1:3" x14ac:dyDescent="0.35">
      <c r="A190" s="22">
        <v>42247</v>
      </c>
      <c r="B190" s="2">
        <v>3.0000000000000001E-5</v>
      </c>
      <c r="C190" s="23">
        <v>2.2179000000000001E-2</v>
      </c>
    </row>
    <row r="191" spans="1:3" x14ac:dyDescent="0.35">
      <c r="A191" s="22">
        <v>42277</v>
      </c>
      <c r="B191" s="2">
        <v>-1.4999999999999999E-4</v>
      </c>
      <c r="C191" s="23">
        <v>2.0368000000000001E-2</v>
      </c>
    </row>
    <row r="192" spans="1:3" x14ac:dyDescent="0.35">
      <c r="A192" s="22">
        <v>42308</v>
      </c>
      <c r="B192" s="2">
        <v>7.3999999999999999E-4</v>
      </c>
      <c r="C192" s="23">
        <v>2.1421000000000003E-2</v>
      </c>
    </row>
    <row r="193" spans="1:3" x14ac:dyDescent="0.35">
      <c r="A193" s="22">
        <v>42338</v>
      </c>
      <c r="B193" s="2">
        <v>1.7000000000000001E-3</v>
      </c>
      <c r="C193" s="23">
        <v>2.206E-2</v>
      </c>
    </row>
    <row r="194" spans="1:3" x14ac:dyDescent="0.35">
      <c r="A194" s="22">
        <v>42369</v>
      </c>
      <c r="B194" s="2">
        <v>1.65E-3</v>
      </c>
      <c r="C194" s="23">
        <v>2.2694000000000002E-2</v>
      </c>
    </row>
    <row r="195" spans="1:3" x14ac:dyDescent="0.35">
      <c r="A195" s="22">
        <v>42400</v>
      </c>
      <c r="B195" s="2">
        <v>3.13E-3</v>
      </c>
      <c r="C195" s="23">
        <v>1.9209E-2</v>
      </c>
    </row>
    <row r="196" spans="1:3" x14ac:dyDescent="0.35">
      <c r="A196" s="22">
        <v>42429</v>
      </c>
      <c r="B196" s="2">
        <v>3.1800000000000001E-3</v>
      </c>
      <c r="C196" s="23">
        <v>1.7346999999999998E-2</v>
      </c>
    </row>
    <row r="197" spans="1:3" x14ac:dyDescent="0.35">
      <c r="A197" s="22">
        <v>42460</v>
      </c>
      <c r="B197" s="2">
        <v>2.0100000000000001E-3</v>
      </c>
      <c r="C197" s="23">
        <v>1.7686999999999998E-2</v>
      </c>
    </row>
    <row r="198" spans="1:3" x14ac:dyDescent="0.35">
      <c r="A198" s="22">
        <v>42490</v>
      </c>
      <c r="B198" s="2">
        <v>2.1099999999999999E-3</v>
      </c>
      <c r="C198" s="23">
        <v>1.8332999999999999E-2</v>
      </c>
    </row>
    <row r="199" spans="1:3" x14ac:dyDescent="0.35">
      <c r="A199" s="22">
        <v>42521</v>
      </c>
      <c r="B199" s="2">
        <v>2.8699999999999997E-3</v>
      </c>
      <c r="C199" s="23">
        <v>1.8458000000000002E-2</v>
      </c>
    </row>
    <row r="200" spans="1:3" x14ac:dyDescent="0.35">
      <c r="A200" s="22">
        <v>42551</v>
      </c>
      <c r="B200" s="2">
        <v>2.6099999999999999E-3</v>
      </c>
      <c r="C200" s="23">
        <v>1.4697E-2</v>
      </c>
    </row>
    <row r="201" spans="1:3" x14ac:dyDescent="0.35">
      <c r="A201" s="22">
        <v>42582</v>
      </c>
      <c r="B201" s="2">
        <v>2.5600000000000002E-3</v>
      </c>
      <c r="C201" s="23">
        <v>1.4531000000000001E-2</v>
      </c>
    </row>
    <row r="202" spans="1:3" x14ac:dyDescent="0.35">
      <c r="A202" s="22">
        <v>42613</v>
      </c>
      <c r="B202" s="2">
        <v>3.32E-3</v>
      </c>
      <c r="C202" s="23">
        <v>1.5800000000000002E-2</v>
      </c>
    </row>
    <row r="203" spans="1:3" x14ac:dyDescent="0.35">
      <c r="A203" s="22">
        <v>42643</v>
      </c>
      <c r="B203" s="2">
        <v>2.7600000000000003E-3</v>
      </c>
      <c r="C203" s="23">
        <v>1.5944E-2</v>
      </c>
    </row>
    <row r="204" spans="1:3" x14ac:dyDescent="0.35">
      <c r="A204" s="22">
        <v>42674</v>
      </c>
      <c r="B204" s="2">
        <v>3.0200000000000001E-3</v>
      </c>
      <c r="C204" s="23">
        <v>1.8255E-2</v>
      </c>
    </row>
    <row r="205" spans="1:3" x14ac:dyDescent="0.35">
      <c r="A205" s="22">
        <v>42704</v>
      </c>
      <c r="B205" s="2">
        <v>4.7999999999999996E-3</v>
      </c>
      <c r="C205" s="23">
        <v>2.3809E-2</v>
      </c>
    </row>
    <row r="206" spans="1:3" x14ac:dyDescent="0.35">
      <c r="A206" s="22">
        <v>42735</v>
      </c>
      <c r="B206" s="2">
        <v>5.0000000000000001E-3</v>
      </c>
      <c r="C206" s="23">
        <v>2.4443000000000003E-2</v>
      </c>
    </row>
    <row r="207" spans="1:3" x14ac:dyDescent="0.35">
      <c r="A207" s="22">
        <v>42766</v>
      </c>
      <c r="B207" s="2">
        <v>5.1500000000000001E-3</v>
      </c>
      <c r="C207" s="23">
        <v>2.4531000000000001E-2</v>
      </c>
    </row>
    <row r="208" spans="1:3" x14ac:dyDescent="0.35">
      <c r="A208" s="22">
        <v>42794</v>
      </c>
      <c r="B208" s="2">
        <v>6.0699999999999999E-3</v>
      </c>
      <c r="C208" s="23">
        <v>2.3899E-2</v>
      </c>
    </row>
    <row r="209" spans="1:3" x14ac:dyDescent="0.35">
      <c r="A209" s="22">
        <v>42825</v>
      </c>
      <c r="B209" s="2">
        <v>7.5399999999999998E-3</v>
      </c>
      <c r="C209" s="23">
        <v>2.3873999999999999E-2</v>
      </c>
    </row>
    <row r="210" spans="1:3" x14ac:dyDescent="0.35">
      <c r="A210" s="22">
        <v>42855</v>
      </c>
      <c r="B210" s="2">
        <v>7.9500000000000005E-3</v>
      </c>
      <c r="C210" s="23">
        <v>2.2801999999999999E-2</v>
      </c>
    </row>
    <row r="211" spans="1:3" x14ac:dyDescent="0.35">
      <c r="A211" s="22">
        <v>42886</v>
      </c>
      <c r="B211" s="2">
        <v>9.7299999999999991E-3</v>
      </c>
      <c r="C211" s="23">
        <v>2.2027999999999999E-2</v>
      </c>
    </row>
    <row r="212" spans="1:3" x14ac:dyDescent="0.35">
      <c r="A212" s="22">
        <v>42916</v>
      </c>
      <c r="B212" s="2">
        <v>1.014E-2</v>
      </c>
      <c r="C212" s="23">
        <v>2.3037000000000002E-2</v>
      </c>
    </row>
    <row r="213" spans="1:3" x14ac:dyDescent="0.35">
      <c r="A213" s="22">
        <v>42947</v>
      </c>
      <c r="B213" s="2">
        <v>1.0749999999999999E-2</v>
      </c>
      <c r="C213" s="23">
        <v>2.2942000000000001E-2</v>
      </c>
    </row>
    <row r="214" spans="1:3" x14ac:dyDescent="0.35">
      <c r="A214" s="22">
        <v>42978</v>
      </c>
      <c r="B214" s="2">
        <v>9.9399999999999992E-3</v>
      </c>
      <c r="C214" s="23">
        <v>2.1170000000000001E-2</v>
      </c>
    </row>
    <row r="215" spans="1:3" x14ac:dyDescent="0.35">
      <c r="A215" s="22">
        <v>43008</v>
      </c>
      <c r="B215" s="2">
        <v>1.0489999999999999E-2</v>
      </c>
      <c r="C215" s="23">
        <v>2.3336000000000003E-2</v>
      </c>
    </row>
    <row r="216" spans="1:3" x14ac:dyDescent="0.35">
      <c r="A216" s="22">
        <v>43039</v>
      </c>
      <c r="B216" s="2">
        <v>1.1319999999999998E-2</v>
      </c>
      <c r="C216" s="23">
        <v>2.3793000000000002E-2</v>
      </c>
    </row>
    <row r="217" spans="1:3" x14ac:dyDescent="0.35">
      <c r="A217" s="22">
        <v>43069</v>
      </c>
      <c r="B217" s="2">
        <v>1.26E-2</v>
      </c>
      <c r="C217" s="23">
        <v>2.4097E-2</v>
      </c>
    </row>
    <row r="218" spans="1:3" x14ac:dyDescent="0.35">
      <c r="A218" s="22">
        <v>43100</v>
      </c>
      <c r="B218" s="2">
        <v>1.3819999999999999E-2</v>
      </c>
      <c r="C218" s="23">
        <v>2.4054000000000002E-2</v>
      </c>
    </row>
    <row r="219" spans="1:3" x14ac:dyDescent="0.35">
      <c r="A219" s="22">
        <v>43131</v>
      </c>
      <c r="B219" s="2">
        <v>1.4590000000000001E-2</v>
      </c>
      <c r="C219" s="23">
        <v>2.7050000000000001E-2</v>
      </c>
    </row>
    <row r="220" spans="1:3" x14ac:dyDescent="0.35">
      <c r="A220" s="22">
        <v>43159</v>
      </c>
      <c r="B220" s="2">
        <v>1.6559999999999998E-2</v>
      </c>
      <c r="C220" s="23">
        <v>2.8605999999999999E-2</v>
      </c>
    </row>
    <row r="221" spans="1:3" x14ac:dyDescent="0.35">
      <c r="A221" s="22">
        <v>43190</v>
      </c>
      <c r="B221" s="2">
        <v>1.7059999999999999E-2</v>
      </c>
      <c r="C221" s="23">
        <v>2.7389E-2</v>
      </c>
    </row>
    <row r="222" spans="1:3" x14ac:dyDescent="0.35">
      <c r="A222" s="22">
        <v>43220</v>
      </c>
      <c r="B222" s="2">
        <v>1.8020000000000001E-2</v>
      </c>
      <c r="C222" s="23">
        <v>2.9531000000000002E-2</v>
      </c>
    </row>
    <row r="223" spans="1:3" x14ac:dyDescent="0.35">
      <c r="A223" s="22">
        <v>43251</v>
      </c>
      <c r="B223" s="2">
        <v>1.9E-2</v>
      </c>
      <c r="C223" s="23">
        <v>2.8586E-2</v>
      </c>
    </row>
    <row r="224" spans="1:3" x14ac:dyDescent="0.35">
      <c r="A224" s="22">
        <v>43281</v>
      </c>
      <c r="B224" s="2">
        <v>1.917E-2</v>
      </c>
      <c r="C224" s="23">
        <v>2.8601000000000001E-2</v>
      </c>
    </row>
    <row r="225" spans="1:3" x14ac:dyDescent="0.35">
      <c r="A225" s="22">
        <v>43312</v>
      </c>
      <c r="B225" s="2">
        <v>2.0230000000000001E-2</v>
      </c>
      <c r="C225" s="23">
        <v>2.9597999999999999E-2</v>
      </c>
    </row>
    <row r="226" spans="1:3" x14ac:dyDescent="0.35">
      <c r="A226" s="22">
        <v>43343</v>
      </c>
      <c r="B226" s="2">
        <v>2.0979999999999999E-2</v>
      </c>
      <c r="C226" s="23">
        <v>2.8603999999999997E-2</v>
      </c>
    </row>
    <row r="227" spans="1:3" x14ac:dyDescent="0.35">
      <c r="A227" s="22">
        <v>43373</v>
      </c>
      <c r="B227" s="2">
        <v>2.2000000000000002E-2</v>
      </c>
      <c r="C227" s="23">
        <v>3.0612E-2</v>
      </c>
    </row>
    <row r="228" spans="1:3" x14ac:dyDescent="0.35">
      <c r="A228" s="22">
        <v>43404</v>
      </c>
      <c r="B228" s="2">
        <v>2.3279999999999999E-2</v>
      </c>
      <c r="C228" s="23">
        <v>3.1434999999999998E-2</v>
      </c>
    </row>
    <row r="229" spans="1:3" x14ac:dyDescent="0.35">
      <c r="A229" s="22">
        <v>43434</v>
      </c>
      <c r="B229" s="2">
        <v>2.3450000000000002E-2</v>
      </c>
      <c r="C229" s="23">
        <v>2.9878999999999999E-2</v>
      </c>
    </row>
    <row r="230" spans="1:3" x14ac:dyDescent="0.35">
      <c r="A230" s="22">
        <v>43465</v>
      </c>
      <c r="B230" s="2">
        <v>2.3610000000000003E-2</v>
      </c>
      <c r="C230" s="23">
        <v>2.6842000000000001E-2</v>
      </c>
    </row>
    <row r="231" spans="1:3" x14ac:dyDescent="0.35">
      <c r="A231" s="22">
        <v>43496</v>
      </c>
      <c r="B231" s="2">
        <v>2.3900000000000001E-2</v>
      </c>
      <c r="C231" s="23">
        <v>2.6293E-2</v>
      </c>
    </row>
    <row r="232" spans="1:3" x14ac:dyDescent="0.35">
      <c r="A232" s="22">
        <v>43524</v>
      </c>
      <c r="B232" s="2">
        <v>2.436E-2</v>
      </c>
      <c r="C232" s="23">
        <v>2.7149999999999997E-2</v>
      </c>
    </row>
    <row r="233" spans="1:3" x14ac:dyDescent="0.35">
      <c r="A233" s="22">
        <v>43555</v>
      </c>
      <c r="B233" s="2">
        <v>2.3889999999999998E-2</v>
      </c>
      <c r="C233" s="23">
        <v>2.4049999999999998E-2</v>
      </c>
    </row>
    <row r="234" spans="1:3" x14ac:dyDescent="0.35">
      <c r="A234" s="22">
        <v>43585</v>
      </c>
      <c r="B234" s="2">
        <v>2.418E-2</v>
      </c>
      <c r="C234" s="23">
        <v>2.5017999999999999E-2</v>
      </c>
    </row>
    <row r="235" spans="1:3" x14ac:dyDescent="0.35">
      <c r="A235" s="22">
        <v>43616</v>
      </c>
      <c r="B235" s="2">
        <v>2.342E-2</v>
      </c>
      <c r="C235" s="23">
        <v>2.1246000000000001E-2</v>
      </c>
    </row>
    <row r="236" spans="1:3" x14ac:dyDescent="0.35">
      <c r="A236" s="22">
        <v>43646</v>
      </c>
      <c r="B236" s="2">
        <v>2.0930000000000001E-2</v>
      </c>
      <c r="C236" s="23">
        <v>2.0050999999999999E-2</v>
      </c>
    </row>
    <row r="237" spans="1:3" x14ac:dyDescent="0.35">
      <c r="A237" s="22">
        <v>43677</v>
      </c>
      <c r="B237" s="2">
        <v>2.0649999999999998E-2</v>
      </c>
      <c r="C237" s="23">
        <v>2.0144000000000002E-2</v>
      </c>
    </row>
    <row r="238" spans="1:3" x14ac:dyDescent="0.35">
      <c r="A238" s="22">
        <v>43708</v>
      </c>
      <c r="B238" s="2">
        <v>1.983E-2</v>
      </c>
      <c r="C238" s="23">
        <v>1.4961E-2</v>
      </c>
    </row>
    <row r="239" spans="1:3" x14ac:dyDescent="0.35">
      <c r="A239" s="22">
        <v>43738</v>
      </c>
      <c r="B239" s="2">
        <v>1.8159999999999999E-2</v>
      </c>
      <c r="C239" s="23">
        <v>1.6646000000000001E-2</v>
      </c>
    </row>
    <row r="240" spans="1:3" x14ac:dyDescent="0.35">
      <c r="A240" s="22">
        <v>43769</v>
      </c>
      <c r="B240" s="2">
        <v>1.5349999999999999E-2</v>
      </c>
      <c r="C240" s="23">
        <v>1.6910000000000001E-2</v>
      </c>
    </row>
    <row r="241" spans="1:3" x14ac:dyDescent="0.35">
      <c r="A241" s="22">
        <v>43799</v>
      </c>
      <c r="B241" s="2">
        <v>1.575E-2</v>
      </c>
      <c r="C241" s="23">
        <v>1.7757999999999999E-2</v>
      </c>
    </row>
    <row r="242" spans="1:3" x14ac:dyDescent="0.35">
      <c r="A242" s="22">
        <v>43830</v>
      </c>
      <c r="B242" s="2">
        <v>1.5489999999999999E-2</v>
      </c>
      <c r="C242" s="23">
        <v>1.9175000000000001E-2</v>
      </c>
    </row>
    <row r="243" spans="1:3" x14ac:dyDescent="0.35">
      <c r="A243" s="22">
        <v>43861</v>
      </c>
      <c r="B243" s="2">
        <v>1.5469999999999999E-2</v>
      </c>
      <c r="C243" s="23">
        <v>1.5068E-2</v>
      </c>
    </row>
    <row r="244" spans="1:3" x14ac:dyDescent="0.35">
      <c r="A244" s="22">
        <v>43890</v>
      </c>
      <c r="B244" s="2">
        <v>1.2840000000000001E-2</v>
      </c>
      <c r="C244" s="23">
        <v>1.1486000000000001E-2</v>
      </c>
    </row>
    <row r="245" spans="1:3" x14ac:dyDescent="0.35">
      <c r="A245" s="22">
        <v>43921</v>
      </c>
      <c r="B245" s="2">
        <v>9.2000000000000003E-4</v>
      </c>
      <c r="C245" s="23">
        <v>6.6949999999999996E-3</v>
      </c>
    </row>
    <row r="246" spans="1:3" x14ac:dyDescent="0.35">
      <c r="A246" s="22">
        <v>43951</v>
      </c>
      <c r="B246" s="2">
        <v>1E-3</v>
      </c>
      <c r="C246" s="23">
        <v>6.3929999999999994E-3</v>
      </c>
    </row>
    <row r="247" spans="1:3" x14ac:dyDescent="0.35">
      <c r="A247" s="22">
        <v>43982</v>
      </c>
      <c r="B247" s="2">
        <v>1.3900000000000002E-3</v>
      </c>
      <c r="C247" s="23">
        <v>6.5259999999999997E-3</v>
      </c>
    </row>
    <row r="248" spans="1:3" x14ac:dyDescent="0.35">
      <c r="A248" s="22">
        <v>44012</v>
      </c>
      <c r="B248" s="2">
        <v>1.3900000000000002E-3</v>
      </c>
      <c r="C248" s="23">
        <v>6.561E-3</v>
      </c>
    </row>
    <row r="249" spans="1:3" x14ac:dyDescent="0.35">
      <c r="A249" s="22">
        <v>44043</v>
      </c>
      <c r="B249" s="2">
        <v>9.1E-4</v>
      </c>
      <c r="C249" s="23">
        <v>5.2820000000000002E-3</v>
      </c>
    </row>
    <row r="250" spans="1:3" x14ac:dyDescent="0.35">
      <c r="A250" s="22">
        <v>44074</v>
      </c>
      <c r="B250" s="2">
        <v>1.01E-3</v>
      </c>
      <c r="C250" s="23">
        <v>7.0479999999999996E-3</v>
      </c>
    </row>
    <row r="251" spans="1:3" x14ac:dyDescent="0.35">
      <c r="A251" s="22">
        <v>44104</v>
      </c>
      <c r="B251" s="2">
        <v>9.7000000000000005E-4</v>
      </c>
      <c r="C251" s="23">
        <v>6.8400000000000006E-3</v>
      </c>
    </row>
    <row r="252" spans="1:3" x14ac:dyDescent="0.35">
      <c r="A252" s="22">
        <v>44135</v>
      </c>
      <c r="B252" s="2">
        <v>8.8999999999999995E-4</v>
      </c>
      <c r="C252" s="23">
        <v>8.737E-3</v>
      </c>
    </row>
    <row r="253" spans="1:3" x14ac:dyDescent="0.35">
      <c r="A253" s="22">
        <v>44165</v>
      </c>
      <c r="B253" s="2">
        <v>7.5999999999999993E-4</v>
      </c>
      <c r="C253" s="23">
        <v>8.3890000000000006E-3</v>
      </c>
    </row>
    <row r="254" spans="1:3" x14ac:dyDescent="0.35">
      <c r="A254" s="22">
        <v>44196</v>
      </c>
      <c r="B254" s="2">
        <v>7.1999999999999994E-4</v>
      </c>
      <c r="C254" s="23">
        <v>9.1319999999999995E-3</v>
      </c>
    </row>
    <row r="255" spans="1:3" x14ac:dyDescent="0.35">
      <c r="A255" s="22">
        <v>44227</v>
      </c>
      <c r="B255" s="2">
        <v>5.1999999999999995E-4</v>
      </c>
      <c r="C255" s="23">
        <v>1.0655E-2</v>
      </c>
    </row>
    <row r="256" spans="1:3" x14ac:dyDescent="0.35">
      <c r="A256" s="22">
        <v>44255</v>
      </c>
      <c r="B256" s="2">
        <v>3.7999999999999997E-4</v>
      </c>
      <c r="C256" s="23">
        <v>1.4049000000000001E-2</v>
      </c>
    </row>
    <row r="257" spans="1:3" x14ac:dyDescent="0.35">
      <c r="A257" s="22">
        <v>44286</v>
      </c>
      <c r="B257" s="2">
        <v>1.7999999999999998E-4</v>
      </c>
      <c r="C257" s="23">
        <v>1.7403999999999999E-2</v>
      </c>
    </row>
    <row r="258" spans="1:3" x14ac:dyDescent="0.35">
      <c r="A258" s="22">
        <v>44316</v>
      </c>
      <c r="B258" s="2">
        <v>8.9999999999999992E-5</v>
      </c>
      <c r="C258" s="23">
        <v>1.6258999999999999E-2</v>
      </c>
    </row>
    <row r="259" spans="1:3" x14ac:dyDescent="0.35">
      <c r="A259" s="22">
        <v>44347</v>
      </c>
      <c r="B259" s="2">
        <v>1E-4</v>
      </c>
      <c r="C259" s="23">
        <v>1.5942999999999999E-2</v>
      </c>
    </row>
    <row r="260" spans="1:3" x14ac:dyDescent="0.35">
      <c r="A260" s="22">
        <v>44377</v>
      </c>
      <c r="B260" s="2">
        <v>4.2999999999999999E-4</v>
      </c>
      <c r="C260" s="23">
        <v>1.468E-2</v>
      </c>
    </row>
    <row r="261" spans="1:3" x14ac:dyDescent="0.35">
      <c r="A261" s="22">
        <v>44408</v>
      </c>
      <c r="B261" s="2">
        <v>4.2999999999999999E-4</v>
      </c>
      <c r="C261" s="23">
        <v>1.2222999999999999E-2</v>
      </c>
    </row>
    <row r="262" spans="1:3" x14ac:dyDescent="0.35">
      <c r="A262" s="22">
        <v>44439</v>
      </c>
      <c r="B262" s="2">
        <v>4.0999999999999999E-4</v>
      </c>
      <c r="C262" s="23">
        <v>1.3087999999999999E-2</v>
      </c>
    </row>
    <row r="263" spans="1:3" x14ac:dyDescent="0.35">
      <c r="A263" s="22">
        <v>44469</v>
      </c>
      <c r="B263" s="2">
        <v>3.6999999999999999E-4</v>
      </c>
      <c r="C263" s="23">
        <v>1.4873000000000001E-2</v>
      </c>
    </row>
    <row r="264" spans="1:3" x14ac:dyDescent="0.35">
      <c r="A264" s="22">
        <v>44500</v>
      </c>
      <c r="B264" s="2">
        <v>5.5000000000000003E-4</v>
      </c>
      <c r="C264" s="23">
        <v>1.5521E-2</v>
      </c>
    </row>
    <row r="265" spans="1:3" x14ac:dyDescent="0.35">
      <c r="A265" s="22">
        <v>44530</v>
      </c>
      <c r="B265" s="2">
        <v>5.0999999999999993E-4</v>
      </c>
      <c r="C265" s="23">
        <v>1.4442999999999999E-2</v>
      </c>
    </row>
    <row r="266" spans="1:3" x14ac:dyDescent="0.35">
      <c r="A266" s="22">
        <v>44561</v>
      </c>
      <c r="B266" s="2">
        <v>4.3999999999999996E-4</v>
      </c>
      <c r="C266" s="23">
        <v>1.5101E-2</v>
      </c>
    </row>
    <row r="267" spans="1:3" x14ac:dyDescent="0.35">
      <c r="A267" s="22">
        <v>44592</v>
      </c>
      <c r="B267" s="2">
        <v>1.8599999999999999E-3</v>
      </c>
      <c r="C267" s="23">
        <v>1.7766999999999998E-2</v>
      </c>
    </row>
    <row r="268" spans="1:3" x14ac:dyDescent="0.35">
      <c r="A268" s="22">
        <v>44620</v>
      </c>
      <c r="B268" s="2">
        <v>3.0699999999999998E-3</v>
      </c>
      <c r="C268" s="23">
        <v>1.8249999999999999E-2</v>
      </c>
    </row>
    <row r="269" spans="1:3" x14ac:dyDescent="0.35">
      <c r="A269" s="22">
        <v>44651</v>
      </c>
      <c r="B269" s="2">
        <v>4.96E-3</v>
      </c>
      <c r="C269" s="23">
        <v>2.3380000000000001E-2</v>
      </c>
    </row>
    <row r="270" spans="1:3" x14ac:dyDescent="0.35">
      <c r="A270" s="22">
        <v>44681</v>
      </c>
      <c r="B270" s="2">
        <v>8.3400000000000002E-3</v>
      </c>
      <c r="C270" s="23">
        <v>2.9336000000000001E-2</v>
      </c>
    </row>
    <row r="271" spans="1:3" x14ac:dyDescent="0.35">
      <c r="A271" s="22">
        <v>44712</v>
      </c>
      <c r="B271" s="2">
        <v>1.0580000000000001E-2</v>
      </c>
      <c r="C271" s="23">
        <v>2.8441000000000001E-2</v>
      </c>
    </row>
    <row r="272" spans="1:3" x14ac:dyDescent="0.35">
      <c r="A272" s="22">
        <v>44742</v>
      </c>
      <c r="B272" s="2">
        <v>1.6670000000000001E-2</v>
      </c>
      <c r="C272" s="23">
        <v>3.0129000000000003E-2</v>
      </c>
    </row>
    <row r="273" spans="1:3" x14ac:dyDescent="0.35">
      <c r="A273" s="22">
        <v>44773</v>
      </c>
      <c r="B273" s="2">
        <v>2.3639999999999998E-2</v>
      </c>
      <c r="C273" s="23">
        <v>2.6486999999999997E-2</v>
      </c>
    </row>
    <row r="274" spans="1:3" x14ac:dyDescent="0.35">
      <c r="A274" s="22">
        <v>44804</v>
      </c>
      <c r="B274" s="2">
        <v>2.9249999999999998E-2</v>
      </c>
      <c r="C274" s="23">
        <v>3.1926000000000003E-2</v>
      </c>
    </row>
    <row r="275" spans="1:3" x14ac:dyDescent="0.35">
      <c r="A275" s="22">
        <v>44834</v>
      </c>
      <c r="B275" s="2">
        <v>3.27E-2</v>
      </c>
      <c r="C275" s="23">
        <v>3.8286000000000001E-2</v>
      </c>
    </row>
    <row r="276" spans="1:3" x14ac:dyDescent="0.35">
      <c r="A276" s="22">
        <v>44865</v>
      </c>
      <c r="B276" s="2">
        <v>4.0739999999999998E-2</v>
      </c>
      <c r="C276" s="23">
        <v>4.0477999999999993E-2</v>
      </c>
    </row>
    <row r="277" spans="1:3" x14ac:dyDescent="0.35">
      <c r="A277" s="22">
        <v>44895</v>
      </c>
      <c r="B277" s="2">
        <v>4.3490000000000001E-2</v>
      </c>
      <c r="C277" s="23">
        <v>3.6054000000000003E-2</v>
      </c>
    </row>
    <row r="278" spans="1:3" x14ac:dyDescent="0.35">
      <c r="A278" s="22">
        <v>44926</v>
      </c>
      <c r="B278" s="2">
        <v>4.3739999999999994E-2</v>
      </c>
      <c r="C278" s="23">
        <v>3.8747999999999998E-2</v>
      </c>
    </row>
    <row r="279" spans="1:3" x14ac:dyDescent="0.35">
      <c r="A279" s="22">
        <v>44957</v>
      </c>
      <c r="B279" s="2">
        <v>4.6649999999999997E-2</v>
      </c>
      <c r="C279" s="23">
        <v>3.5068999999999996E-2</v>
      </c>
    </row>
    <row r="280" spans="1:3" x14ac:dyDescent="0.35">
      <c r="A280" s="22">
        <v>44985</v>
      </c>
      <c r="B280" s="2">
        <v>4.8120000000000003E-2</v>
      </c>
      <c r="C280" s="23">
        <v>3.9199999999999999E-2</v>
      </c>
    </row>
    <row r="281" spans="1:3" x14ac:dyDescent="0.35">
      <c r="A281" s="22">
        <v>45016</v>
      </c>
      <c r="B281" s="2">
        <v>4.7489999999999997E-2</v>
      </c>
      <c r="C281" s="23">
        <v>3.4675999999999998E-2</v>
      </c>
    </row>
    <row r="282" spans="1:3" x14ac:dyDescent="0.35">
      <c r="A282" s="22">
        <v>45046</v>
      </c>
      <c r="B282" s="2">
        <v>5.0560000000000001E-2</v>
      </c>
      <c r="C282" s="23">
        <v>3.422E-2</v>
      </c>
    </row>
    <row r="283" spans="1:3" x14ac:dyDescent="0.35">
      <c r="A283" s="22">
        <v>45077</v>
      </c>
      <c r="B283" s="2">
        <v>5.4029999999999995E-2</v>
      </c>
      <c r="C283" s="23">
        <v>3.6426E-2</v>
      </c>
    </row>
    <row r="284" spans="1:3" x14ac:dyDescent="0.35">
      <c r="A284" s="22">
        <v>45107</v>
      </c>
      <c r="B284" s="2">
        <v>5.2979999999999999E-2</v>
      </c>
      <c r="C284" s="23">
        <v>3.8366999999999998E-2</v>
      </c>
    </row>
    <row r="285" spans="1:3" x14ac:dyDescent="0.35">
      <c r="A285" s="22">
        <v>45138</v>
      </c>
      <c r="B285" s="2">
        <v>5.4160000000000007E-2</v>
      </c>
      <c r="C285" s="23">
        <v>3.9587999999999998E-2</v>
      </c>
    </row>
    <row r="286" spans="1:3" x14ac:dyDescent="0.35">
      <c r="A286" s="22">
        <v>45169</v>
      </c>
      <c r="B286" s="2">
        <v>5.4509999999999996E-2</v>
      </c>
      <c r="C286" s="23">
        <v>4.1081000000000006E-2</v>
      </c>
    </row>
    <row r="287" spans="1:3" x14ac:dyDescent="0.35">
      <c r="A287" s="22">
        <v>45199</v>
      </c>
      <c r="B287" s="2">
        <v>5.4509999999999996E-2</v>
      </c>
      <c r="C287" s="23">
        <v>4.5711000000000002E-2</v>
      </c>
    </row>
    <row r="288" spans="1:3" x14ac:dyDescent="0.35">
      <c r="A288" s="22">
        <v>45230</v>
      </c>
      <c r="B288" s="2">
        <v>5.4690000000000003E-2</v>
      </c>
      <c r="C288" s="23">
        <v>4.9306999999999997E-2</v>
      </c>
    </row>
    <row r="289" spans="1:3" x14ac:dyDescent="0.35">
      <c r="A289" s="22">
        <v>45260</v>
      </c>
      <c r="B289" s="2">
        <v>5.3940000000000002E-2</v>
      </c>
      <c r="C289" s="23">
        <v>4.3263999999999997E-2</v>
      </c>
    </row>
    <row r="290" spans="1:3" x14ac:dyDescent="0.35">
      <c r="A290" s="22">
        <v>45291</v>
      </c>
      <c r="B290" s="2">
        <v>5.3440000000000001E-2</v>
      </c>
      <c r="C290" s="23">
        <v>3.8790999999999999E-2</v>
      </c>
    </row>
    <row r="291" spans="1:3" x14ac:dyDescent="0.35">
      <c r="A291" s="22">
        <v>45322</v>
      </c>
      <c r="B291" s="2">
        <v>5.3680000000000005E-2</v>
      </c>
      <c r="C291" s="23">
        <v>3.9123999999999999E-2</v>
      </c>
    </row>
    <row r="292" spans="1:3" x14ac:dyDescent="0.35">
      <c r="A292" s="22">
        <v>45351</v>
      </c>
      <c r="B292" s="2">
        <v>5.3840000000000006E-2</v>
      </c>
      <c r="C292" s="23">
        <v>4.2502000000000005E-2</v>
      </c>
    </row>
    <row r="293" spans="1:3" x14ac:dyDescent="0.35">
      <c r="A293" s="22">
        <v>45382</v>
      </c>
      <c r="B293" s="2">
        <v>5.3710000000000008E-2</v>
      </c>
      <c r="C293" s="23">
        <v>4.2003000000000006E-2</v>
      </c>
    </row>
    <row r="294" spans="1:3" x14ac:dyDescent="0.35">
      <c r="A294" s="22">
        <v>45412</v>
      </c>
      <c r="B294" s="2">
        <v>5.4000000000000006E-2</v>
      </c>
      <c r="C294" s="23">
        <v>4.6797999999999999E-2</v>
      </c>
    </row>
    <row r="295" spans="1:3" x14ac:dyDescent="0.35">
      <c r="A295" s="22">
        <v>45443</v>
      </c>
      <c r="B295" s="2">
        <v>5.4050000000000001E-2</v>
      </c>
      <c r="C295" s="23">
        <v>4.4984999999999997E-2</v>
      </c>
    </row>
    <row r="296" spans="1:3" x14ac:dyDescent="0.35">
      <c r="A296" s="22">
        <v>45473</v>
      </c>
      <c r="B296" s="2">
        <v>5.3579999999999996E-2</v>
      </c>
      <c r="C296" s="23">
        <v>4.3961E-2</v>
      </c>
    </row>
    <row r="297" spans="1:3" x14ac:dyDescent="0.35">
      <c r="A297" s="22">
        <v>45504</v>
      </c>
      <c r="B297" s="2">
        <v>5.287E-2</v>
      </c>
      <c r="C297" s="23">
        <v>4.0296000000000005E-2</v>
      </c>
    </row>
    <row r="298" spans="1:3" x14ac:dyDescent="0.35">
      <c r="A298" s="22">
        <v>45535</v>
      </c>
      <c r="B298" s="2">
        <v>5.117E-2</v>
      </c>
      <c r="C298" s="23">
        <v>3.9033999999999999E-2</v>
      </c>
    </row>
    <row r="299" spans="1:3" x14ac:dyDescent="0.35">
      <c r="A299" s="22">
        <v>45565</v>
      </c>
      <c r="B299" s="2">
        <v>4.6269999999999999E-2</v>
      </c>
      <c r="C299" s="23">
        <v>3.7809000000000002E-2</v>
      </c>
    </row>
    <row r="300" spans="1:3" x14ac:dyDescent="0.35">
      <c r="A300" s="22">
        <v>45596</v>
      </c>
      <c r="B300" s="2">
        <v>4.548E-2</v>
      </c>
      <c r="C300" s="23">
        <v>4.2844E-2</v>
      </c>
    </row>
    <row r="301" spans="1:3" x14ac:dyDescent="0.35">
      <c r="A301" s="22">
        <v>45626</v>
      </c>
      <c r="B301" s="2">
        <v>4.4920000000000002E-2</v>
      </c>
      <c r="C301" s="23">
        <v>4.1685E-2</v>
      </c>
    </row>
    <row r="302" spans="1:3" x14ac:dyDescent="0.35">
      <c r="A302" s="22">
        <v>45657</v>
      </c>
      <c r="B302" s="2">
        <v>4.3209999999999998E-2</v>
      </c>
      <c r="C302" s="23">
        <v>4.5690000000000001E-2</v>
      </c>
    </row>
    <row r="303" spans="1:3" x14ac:dyDescent="0.35">
      <c r="A303" s="22">
        <v>45688</v>
      </c>
      <c r="B303" s="2">
        <v>4.2889999999999998E-2</v>
      </c>
      <c r="C303" s="23">
        <v>4.5387000000000004E-2</v>
      </c>
    </row>
    <row r="304" spans="1:3" x14ac:dyDescent="0.35">
      <c r="A304" s="22">
        <v>45716</v>
      </c>
      <c r="B304" s="2">
        <v>4.299E-2</v>
      </c>
      <c r="C304" s="23">
        <v>4.2081999999999994E-2</v>
      </c>
    </row>
    <row r="305" spans="1:8" x14ac:dyDescent="0.35">
      <c r="A305" s="22">
        <v>45747</v>
      </c>
      <c r="B305" s="2">
        <v>4.299E-2</v>
      </c>
      <c r="C305" s="23">
        <v>4.2053E-2</v>
      </c>
    </row>
    <row r="306" spans="1:8" x14ac:dyDescent="0.35">
      <c r="A306" s="22">
        <v>45777</v>
      </c>
      <c r="B306" s="2">
        <v>4.2880000000000001E-2</v>
      </c>
      <c r="C306" s="23">
        <v>4.1619000000000003E-2</v>
      </c>
    </row>
    <row r="307" spans="1:8" x14ac:dyDescent="0.35">
      <c r="A307" s="22">
        <v>45808</v>
      </c>
      <c r="B307" s="2">
        <v>4.3419999999999993E-2</v>
      </c>
      <c r="C307" s="23">
        <v>4.4004000000000001E-2</v>
      </c>
      <c r="D307" s="14" t="s">
        <v>1698</v>
      </c>
      <c r="E307" s="14" t="s">
        <v>1662</v>
      </c>
      <c r="F307" s="14" t="s">
        <v>1699</v>
      </c>
    </row>
    <row r="308" spans="1:8" x14ac:dyDescent="0.35">
      <c r="A308" s="22">
        <v>45838</v>
      </c>
      <c r="B308" s="2">
        <v>4.301E-2</v>
      </c>
      <c r="C308" s="23">
        <v>4.2769000000000001E-2</v>
      </c>
      <c r="D308" s="27">
        <v>3.2000000000000001E-2</v>
      </c>
      <c r="E308" s="23">
        <f>cost_of_debt!D224/100</f>
        <v>2.2839000000000002E-2</v>
      </c>
      <c r="F308" s="23">
        <f>AVERAGE(B308:D308)-E308</f>
        <v>1.6420666666666663E-2</v>
      </c>
      <c r="G308" s="23"/>
      <c r="H308" s="23"/>
    </row>
    <row r="309" spans="1:8" x14ac:dyDescent="0.35">
      <c r="D309" t="s">
        <v>1704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private_equity</vt:lpstr>
      <vt:lpstr>ma_deal_list</vt:lpstr>
      <vt:lpstr>cost_of_debt</vt:lpstr>
      <vt:lpstr>real_estate</vt:lpstr>
      <vt:lpstr>private_credit</vt:lpstr>
      <vt:lpstr>cash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Giga Nozadze</dc:creator>
  <cp:lastModifiedBy>Giga Nozadze</cp:lastModifiedBy>
  <dcterms:created xsi:type="dcterms:W3CDTF">2015-06-05T18:17:20Z</dcterms:created>
  <dcterms:modified xsi:type="dcterms:W3CDTF">2025-12-08T17:43:36Z</dcterms:modified>
</cp:coreProperties>
</file>
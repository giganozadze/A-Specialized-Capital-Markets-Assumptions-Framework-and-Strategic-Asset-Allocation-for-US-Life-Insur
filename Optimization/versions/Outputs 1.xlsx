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7.xml" ContentType="application/vnd.openxmlformats-officedocument.drawingml.chart+xml"/>
  <Override PartName="/xl/drawings/drawing12.xml" ContentType="application/vnd.openxmlformats-officedocument.drawingml.chartshapes+xml"/>
  <Override PartName="/xl/charts/chart8.xml" ContentType="application/vnd.openxmlformats-officedocument.drawingml.chart+xml"/>
  <Override PartName="/xl/drawings/drawing1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gan\OneDrive\Desktop\NYU\Fall 2025\Capstone\Optimization\"/>
    </mc:Choice>
  </mc:AlternateContent>
  <xr:revisionPtr revIDLastSave="0" documentId="13_ncr:1_{BAB67242-3C5E-41EF-B541-98EE76EE462B}" xr6:coauthVersionLast="47" xr6:coauthVersionMax="47" xr10:uidLastSave="{00000000-0000-0000-0000-000000000000}"/>
  <bookViews>
    <workbookView xWindow="-110" yWindow="-110" windowWidth="19420" windowHeight="11500" tabRatio="774" xr2:uid="{F11C9746-F803-46D5-B25D-CEF0ACCC13A2}"/>
  </bookViews>
  <sheets>
    <sheet name="Brighthouse" sheetId="1" r:id="rId1"/>
    <sheet name="Corebridge" sheetId="2" r:id="rId2"/>
    <sheet name="Metlife" sheetId="3" r:id="rId3"/>
    <sheet name="Principal" sheetId="4" r:id="rId4"/>
    <sheet name="Prudential" sheetId="5" r:id="rId5"/>
    <sheet name="Voy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6" l="1"/>
  <c r="L6" i="6"/>
  <c r="K7" i="6"/>
  <c r="K6" i="6"/>
  <c r="L5" i="6"/>
  <c r="K5" i="6"/>
  <c r="L4" i="6"/>
  <c r="K4" i="6"/>
  <c r="L3" i="6"/>
  <c r="K3" i="6"/>
  <c r="L7" i="5"/>
  <c r="K7" i="5"/>
  <c r="L6" i="5"/>
  <c r="K6" i="5"/>
  <c r="L5" i="5"/>
  <c r="K5" i="5"/>
  <c r="L4" i="5"/>
  <c r="K4" i="5"/>
  <c r="L3" i="5"/>
  <c r="K3" i="5"/>
  <c r="L7" i="4"/>
  <c r="K7" i="4"/>
  <c r="L6" i="4"/>
  <c r="K6" i="4"/>
  <c r="L5" i="4"/>
  <c r="K5" i="4"/>
  <c r="L4" i="4"/>
  <c r="K4" i="4"/>
  <c r="L3" i="4"/>
  <c r="K3" i="4"/>
  <c r="L7" i="3"/>
  <c r="K7" i="3"/>
  <c r="L6" i="3"/>
  <c r="K6" i="3"/>
  <c r="L5" i="3"/>
  <c r="K5" i="3"/>
  <c r="L4" i="3"/>
  <c r="K4" i="3"/>
  <c r="L3" i="3"/>
  <c r="K3" i="3"/>
  <c r="L7" i="2"/>
  <c r="K7" i="2"/>
  <c r="L6" i="2"/>
  <c r="K6" i="2"/>
  <c r="L5" i="2"/>
  <c r="K5" i="2"/>
  <c r="L4" i="2"/>
  <c r="K4" i="2"/>
  <c r="L3" i="2"/>
  <c r="K3" i="2"/>
  <c r="L7" i="1"/>
  <c r="L6" i="1"/>
  <c r="L5" i="1"/>
  <c r="L4" i="1"/>
  <c r="L3" i="1"/>
  <c r="K7" i="1"/>
  <c r="K6" i="1"/>
  <c r="K5" i="1"/>
  <c r="K4" i="1"/>
  <c r="K3" i="1"/>
</calcChain>
</file>

<file path=xl/sharedStrings.xml><?xml version="1.0" encoding="utf-8"?>
<sst xmlns="http://schemas.openxmlformats.org/spreadsheetml/2006/main" count="276" uniqueCount="42">
  <si>
    <t>Current</t>
  </si>
  <si>
    <t>Port A</t>
  </si>
  <si>
    <t>Port B</t>
  </si>
  <si>
    <t>Port C</t>
  </si>
  <si>
    <t>Port D</t>
  </si>
  <si>
    <t>Max Utility</t>
  </si>
  <si>
    <t>Expected Return (%)</t>
  </si>
  <si>
    <t>Risk (%)</t>
  </si>
  <si>
    <t>Sharpe Ratio</t>
  </si>
  <si>
    <t>Avg FI Credit Rating</t>
  </si>
  <si>
    <t>AA-</t>
  </si>
  <si>
    <t>A+</t>
  </si>
  <si>
    <t>FI Duration (years)</t>
  </si>
  <si>
    <t>Net Duration (years)</t>
  </si>
  <si>
    <t>Capital Use (%)</t>
  </si>
  <si>
    <t>US Treasuries, Short/Intermediate</t>
  </si>
  <si>
    <t>US Treasuries, Long</t>
  </si>
  <si>
    <t>US Taxable Munis</t>
  </si>
  <si>
    <t>Global ex-US Government, hedged</t>
  </si>
  <si>
    <t>US Public Corporates IG AAA</t>
  </si>
  <si>
    <t>US Public Corporates IG AA</t>
  </si>
  <si>
    <t>US Public Corporates IG A</t>
  </si>
  <si>
    <t>US Public Corporates IG BBB</t>
  </si>
  <si>
    <t>US Public Corporates, HY Intermediate</t>
  </si>
  <si>
    <t>US Public Corporates, HY Long</t>
  </si>
  <si>
    <t>Global ex-US Corporates, hedged</t>
  </si>
  <si>
    <t>Residential Mortgage-Backed Securities (RMBS)</t>
  </si>
  <si>
    <t>Commercial Mortgage-Backed Securities (CMBS)</t>
  </si>
  <si>
    <t>Asset-Backed Securities (ABS)</t>
  </si>
  <si>
    <t>Corporate IG Private Placement A</t>
  </si>
  <si>
    <t>Corporate IG Private Placement BBB</t>
  </si>
  <si>
    <t>Corporate HY Private (Leveraged Loans)</t>
  </si>
  <si>
    <t>Residential Mortgage Whole Loans</t>
  </si>
  <si>
    <t>Commercial Mortgage Whole Loans</t>
  </si>
  <si>
    <t>Private Equity</t>
  </si>
  <si>
    <t>Real Estate (via partnerships, equity)</t>
  </si>
  <si>
    <t>Metric/Asset</t>
  </si>
  <si>
    <t>Government</t>
  </si>
  <si>
    <t>Public Corporates</t>
  </si>
  <si>
    <t>Structured</t>
  </si>
  <si>
    <t>Private Credit</t>
  </si>
  <si>
    <t>PE and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</si>
</sst>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3" x14ac:knownFonts="1">
    <font>
      <sz val="11"/>
      <color theme="1"/>
      <name val="Aptos Narrow"/>
      <family val="2"/>
      <scheme val="minor"/>
    </font>
    <font>
      <b/>
      <sz val="8.5"/>
      <color theme="0"/>
      <name val="Times New Roman"/>
      <family val="1"/>
    </font>
    <font>
      <sz val="8.5"/>
      <color theme="1"/>
      <name val="Times New Roman"/>
      <family val="1"/>
    </font>
    <font>
      <sz val="8.5"/>
      <color rgb="FF000000"/>
      <name val="Times New Roman"/>
      <family val="1"/>
    </font>
    <font>
      <sz val="8.5"/>
      <color rgb="FFF1F1F1"/>
      <name val="Times New Roman"/>
      <family val="1"/>
    </font>
    <font>
      <sz val="7"/>
      <color theme="1"/>
      <name val="Segoe UI"/>
      <family val="2"/>
    </font>
    <font>
      <sz val="7"/>
      <color rgb="FF000000"/>
      <name val="Segoe UI"/>
      <family val="2"/>
    </font>
    <font>
      <sz val="7"/>
      <color rgb="FFF1F1F1"/>
      <name val="Segoe UI"/>
      <family val="2"/>
    </font>
    <font>
      <b/>
      <sz val="8"/>
      <color theme="0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color rgb="FFF1F1F1"/>
      <name val="Times New Roman"/>
      <family val="1"/>
    </font>
    <font>
      <sz val="11"/>
      <color theme="1"/>
      <name val="Aptos Narrow"/>
      <family val="2"/>
      <scheme val="minor"/>
    </font>
  </fonts>
  <fills count="108">
    <fill>
      <patternFill patternType="none"/>
    </fill>
    <fill>
      <patternFill patternType="gray125"/>
    </fill>
    <fill>
      <patternFill patternType="solid">
        <fgColor rgb="FFC7DBEF"/>
        <bgColor indexed="64"/>
      </patternFill>
    </fill>
    <fill>
      <patternFill patternType="solid">
        <fgColor rgb="FF4E9ACB"/>
        <bgColor indexed="64"/>
      </patternFill>
    </fill>
    <fill>
      <patternFill patternType="solid">
        <fgColor rgb="FFD8E7F5"/>
        <bgColor indexed="64"/>
      </patternFill>
    </fill>
    <fill>
      <patternFill patternType="solid">
        <fgColor rgb="FFDCEAF6"/>
        <bgColor indexed="64"/>
      </patternFill>
    </fill>
    <fill>
      <patternFill patternType="solid">
        <fgColor rgb="FFE6F0F9"/>
        <bgColor indexed="64"/>
      </patternFill>
    </fill>
    <fill>
      <patternFill patternType="solid">
        <fgColor rgb="FFEDF4FC"/>
        <bgColor indexed="64"/>
      </patternFill>
    </fill>
    <fill>
      <patternFill patternType="solid">
        <fgColor rgb="FFD9E7F5"/>
        <bgColor indexed="64"/>
      </patternFill>
    </fill>
    <fill>
      <patternFill patternType="solid">
        <fgColor rgb="FFD5E5F4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1F7FD"/>
        <bgColor indexed="64"/>
      </patternFill>
    </fill>
    <fill>
      <patternFill patternType="solid">
        <fgColor rgb="FFE2EDF8"/>
        <bgColor indexed="64"/>
      </patternFill>
    </fill>
    <fill>
      <patternFill patternType="solid">
        <fgColor rgb="FFC1D9ED"/>
        <bgColor indexed="64"/>
      </patternFill>
    </fill>
    <fill>
      <patternFill patternType="solid">
        <fgColor rgb="FF89BEDC"/>
        <bgColor indexed="64"/>
      </patternFill>
    </fill>
    <fill>
      <patternFill patternType="solid">
        <fgColor rgb="FFE0ECF8"/>
        <bgColor indexed="64"/>
      </patternFill>
    </fill>
    <fill>
      <patternFill patternType="solid">
        <fgColor rgb="FFCCDFF1"/>
        <bgColor indexed="64"/>
      </patternFill>
    </fill>
    <fill>
      <patternFill patternType="solid">
        <fgColor rgb="FF4493C7"/>
        <bgColor indexed="64"/>
      </patternFill>
    </fill>
    <fill>
      <patternFill patternType="solid">
        <fgColor rgb="FFC6DBEF"/>
        <bgColor indexed="64"/>
      </patternFill>
    </fill>
    <fill>
      <patternFill patternType="solid">
        <fgColor rgb="FFDFECF7"/>
        <bgColor indexed="64"/>
      </patternFill>
    </fill>
    <fill>
      <patternFill patternType="solid">
        <fgColor rgb="FFE7F1FA"/>
        <bgColor indexed="64"/>
      </patternFill>
    </fill>
    <fill>
      <patternFill patternType="solid">
        <fgColor rgb="FFEAF2FB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CDE0F1"/>
        <bgColor indexed="64"/>
      </patternFill>
    </fill>
    <fill>
      <patternFill patternType="solid">
        <fgColor rgb="FF3787C0"/>
        <bgColor indexed="64"/>
      </patternFill>
    </fill>
    <fill>
      <patternFill patternType="solid">
        <fgColor rgb="FF3A8AC2"/>
        <bgColor indexed="64"/>
      </patternFill>
    </fill>
    <fill>
      <patternFill patternType="solid">
        <fgColor rgb="FF4191C6"/>
        <bgColor indexed="64"/>
      </patternFill>
    </fill>
    <fill>
      <patternFill patternType="solid">
        <fgColor rgb="FF63A8D3"/>
        <bgColor indexed="64"/>
      </patternFill>
    </fill>
    <fill>
      <patternFill patternType="solid">
        <fgColor rgb="FF549FCD"/>
        <bgColor indexed="64"/>
      </patternFill>
    </fill>
    <fill>
      <patternFill patternType="solid">
        <fgColor rgb="FF74B3D8"/>
        <bgColor indexed="64"/>
      </patternFill>
    </fill>
    <fill>
      <patternFill patternType="solid">
        <fgColor rgb="FF94C4DF"/>
        <bgColor indexed="64"/>
      </patternFill>
    </fill>
    <fill>
      <patternFill patternType="solid">
        <fgColor rgb="FFA1CBE2"/>
        <bgColor indexed="64"/>
      </patternFill>
    </fill>
    <fill>
      <patternFill patternType="solid">
        <fgColor rgb="FFA5CDE3"/>
        <bgColor indexed="64"/>
      </patternFill>
    </fill>
    <fill>
      <patternFill patternType="solid">
        <fgColor rgb="FF3E8EC4"/>
        <bgColor indexed="64"/>
      </patternFill>
    </fill>
    <fill>
      <patternFill patternType="solid">
        <fgColor rgb="FF3989C1"/>
        <bgColor indexed="64"/>
      </patternFill>
    </fill>
    <fill>
      <patternFill patternType="solid">
        <fgColor rgb="FF4594C7"/>
        <bgColor indexed="64"/>
      </patternFill>
    </fill>
    <fill>
      <patternFill patternType="solid">
        <fgColor rgb="FFEEF5FC"/>
        <bgColor indexed="64"/>
      </patternFill>
    </fill>
    <fill>
      <patternFill patternType="solid">
        <fgColor rgb="FFC3DAEE"/>
        <bgColor indexed="64"/>
      </patternFill>
    </fill>
    <fill>
      <patternFill patternType="solid">
        <fgColor rgb="FFBFD8ED"/>
        <bgColor indexed="64"/>
      </patternFill>
    </fill>
    <fill>
      <patternFill patternType="solid">
        <fgColor rgb="FFBAD6EB"/>
        <bgColor indexed="64"/>
      </patternFill>
    </fill>
    <fill>
      <patternFill patternType="solid">
        <fgColor rgb="FFF6FAFF"/>
        <bgColor indexed="64"/>
      </patternFill>
    </fill>
    <fill>
      <patternFill patternType="solid">
        <fgColor rgb="FFF3F8FE"/>
        <bgColor indexed="64"/>
      </patternFill>
    </fill>
    <fill>
      <patternFill patternType="solid">
        <fgColor rgb="FFE9F2FA"/>
        <bgColor indexed="64"/>
      </patternFill>
    </fill>
    <fill>
      <patternFill patternType="solid">
        <fgColor rgb="FF2373B6"/>
        <bgColor indexed="64"/>
      </patternFill>
    </fill>
    <fill>
      <patternFill patternType="solid">
        <fgColor rgb="FF4896C8"/>
        <bgColor indexed="64"/>
      </patternFill>
    </fill>
    <fill>
      <patternFill patternType="solid">
        <fgColor rgb="FF87BDDC"/>
        <bgColor indexed="64"/>
      </patternFill>
    </fill>
    <fill>
      <patternFill patternType="solid">
        <fgColor rgb="FFCADEF0"/>
        <bgColor indexed="64"/>
      </patternFill>
    </fill>
    <fill>
      <patternFill patternType="solid">
        <fgColor rgb="FF4A98C9"/>
        <bgColor indexed="64"/>
      </patternFill>
    </fill>
    <fill>
      <patternFill patternType="solid">
        <fgColor rgb="FF6DAFD7"/>
        <bgColor indexed="64"/>
      </patternFill>
    </fill>
    <fill>
      <patternFill patternType="solid">
        <fgColor rgb="FFBDD7EC"/>
        <bgColor indexed="64"/>
      </patternFill>
    </fill>
    <fill>
      <patternFill patternType="solid">
        <fgColor rgb="FF9AC8E0"/>
        <bgColor indexed="64"/>
      </patternFill>
    </fill>
    <fill>
      <patternFill patternType="solid">
        <fgColor rgb="FF7CB7DA"/>
        <bgColor indexed="64"/>
      </patternFill>
    </fill>
    <fill>
      <patternFill patternType="solid">
        <fgColor rgb="FF519CCC"/>
        <bgColor indexed="64"/>
      </patternFill>
    </fill>
    <fill>
      <patternFill patternType="solid">
        <fgColor rgb="FFA3CCE3"/>
        <bgColor indexed="64"/>
      </patternFill>
    </fill>
    <fill>
      <patternFill patternType="solid">
        <fgColor rgb="FFEFF6FC"/>
        <bgColor indexed="64"/>
      </patternFill>
    </fill>
    <fill>
      <patternFill patternType="solid">
        <fgColor rgb="FFF5F9FE"/>
        <bgColor indexed="64"/>
      </patternFill>
    </fill>
    <fill>
      <patternFill patternType="solid">
        <fgColor rgb="FFF2F8FD"/>
        <bgColor indexed="64"/>
      </patternFill>
    </fill>
    <fill>
      <patternFill patternType="solid">
        <fgColor rgb="FF81BADB"/>
        <bgColor indexed="64"/>
      </patternFill>
    </fill>
    <fill>
      <patternFill patternType="solid">
        <fgColor rgb="FF084C95"/>
        <bgColor indexed="64"/>
      </patternFill>
    </fill>
    <fill>
      <patternFill patternType="solid">
        <fgColor rgb="FFD1E2F3"/>
        <bgColor indexed="64"/>
      </patternFill>
    </fill>
    <fill>
      <patternFill patternType="solid">
        <fgColor rgb="FFC8DCF0"/>
        <bgColor indexed="64"/>
      </patternFill>
    </fill>
    <fill>
      <patternFill patternType="solid">
        <fgColor rgb="FF2D877E"/>
        <bgColor indexed="64"/>
      </patternFill>
    </fill>
    <fill>
      <patternFill patternType="solid">
        <fgColor rgb="FF91C3DE"/>
        <bgColor indexed="64"/>
      </patternFill>
    </fill>
    <fill>
      <patternFill patternType="solid">
        <fgColor rgb="FFB0D2E7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3C8CC3"/>
        <bgColor indexed="64"/>
      </patternFill>
    </fill>
    <fill>
      <patternFill patternType="solid">
        <fgColor rgb="FF79B5D9"/>
        <bgColor indexed="64"/>
      </patternFill>
    </fill>
    <fill>
      <patternFill patternType="solid">
        <fgColor rgb="FFDCE9F6"/>
        <bgColor indexed="64"/>
      </patternFill>
    </fill>
    <fill>
      <patternFill patternType="solid">
        <fgColor rgb="FF60A7D2"/>
        <bgColor indexed="64"/>
      </patternFill>
    </fill>
    <fill>
      <patternFill patternType="solid">
        <fgColor rgb="FF57A0CE"/>
        <bgColor indexed="64"/>
      </patternFill>
    </fill>
    <fill>
      <patternFill patternType="solid">
        <fgColor rgb="FFB2D2E8"/>
        <bgColor indexed="64"/>
      </patternFill>
    </fill>
    <fill>
      <patternFill patternType="solid">
        <fgColor rgb="FF75B4D8"/>
        <bgColor indexed="64"/>
      </patternFill>
    </fill>
    <fill>
      <patternFill patternType="solid">
        <fgColor rgb="FFCADDF0"/>
        <bgColor indexed="64"/>
      </patternFill>
    </fill>
    <fill>
      <patternFill patternType="solid">
        <fgColor rgb="FF3F8FC5"/>
        <bgColor indexed="64"/>
      </patternFill>
    </fill>
    <fill>
      <patternFill patternType="solid">
        <fgColor rgb="FF5CA4D0"/>
        <bgColor indexed="64"/>
      </patternFill>
    </fill>
    <fill>
      <patternFill patternType="solid">
        <fgColor rgb="FF5AA2CF"/>
        <bgColor indexed="64"/>
      </patternFill>
    </fill>
    <fill>
      <patternFill patternType="solid">
        <fgColor rgb="FF4D99CA"/>
        <bgColor indexed="64"/>
      </patternFill>
    </fill>
    <fill>
      <patternFill patternType="solid">
        <fgColor rgb="FFD6E6F4"/>
        <bgColor indexed="64"/>
      </patternFill>
    </fill>
    <fill>
      <patternFill patternType="solid">
        <fgColor rgb="FFD3E3F3"/>
        <bgColor indexed="64"/>
      </patternFill>
    </fill>
    <fill>
      <patternFill patternType="solid">
        <fgColor rgb="FFE5EFF9"/>
        <bgColor indexed="64"/>
      </patternFill>
    </fill>
    <fill>
      <patternFill patternType="solid">
        <fgColor rgb="FFB4D3E9"/>
        <bgColor indexed="64"/>
      </patternFill>
    </fill>
    <fill>
      <patternFill patternType="solid">
        <fgColor rgb="FFABD0E6"/>
        <bgColor indexed="64"/>
      </patternFill>
    </fill>
    <fill>
      <patternFill patternType="solid">
        <fgColor rgb="FF66ABD4"/>
        <bgColor indexed="64"/>
      </patternFill>
    </fill>
    <fill>
      <patternFill patternType="solid">
        <fgColor rgb="FF69ADD5"/>
        <bgColor indexed="64"/>
      </patternFill>
    </fill>
    <fill>
      <patternFill patternType="solid">
        <fgColor rgb="FFCFE1F2"/>
        <bgColor indexed="64"/>
      </patternFill>
    </fill>
    <fill>
      <patternFill patternType="solid">
        <fgColor rgb="FFAED1E7"/>
        <bgColor indexed="64"/>
      </patternFill>
    </fill>
    <fill>
      <patternFill patternType="solid">
        <fgColor rgb="FF9FCAE1"/>
        <bgColor indexed="64"/>
      </patternFill>
    </fill>
    <fill>
      <patternFill patternType="solid">
        <fgColor rgb="FF08306B"/>
        <bgColor indexed="64"/>
      </patternFill>
    </fill>
    <fill>
      <patternFill patternType="solid">
        <fgColor rgb="FFD0E1F2"/>
        <bgColor indexed="64"/>
      </patternFill>
    </fill>
    <fill>
      <patternFill patternType="solid">
        <fgColor rgb="FF7DB8DA"/>
        <bgColor indexed="64"/>
      </patternFill>
    </fill>
    <fill>
      <patternFill patternType="solid">
        <fgColor rgb="FF0C56A0"/>
        <bgColor indexed="64"/>
      </patternFill>
    </fill>
    <fill>
      <patternFill patternType="solid">
        <fgColor rgb="FFD3E4F3"/>
        <bgColor indexed="64"/>
      </patternFill>
    </fill>
    <fill>
      <patternFill patternType="solid">
        <fgColor rgb="FFB7D4EA"/>
        <bgColor indexed="64"/>
      </patternFill>
    </fill>
    <fill>
      <patternFill patternType="solid">
        <fgColor rgb="FFA9CFE5"/>
        <bgColor indexed="64"/>
      </patternFill>
    </fill>
    <fill>
      <patternFill patternType="solid">
        <fgColor rgb="FF6AAED6"/>
        <bgColor indexed="64"/>
      </patternFill>
    </fill>
    <fill>
      <patternFill patternType="solid">
        <fgColor rgb="FF3282BE"/>
        <bgColor indexed="64"/>
      </patternFill>
    </fill>
    <fill>
      <patternFill patternType="solid">
        <fgColor rgb="FF083B7C"/>
        <bgColor indexed="64"/>
      </patternFill>
    </fill>
    <fill>
      <patternFill patternType="solid">
        <fgColor rgb="FF9CC9E1"/>
        <bgColor indexed="64"/>
      </patternFill>
    </fill>
    <fill>
      <patternFill patternType="solid">
        <fgColor rgb="FF084285"/>
        <bgColor indexed="64"/>
      </patternFill>
    </fill>
    <fill>
      <patternFill patternType="solid">
        <fgColor rgb="FFB8D5EA"/>
        <bgColor indexed="64"/>
      </patternFill>
    </fill>
    <fill>
      <patternFill patternType="solid">
        <fgColor rgb="FF5DA5D1"/>
        <bgColor indexed="64"/>
      </patternFill>
    </fill>
    <fill>
      <patternFill patternType="solid">
        <fgColor rgb="FFA8CEE4"/>
        <bgColor indexed="64"/>
      </patternFill>
    </fill>
    <fill>
      <patternFill patternType="solid">
        <fgColor rgb="FF84BCDB"/>
        <bgColor indexed="64"/>
      </patternFill>
    </fill>
    <fill>
      <patternFill patternType="solid">
        <fgColor rgb="FF8CC0DD"/>
        <bgColor indexed="64"/>
      </patternFill>
    </fill>
    <fill>
      <patternFill patternType="solid">
        <fgColor rgb="FF084F99"/>
        <bgColor indexed="64"/>
      </patternFill>
    </fill>
    <fill>
      <patternFill patternType="solid">
        <fgColor rgb="FF083674"/>
        <bgColor indexed="64"/>
      </patternFill>
    </fill>
    <fill>
      <patternFill patternType="solid">
        <fgColor rgb="FF3080BD"/>
        <bgColor indexed="64"/>
      </patternFill>
    </fill>
    <fill>
      <patternFill patternType="solid">
        <fgColor rgb="FF1C6BB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5CAB9"/>
      </bottom>
      <diagonal/>
    </border>
    <border>
      <left/>
      <right/>
      <top style="thin">
        <color rgb="FFD5CAB9"/>
      </top>
      <bottom style="thin">
        <color rgb="FFD5CAB9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1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0" fillId="0" borderId="0" xfId="0" applyNumberFormat="1"/>
    <xf numFmtId="0" fontId="8" fillId="61" borderId="1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8" fillId="61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2" fontId="9" fillId="0" borderId="2" xfId="0" applyNumberFormat="1" applyFont="1" applyBorder="1" applyAlignment="1">
      <alignment horizontal="center" vertical="center" wrapText="1"/>
    </xf>
    <xf numFmtId="164" fontId="10" fillId="2" borderId="2" xfId="0" applyNumberFormat="1" applyFont="1" applyFill="1" applyBorder="1" applyAlignment="1">
      <alignment horizontal="center" vertical="center" wrapText="1"/>
    </xf>
    <xf numFmtId="164" fontId="11" fillId="34" borderId="2" xfId="0" applyNumberFormat="1" applyFont="1" applyFill="1" applyBorder="1" applyAlignment="1">
      <alignment horizontal="center" vertical="center" wrapText="1"/>
    </xf>
    <xf numFmtId="164" fontId="10" fillId="57" borderId="2" xfId="0" applyNumberFormat="1" applyFont="1" applyFill="1" applyBorder="1" applyAlignment="1">
      <alignment horizontal="center" vertical="center" wrapText="1"/>
    </xf>
    <xf numFmtId="164" fontId="10" fillId="62" borderId="2" xfId="0" applyNumberFormat="1" applyFont="1" applyFill="1" applyBorder="1" applyAlignment="1">
      <alignment horizontal="center" vertical="center" wrapText="1"/>
    </xf>
    <xf numFmtId="164" fontId="10" fillId="63" borderId="2" xfId="0" applyNumberFormat="1" applyFont="1" applyFill="1" applyBorder="1" applyAlignment="1">
      <alignment horizontal="center" vertical="center" wrapText="1"/>
    </xf>
    <xf numFmtId="164" fontId="10" fillId="9" borderId="2" xfId="0" applyNumberFormat="1" applyFont="1" applyFill="1" applyBorder="1" applyAlignment="1">
      <alignment horizontal="center" vertical="center" wrapText="1"/>
    </xf>
    <xf numFmtId="164" fontId="10" fillId="10" borderId="2" xfId="0" applyNumberFormat="1" applyFont="1" applyFill="1" applyBorder="1" applyAlignment="1">
      <alignment horizontal="center" vertical="center" wrapText="1"/>
    </xf>
    <xf numFmtId="164" fontId="10" fillId="41" borderId="2" xfId="0" applyNumberFormat="1" applyFont="1" applyFill="1" applyBorder="1" applyAlignment="1">
      <alignment horizontal="center" vertical="center" wrapText="1"/>
    </xf>
    <xf numFmtId="164" fontId="10" fillId="42" borderId="2" xfId="0" applyNumberFormat="1" applyFont="1" applyFill="1" applyBorder="1" applyAlignment="1">
      <alignment horizontal="center" vertical="center" wrapText="1"/>
    </xf>
    <xf numFmtId="164" fontId="10" fillId="64" borderId="2" xfId="0" applyNumberFormat="1" applyFont="1" applyFill="1" applyBorder="1" applyAlignment="1">
      <alignment horizontal="center" vertical="center" wrapText="1"/>
    </xf>
    <xf numFmtId="164" fontId="10" fillId="55" borderId="2" xfId="0" applyNumberFormat="1" applyFont="1" applyFill="1" applyBorder="1" applyAlignment="1">
      <alignment horizontal="center" vertical="center" wrapText="1"/>
    </xf>
    <xf numFmtId="164" fontId="10" fillId="16" borderId="2" xfId="0" applyNumberFormat="1" applyFont="1" applyFill="1" applyBorder="1" applyAlignment="1">
      <alignment horizontal="center" vertical="center" wrapText="1"/>
    </xf>
    <xf numFmtId="164" fontId="10" fillId="20" borderId="2" xfId="0" applyNumberFormat="1" applyFont="1" applyFill="1" applyBorder="1" applyAlignment="1">
      <alignment horizontal="center" vertical="center" wrapText="1"/>
    </xf>
    <xf numFmtId="164" fontId="10" fillId="22" borderId="2" xfId="0" applyNumberFormat="1" applyFont="1" applyFill="1" applyBorder="1" applyAlignment="1">
      <alignment horizontal="center" vertical="center" wrapText="1"/>
    </xf>
    <xf numFmtId="164" fontId="10" fillId="23" borderId="2" xfId="0" applyNumberFormat="1" applyFont="1" applyFill="1" applyBorder="1" applyAlignment="1">
      <alignment horizontal="center" vertical="center" wrapText="1"/>
    </xf>
    <xf numFmtId="164" fontId="11" fillId="24" borderId="2" xfId="0" applyNumberFormat="1" applyFont="1" applyFill="1" applyBorder="1" applyAlignment="1">
      <alignment horizontal="center" vertical="center" wrapText="1"/>
    </xf>
    <xf numFmtId="164" fontId="11" fillId="65" borderId="2" xfId="0" applyNumberFormat="1" applyFont="1" applyFill="1" applyBorder="1" applyAlignment="1">
      <alignment horizontal="center" vertical="center" wrapText="1"/>
    </xf>
    <xf numFmtId="164" fontId="11" fillId="17" borderId="2" xfId="0" applyNumberFormat="1" applyFont="1" applyFill="1" applyBorder="1" applyAlignment="1">
      <alignment horizontal="center" vertical="center" wrapText="1"/>
    </xf>
    <xf numFmtId="164" fontId="10" fillId="14" borderId="2" xfId="0" applyNumberFormat="1" applyFont="1" applyFill="1" applyBorder="1" applyAlignment="1">
      <alignment horizontal="center" vertical="center" wrapText="1"/>
    </xf>
    <xf numFmtId="164" fontId="10" fillId="45" borderId="2" xfId="0" applyNumberFormat="1" applyFont="1" applyFill="1" applyBorder="1" applyAlignment="1">
      <alignment horizontal="center" vertical="center" wrapText="1"/>
    </xf>
    <xf numFmtId="164" fontId="10" fillId="53" borderId="2" xfId="0" applyNumberFormat="1" applyFont="1" applyFill="1" applyBorder="1" applyAlignment="1">
      <alignment horizontal="center" vertical="center" wrapText="1"/>
    </xf>
    <xf numFmtId="164" fontId="10" fillId="37" borderId="2" xfId="0" applyNumberFormat="1" applyFont="1" applyFill="1" applyBorder="1" applyAlignment="1">
      <alignment horizontal="center" vertical="center" wrapText="1"/>
    </xf>
    <xf numFmtId="164" fontId="10" fillId="66" borderId="2" xfId="0" applyNumberFormat="1" applyFont="1" applyFill="1" applyBorder="1" applyAlignment="1">
      <alignment horizontal="center" vertical="center" wrapText="1"/>
    </xf>
    <xf numFmtId="164" fontId="11" fillId="33" borderId="2" xfId="0" applyNumberFormat="1" applyFont="1" applyFill="1" applyBorder="1" applyAlignment="1">
      <alignment horizontal="center" vertical="center" wrapText="1"/>
    </xf>
    <xf numFmtId="164" fontId="11" fillId="26" borderId="2" xfId="0" applyNumberFormat="1" applyFont="1" applyFill="1" applyBorder="1" applyAlignment="1">
      <alignment horizontal="center" vertical="center" wrapText="1"/>
    </xf>
    <xf numFmtId="164" fontId="11" fillId="44" borderId="2" xfId="0" applyNumberFormat="1" applyFont="1" applyFill="1" applyBorder="1" applyAlignment="1">
      <alignment horizontal="center" vertical="center" wrapText="1"/>
    </xf>
    <xf numFmtId="164" fontId="11" fillId="35" borderId="2" xfId="0" applyNumberFormat="1" applyFont="1" applyFill="1" applyBorder="1" applyAlignment="1">
      <alignment horizontal="center" vertical="center" wrapText="1"/>
    </xf>
    <xf numFmtId="164" fontId="10" fillId="40" borderId="2" xfId="0" applyNumberFormat="1" applyFont="1" applyFill="1" applyBorder="1" applyAlignment="1">
      <alignment horizontal="center" vertical="center" wrapText="1"/>
    </xf>
    <xf numFmtId="164" fontId="10" fillId="19" borderId="2" xfId="0" applyNumberFormat="1" applyFont="1" applyFill="1" applyBorder="1" applyAlignment="1">
      <alignment horizontal="center" vertical="center" wrapText="1"/>
    </xf>
    <xf numFmtId="164" fontId="10" fillId="8" borderId="2" xfId="0" applyNumberFormat="1" applyFont="1" applyFill="1" applyBorder="1" applyAlignment="1">
      <alignment horizontal="center" vertical="center" wrapText="1"/>
    </xf>
    <xf numFmtId="164" fontId="10" fillId="4" borderId="2" xfId="0" applyNumberFormat="1" applyFont="1" applyFill="1" applyBorder="1" applyAlignment="1">
      <alignment horizontal="center" vertical="center" wrapText="1"/>
    </xf>
    <xf numFmtId="164" fontId="10" fillId="11" borderId="2" xfId="0" applyNumberFormat="1" applyFont="1" applyFill="1" applyBorder="1" applyAlignment="1">
      <alignment horizontal="center" vertical="center" wrapText="1"/>
    </xf>
    <xf numFmtId="164" fontId="10" fillId="7" borderId="2" xfId="0" applyNumberFormat="1" applyFont="1" applyFill="1" applyBorder="1" applyAlignment="1">
      <alignment horizontal="center" vertical="center" wrapText="1"/>
    </xf>
    <xf numFmtId="164" fontId="10" fillId="36" borderId="2" xfId="0" applyNumberFormat="1" applyFont="1" applyFill="1" applyBorder="1" applyAlignment="1">
      <alignment horizontal="center" vertical="center" wrapText="1"/>
    </xf>
    <xf numFmtId="164" fontId="10" fillId="67" borderId="2" xfId="0" applyNumberFormat="1" applyFont="1" applyFill="1" applyBorder="1" applyAlignment="1">
      <alignment horizontal="center" vertical="center" wrapText="1"/>
    </xf>
    <xf numFmtId="164" fontId="10" fillId="15" borderId="2" xfId="0" applyNumberFormat="1" applyFont="1" applyFill="1" applyBorder="1" applyAlignment="1">
      <alignment horizontal="center" vertical="center" wrapText="1"/>
    </xf>
    <xf numFmtId="164" fontId="11" fillId="43" borderId="2" xfId="0" applyNumberFormat="1" applyFont="1" applyFill="1" applyBorder="1" applyAlignment="1">
      <alignment horizontal="center" vertical="center" wrapText="1"/>
    </xf>
    <xf numFmtId="164" fontId="11" fillId="48" borderId="2" xfId="0" applyNumberFormat="1" applyFont="1" applyFill="1" applyBorder="1" applyAlignment="1">
      <alignment horizontal="center" vertical="center" wrapText="1"/>
    </xf>
    <xf numFmtId="164" fontId="10" fillId="54" borderId="2" xfId="0" applyNumberFormat="1" applyFont="1" applyFill="1" applyBorder="1" applyAlignment="1">
      <alignment horizontal="center" vertical="center" wrapText="1"/>
    </xf>
    <xf numFmtId="164" fontId="11" fillId="68" borderId="2" xfId="0" applyNumberFormat="1" applyFont="1" applyFill="1" applyBorder="1" applyAlignment="1">
      <alignment horizontal="center" vertical="center" wrapText="1"/>
    </xf>
    <xf numFmtId="164" fontId="11" fillId="69" borderId="2" xfId="0" applyNumberFormat="1" applyFont="1" applyFill="1" applyBorder="1" applyAlignment="1">
      <alignment horizontal="center" vertical="center" wrapText="1"/>
    </xf>
    <xf numFmtId="164" fontId="10" fillId="50" borderId="2" xfId="0" applyNumberFormat="1" applyFont="1" applyFill="1" applyBorder="1" applyAlignment="1">
      <alignment horizontal="center" vertical="center" wrapText="1"/>
    </xf>
    <xf numFmtId="164" fontId="11" fillId="25" borderId="2" xfId="0" applyNumberFormat="1" applyFont="1" applyFill="1" applyBorder="1" applyAlignment="1">
      <alignment horizontal="center" vertical="center" wrapText="1"/>
    </xf>
    <xf numFmtId="164" fontId="10" fillId="70" borderId="2" xfId="0" applyNumberFormat="1" applyFont="1" applyFill="1" applyBorder="1" applyAlignment="1">
      <alignment horizontal="center" vertical="center" wrapText="1"/>
    </xf>
    <xf numFmtId="164" fontId="10" fillId="71" borderId="2" xfId="0" applyNumberFormat="1" applyFont="1" applyFill="1" applyBorder="1" applyAlignment="1">
      <alignment horizontal="center" vertical="center" wrapText="1"/>
    </xf>
    <xf numFmtId="164" fontId="10" fillId="39" borderId="2" xfId="0" applyNumberFormat="1" applyFont="1" applyFill="1" applyBorder="1" applyAlignment="1">
      <alignment horizontal="center" vertical="center" wrapText="1"/>
    </xf>
    <xf numFmtId="164" fontId="10" fillId="38" borderId="2" xfId="0" applyNumberFormat="1" applyFont="1" applyFill="1" applyBorder="1" applyAlignment="1">
      <alignment horizontal="center" vertical="center" wrapText="1"/>
    </xf>
    <xf numFmtId="164" fontId="10" fillId="5" borderId="2" xfId="0" applyNumberFormat="1" applyFont="1" applyFill="1" applyBorder="1" applyAlignment="1">
      <alignment horizontal="center" vertical="center" wrapText="1"/>
    </xf>
    <xf numFmtId="164" fontId="10" fillId="56" borderId="2" xfId="0" applyNumberFormat="1" applyFont="1" applyFill="1" applyBorder="1" applyAlignment="1">
      <alignment horizontal="center" vertical="center" wrapText="1"/>
    </xf>
    <xf numFmtId="164" fontId="11" fillId="58" borderId="2" xfId="0" applyNumberFormat="1" applyFont="1" applyFill="1" applyBorder="1" applyAlignment="1">
      <alignment horizontal="center" vertical="center" wrapText="1"/>
    </xf>
    <xf numFmtId="164" fontId="10" fillId="60" borderId="2" xfId="0" applyNumberFormat="1" applyFont="1" applyFill="1" applyBorder="1" applyAlignment="1">
      <alignment horizontal="center" vertical="center" wrapText="1"/>
    </xf>
    <xf numFmtId="164" fontId="10" fillId="31" borderId="2" xfId="0" applyNumberFormat="1" applyFont="1" applyFill="1" applyBorder="1" applyAlignment="1">
      <alignment horizontal="center" vertical="center" wrapText="1"/>
    </xf>
    <xf numFmtId="164" fontId="10" fillId="32" borderId="2" xfId="0" applyNumberFormat="1" applyFont="1" applyFill="1" applyBorder="1" applyAlignment="1">
      <alignment horizontal="center" vertical="center" wrapText="1"/>
    </xf>
    <xf numFmtId="164" fontId="10" fillId="84" borderId="2" xfId="0" applyNumberFormat="1" applyFont="1" applyFill="1" applyBorder="1" applyAlignment="1">
      <alignment horizontal="center" vertical="center" wrapText="1"/>
    </xf>
    <xf numFmtId="164" fontId="10" fillId="85" borderId="2" xfId="0" applyNumberFormat="1" applyFont="1" applyFill="1" applyBorder="1" applyAlignment="1">
      <alignment horizontal="center" vertical="center" wrapText="1"/>
    </xf>
    <xf numFmtId="164" fontId="10" fillId="78" borderId="2" xfId="0" applyNumberFormat="1" applyFont="1" applyFill="1" applyBorder="1" applyAlignment="1">
      <alignment horizontal="center" vertical="center" wrapText="1"/>
    </xf>
    <xf numFmtId="164" fontId="11" fillId="73" borderId="2" xfId="0" applyNumberFormat="1" applyFont="1" applyFill="1" applyBorder="1" applyAlignment="1">
      <alignment horizontal="center" vertical="center" wrapText="1"/>
    </xf>
    <xf numFmtId="164" fontId="11" fillId="83" borderId="2" xfId="0" applyNumberFormat="1" applyFont="1" applyFill="1" applyBorder="1" applyAlignment="1">
      <alignment horizontal="center" vertical="center" wrapText="1"/>
    </xf>
    <xf numFmtId="164" fontId="10" fillId="86" borderId="2" xfId="0" applyNumberFormat="1" applyFont="1" applyFill="1" applyBorder="1" applyAlignment="1">
      <alignment horizontal="center" vertical="center" wrapText="1"/>
    </xf>
    <xf numFmtId="164" fontId="10" fillId="29" borderId="2" xfId="0" applyNumberFormat="1" applyFont="1" applyFill="1" applyBorder="1" applyAlignment="1">
      <alignment horizontal="center" vertical="center" wrapText="1"/>
    </xf>
    <xf numFmtId="164" fontId="11" fillId="75" borderId="2" xfId="0" applyNumberFormat="1" applyFont="1" applyFill="1" applyBorder="1" applyAlignment="1">
      <alignment horizontal="center" vertical="center" wrapText="1"/>
    </xf>
    <xf numFmtId="164" fontId="11" fillId="87" borderId="2" xfId="0" applyNumberFormat="1" applyFont="1" applyFill="1" applyBorder="1" applyAlignment="1">
      <alignment horizontal="center" vertical="center" wrapText="1"/>
    </xf>
    <xf numFmtId="164" fontId="10" fillId="77" borderId="2" xfId="0" applyNumberFormat="1" applyFont="1" applyFill="1" applyBorder="1" applyAlignment="1">
      <alignment horizontal="center" vertical="center" wrapText="1"/>
    </xf>
    <xf numFmtId="164" fontId="10" fillId="59" borderId="2" xfId="0" applyNumberFormat="1" applyFont="1" applyFill="1" applyBorder="1" applyAlignment="1">
      <alignment horizontal="center" vertical="center" wrapText="1"/>
    </xf>
    <xf numFmtId="164" fontId="10" fillId="6" borderId="2" xfId="0" applyNumberFormat="1" applyFont="1" applyFill="1" applyBorder="1" applyAlignment="1">
      <alignment horizontal="center" vertical="center" wrapText="1"/>
    </xf>
    <xf numFmtId="164" fontId="10" fillId="12" borderId="2" xfId="0" applyNumberFormat="1" applyFont="1" applyFill="1" applyBorder="1" applyAlignment="1">
      <alignment horizontal="center" vertical="center" wrapText="1"/>
    </xf>
    <xf numFmtId="164" fontId="10" fillId="88" borderId="2" xfId="0" applyNumberFormat="1" applyFont="1" applyFill="1" applyBorder="1" applyAlignment="1">
      <alignment horizontal="center" vertical="center" wrapText="1"/>
    </xf>
    <xf numFmtId="164" fontId="11" fillId="52" borderId="2" xfId="0" applyNumberFormat="1" applyFont="1" applyFill="1" applyBorder="1" applyAlignment="1">
      <alignment horizontal="center" vertical="center" wrapText="1"/>
    </xf>
    <xf numFmtId="164" fontId="10" fillId="49" borderId="2" xfId="0" applyNumberFormat="1" applyFont="1" applyFill="1" applyBorder="1" applyAlignment="1">
      <alignment horizontal="center" vertical="center" wrapText="1"/>
    </xf>
    <xf numFmtId="164" fontId="10" fillId="89" borderId="2" xfId="0" applyNumberFormat="1" applyFont="1" applyFill="1" applyBorder="1" applyAlignment="1">
      <alignment horizontal="center" vertical="center" wrapText="1"/>
    </xf>
    <xf numFmtId="164" fontId="10" fillId="30" borderId="2" xfId="0" applyNumberFormat="1" applyFont="1" applyFill="1" applyBorder="1" applyAlignment="1">
      <alignment horizontal="center" vertical="center" wrapText="1"/>
    </xf>
    <xf numFmtId="164" fontId="11" fillId="90" borderId="2" xfId="0" applyNumberFormat="1" applyFont="1" applyFill="1" applyBorder="1" applyAlignment="1">
      <alignment horizontal="center" vertical="center" wrapText="1"/>
    </xf>
    <xf numFmtId="164" fontId="10" fillId="91" borderId="2" xfId="0" applyNumberFormat="1" applyFont="1" applyFill="1" applyBorder="1" applyAlignment="1">
      <alignment horizontal="center" vertical="center" wrapText="1"/>
    </xf>
    <xf numFmtId="164" fontId="10" fillId="92" borderId="2" xfId="0" applyNumberFormat="1" applyFont="1" applyFill="1" applyBorder="1" applyAlignment="1">
      <alignment horizontal="center" vertical="center" wrapText="1"/>
    </xf>
    <xf numFmtId="164" fontId="10" fillId="93" borderId="2" xfId="0" applyNumberFormat="1" applyFont="1" applyFill="1" applyBorder="1" applyAlignment="1">
      <alignment horizontal="center" vertical="center" wrapText="1"/>
    </xf>
    <xf numFmtId="164" fontId="10" fillId="13" borderId="2" xfId="0" applyNumberFormat="1" applyFont="1" applyFill="1" applyBorder="1" applyAlignment="1">
      <alignment horizontal="center" vertical="center" wrapText="1"/>
    </xf>
    <xf numFmtId="164" fontId="10" fillId="101" borderId="2" xfId="0" applyNumberFormat="1" applyFont="1" applyFill="1" applyBorder="1" applyAlignment="1">
      <alignment horizontal="center" vertical="center" wrapText="1"/>
    </xf>
    <xf numFmtId="164" fontId="10" fillId="79" borderId="2" xfId="0" applyNumberFormat="1" applyFont="1" applyFill="1" applyBorder="1" applyAlignment="1">
      <alignment horizontal="center" vertical="center" wrapText="1"/>
    </xf>
    <xf numFmtId="164" fontId="10" fillId="46" borderId="2" xfId="0" applyNumberFormat="1" applyFont="1" applyFill="1" applyBorder="1" applyAlignment="1">
      <alignment horizontal="center" vertical="center" wrapText="1"/>
    </xf>
    <xf numFmtId="164" fontId="11" fillId="47" borderId="2" xfId="0" applyNumberFormat="1" applyFont="1" applyFill="1" applyBorder="1" applyAlignment="1">
      <alignment horizontal="center" vertical="center" wrapText="1"/>
    </xf>
    <xf numFmtId="164" fontId="11" fillId="28" borderId="2" xfId="0" applyNumberFormat="1" applyFont="1" applyFill="1" applyBorder="1" applyAlignment="1">
      <alignment horizontal="center" vertical="center" wrapText="1"/>
    </xf>
    <xf numFmtId="164" fontId="10" fillId="51" borderId="2" xfId="0" applyNumberFormat="1" applyFont="1" applyFill="1" applyBorder="1" applyAlignment="1">
      <alignment horizontal="center" vertical="center" wrapText="1"/>
    </xf>
    <xf numFmtId="164" fontId="10" fillId="72" borderId="2" xfId="0" applyNumberFormat="1" applyFont="1" applyFill="1" applyBorder="1" applyAlignment="1">
      <alignment horizontal="center" vertical="center" wrapText="1"/>
    </xf>
    <xf numFmtId="164" fontId="11" fillId="100" borderId="2" xfId="0" applyNumberFormat="1" applyFont="1" applyFill="1" applyBorder="1" applyAlignment="1">
      <alignment horizontal="center" vertical="center" wrapText="1"/>
    </xf>
    <xf numFmtId="164" fontId="11" fillId="76" borderId="2" xfId="0" applyNumberFormat="1" applyFont="1" applyFill="1" applyBorder="1" applyAlignment="1">
      <alignment horizontal="center" vertical="center" wrapText="1"/>
    </xf>
    <xf numFmtId="164" fontId="11" fillId="27" borderId="2" xfId="0" applyNumberFormat="1" applyFont="1" applyFill="1" applyBorder="1" applyAlignment="1">
      <alignment horizontal="center" vertical="center" wrapText="1"/>
    </xf>
    <xf numFmtId="164" fontId="11" fillId="107" borderId="2" xfId="0" applyNumberFormat="1" applyFont="1" applyFill="1" applyBorder="1" applyAlignment="1">
      <alignment horizontal="center" vertical="center" wrapText="1"/>
    </xf>
    <xf numFmtId="164" fontId="11" fillId="105" borderId="2" xfId="0" applyNumberFormat="1" applyFont="1" applyFill="1" applyBorder="1" applyAlignment="1">
      <alignment horizontal="center" vertical="center" wrapText="1"/>
    </xf>
    <xf numFmtId="164" fontId="11" fillId="74" borderId="2" xfId="0" applyNumberFormat="1" applyFont="1" applyFill="1" applyBorder="1" applyAlignment="1">
      <alignment horizontal="center" vertical="center" wrapText="1"/>
    </xf>
    <xf numFmtId="164" fontId="11" fillId="82" borderId="2" xfId="0" applyNumberFormat="1" applyFont="1" applyFill="1" applyBorder="1" applyAlignment="1">
      <alignment horizontal="center" vertical="center" wrapText="1"/>
    </xf>
    <xf numFmtId="164" fontId="10" fillId="21" borderId="2" xfId="0" applyNumberFormat="1" applyFont="1" applyFill="1" applyBorder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 wrapText="1"/>
    </xf>
    <xf numFmtId="164" fontId="10" fillId="97" borderId="2" xfId="0" applyNumberFormat="1" applyFont="1" applyFill="1" applyBorder="1" applyAlignment="1">
      <alignment horizontal="center" vertical="center" wrapText="1"/>
    </xf>
    <xf numFmtId="164" fontId="10" fillId="80" borderId="2" xfId="0" applyNumberFormat="1" applyFont="1" applyFill="1" applyBorder="1" applyAlignment="1">
      <alignment horizontal="center" vertical="center" wrapText="1"/>
    </xf>
    <xf numFmtId="164" fontId="10" fillId="103" borderId="2" xfId="0" applyNumberFormat="1" applyFont="1" applyFill="1" applyBorder="1" applyAlignment="1">
      <alignment horizontal="center" vertical="center" wrapText="1"/>
    </xf>
    <xf numFmtId="164" fontId="11" fillId="106" borderId="2" xfId="0" applyNumberFormat="1" applyFont="1" applyFill="1" applyBorder="1" applyAlignment="1">
      <alignment horizontal="center" vertical="center" wrapText="1"/>
    </xf>
    <xf numFmtId="164" fontId="10" fillId="99" borderId="2" xfId="0" applyNumberFormat="1" applyFont="1" applyFill="1" applyBorder="1" applyAlignment="1">
      <alignment horizontal="center" vertical="center" wrapText="1"/>
    </xf>
    <xf numFmtId="164" fontId="10" fillId="81" borderId="2" xfId="0" applyNumberFormat="1" applyFont="1" applyFill="1" applyBorder="1" applyAlignment="1">
      <alignment horizontal="center" vertical="center" wrapText="1"/>
    </xf>
    <xf numFmtId="164" fontId="10" fillId="102" borderId="2" xfId="0" applyNumberFormat="1" applyFont="1" applyFill="1" applyBorder="1" applyAlignment="1">
      <alignment horizontal="center" vertical="center" wrapText="1"/>
    </xf>
    <xf numFmtId="164" fontId="11" fillId="104" borderId="2" xfId="0" applyNumberFormat="1" applyFont="1" applyFill="1" applyBorder="1" applyAlignment="1">
      <alignment horizontal="center" vertical="center" wrapText="1"/>
    </xf>
    <xf numFmtId="164" fontId="11" fillId="94" borderId="2" xfId="0" applyNumberFormat="1" applyFont="1" applyFill="1" applyBorder="1" applyAlignment="1">
      <alignment horizontal="center" vertical="center" wrapText="1"/>
    </xf>
    <xf numFmtId="164" fontId="11" fillId="95" borderId="2" xfId="0" applyNumberFormat="1" applyFont="1" applyFill="1" applyBorder="1" applyAlignment="1">
      <alignment horizontal="center" vertical="center" wrapText="1"/>
    </xf>
    <xf numFmtId="164" fontId="10" fillId="18" borderId="2" xfId="0" applyNumberFormat="1" applyFont="1" applyFill="1" applyBorder="1" applyAlignment="1">
      <alignment horizontal="center" vertical="center" wrapText="1"/>
    </xf>
    <xf numFmtId="164" fontId="11" fillId="96" borderId="2" xfId="0" applyNumberFormat="1" applyFont="1" applyFill="1" applyBorder="1" applyAlignment="1">
      <alignment horizontal="center" vertical="center" wrapText="1"/>
    </xf>
    <xf numFmtId="164" fontId="11" fillId="98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8C9703"/>
      <color rgb="FF8E8E8E"/>
      <color rgb="FF097B9F"/>
      <color rgb="FFC75959"/>
      <color rgb="FF7F6CB4"/>
      <color rgb="FFDCED05"/>
      <color rgb="FF4185DF"/>
      <color rgb="FF1E5C56"/>
      <color rgb="FF8B257F"/>
      <color rgb="FFF2AA8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9FE1-4E82-BBA8-A7E2AF76DAC7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9FE1-4E82-BBA8-A7E2AF76DAC7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9FE1-4E82-BBA8-A7E2AF76DAC7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9FE1-4E82-BBA8-A7E2AF76DAC7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9FE1-4E82-BBA8-A7E2AF76DAC7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Brighthouse!$K$3:$K$7</c:f>
              <c:numCache>
                <c:formatCode>0.0%</c:formatCode>
                <c:ptCount val="5"/>
                <c:pt idx="0">
                  <c:v>0.10500000000000002</c:v>
                </c:pt>
                <c:pt idx="1">
                  <c:v>0.40300000000000002</c:v>
                </c:pt>
                <c:pt idx="2">
                  <c:v>0.18600000000000003</c:v>
                </c:pt>
                <c:pt idx="3">
                  <c:v>0.26400000000000001</c:v>
                </c:pt>
                <c:pt idx="4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FE1-4E82-BBA8-A7E2AF76DAC7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9FE1-4E82-BBA8-A7E2AF76DAC7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9FE1-4E82-BBA8-A7E2AF76DAC7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9FE1-4E82-BBA8-A7E2AF76DAC7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9FE1-4E82-BBA8-A7E2AF76DAC7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9FE1-4E82-BBA8-A7E2AF76DAC7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2-9FE1-4E82-BBA8-A7E2AF76DAC7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9FE1-4E82-BBA8-A7E2AF76DAC7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9FE1-4E82-BBA8-A7E2AF76DAC7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9FE1-4E82-BBA8-A7E2AF76DAC7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9FE1-4E82-BBA8-A7E2AF76DAC7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Brighthouse!$L$3:$L$7</c:f>
              <c:numCache>
                <c:formatCode>0.0%</c:formatCode>
                <c:ptCount val="5"/>
                <c:pt idx="0">
                  <c:v>6.9000000000000006E-2</c:v>
                </c:pt>
                <c:pt idx="1">
                  <c:v>0.38400000000000001</c:v>
                </c:pt>
                <c:pt idx="2">
                  <c:v>0.23699999999999999</c:v>
                </c:pt>
                <c:pt idx="3">
                  <c:v>0.309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FE1-4E82-BBA8-A7E2AF76DA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barChart>
        <c:barDir val="bar"/>
        <c:grouping val="clustered"/>
        <c:varyColors val="0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3BE-4068-9E41-7A16953CF72E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3BE-4068-9E41-7A16953CF72E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3BE-4068-9E41-7A16953CF72E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3BE-4068-9E41-7A16953CF72E}"/>
              </c:ext>
            </c:extLst>
          </c:dPt>
          <c:dPt>
            <c:idx val="4"/>
            <c:invertIfNegative val="0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3BE-4068-9E41-7A16953CF72E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Brighthouse!$K$3:$K$7</c:f>
              <c:numCache>
                <c:formatCode>0.0%</c:formatCode>
                <c:ptCount val="5"/>
                <c:pt idx="0">
                  <c:v>0.10500000000000002</c:v>
                </c:pt>
                <c:pt idx="1">
                  <c:v>0.40300000000000002</c:v>
                </c:pt>
                <c:pt idx="2">
                  <c:v>0.18600000000000003</c:v>
                </c:pt>
                <c:pt idx="3">
                  <c:v>0.26400000000000001</c:v>
                </c:pt>
                <c:pt idx="4">
                  <c:v>4.2000000000000003E-2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3BE-4068-9E41-7A16953CF72E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93BE-4068-9E41-7A16953CF72E}"/>
              </c:ext>
            </c:extLst>
          </c:dPt>
          <c:dPt>
            <c:idx val="1"/>
            <c:invertIfNegative val="0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93BE-4068-9E41-7A16953CF72E}"/>
              </c:ext>
            </c:extLst>
          </c:dPt>
          <c:dPt>
            <c:idx val="2"/>
            <c:invertIfNegative val="0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93BE-4068-9E41-7A16953CF72E}"/>
              </c:ext>
            </c:extLst>
          </c:dPt>
          <c:dPt>
            <c:idx val="3"/>
            <c:invertIfNegative val="0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93BE-4068-9E41-7A16953CF72E}"/>
              </c:ext>
            </c:extLst>
          </c:dPt>
          <c:dPt>
            <c:idx val="4"/>
            <c:invertIfNegative val="0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93BE-4068-9E41-7A16953CF72E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93BE-4068-9E41-7A16953CF72E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3BE-4068-9E41-7A16953CF72E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93BE-4068-9E41-7A16953CF72E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93BE-4068-9E41-7A16953CF72E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93BE-4068-9E41-7A16953CF72E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Brighthouse!$J$3:$J$7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Brighthouse!$L$3:$L$7</c:f>
              <c:numCache>
                <c:formatCode>0.0%</c:formatCode>
                <c:ptCount val="5"/>
                <c:pt idx="0">
                  <c:v>6.9000000000000006E-2</c:v>
                </c:pt>
                <c:pt idx="1">
                  <c:v>0.38400000000000001</c:v>
                </c:pt>
                <c:pt idx="2">
                  <c:v>0.23699999999999999</c:v>
                </c:pt>
                <c:pt idx="3">
                  <c:v>0.309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3BE-4068-9E41-7A16953CF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57822176"/>
        <c:axId val="657812096"/>
      </c:barChart>
      <c:valAx>
        <c:axId val="657812096"/>
        <c:scaling>
          <c:orientation val="minMax"/>
        </c:scaling>
        <c:delete val="0"/>
        <c:axPos val="b"/>
        <c:numFmt formatCode="0.0%" sourceLinked="1"/>
        <c:majorTickMark val="out"/>
        <c:minorTickMark val="none"/>
        <c:tickLblPos val="nextTo"/>
        <c:crossAx val="657822176"/>
        <c:crossBetween val="between"/>
      </c:valAx>
      <c:catAx>
        <c:axId val="6578221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57812096"/>
        <c:auto val="1"/>
        <c:lblAlgn val="ctr"/>
        <c:lblOffset val="100"/>
        <c:noMultiLvlLbl val="0"/>
      </c:cat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2551-417D-956B-F7CFC8CCD193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2551-417D-956B-F7CFC8CCD193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2551-417D-956B-F7CFC8CCD193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2551-417D-956B-F7CFC8CCD193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2551-417D-956B-F7CFC8CCD193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Corebridge!$J$3:$J$7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Corebridge!$K$3:$K$7</c:f>
              <c:numCache>
                <c:formatCode>0.0%</c:formatCode>
                <c:ptCount val="5"/>
                <c:pt idx="0">
                  <c:v>4.2000000000000003E-2</c:v>
                </c:pt>
                <c:pt idx="1">
                  <c:v>0.38300000000000006</c:v>
                </c:pt>
                <c:pt idx="2">
                  <c:v>0.23699999999999999</c:v>
                </c:pt>
                <c:pt idx="3">
                  <c:v>0.315</c:v>
                </c:pt>
                <c:pt idx="4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2551-417D-956B-F7CFC8CCD193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A-2551-417D-956B-F7CFC8CCD193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2551-417D-956B-F7CFC8CCD193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2551-417D-956B-F7CFC8CCD193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2551-417D-956B-F7CFC8CCD193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2551-417D-956B-F7CFC8CCD193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2551-417D-956B-F7CFC8CCD193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2551-417D-956B-F7CFC8CCD193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2551-417D-956B-F7CFC8CCD193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2551-417D-956B-F7CFC8CCD193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2551-417D-956B-F7CFC8CCD19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Corebridge!$J$3:$J$7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Corebridge!$L$3:$L$7</c:f>
              <c:numCache>
                <c:formatCode>0.0%</c:formatCode>
                <c:ptCount val="5"/>
                <c:pt idx="0">
                  <c:v>6.7000000000000004E-2</c:v>
                </c:pt>
                <c:pt idx="1">
                  <c:v>0.39899999999999997</c:v>
                </c:pt>
                <c:pt idx="2">
                  <c:v>0.22700000000000004</c:v>
                </c:pt>
                <c:pt idx="3">
                  <c:v>0.307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2551-417D-956B-F7CFC8CCD1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32B7-4F44-873F-E6542BDF53A5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32B7-4F44-873F-E6542BDF53A5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32B7-4F44-873F-E6542BDF53A5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32B7-4F44-873F-E6542BDF53A5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32B7-4F44-873F-E6542BDF53A5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Metlife!$J$3:$J$7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Metlife!$K$3:$K$7</c:f>
              <c:numCache>
                <c:formatCode>0.0%</c:formatCode>
                <c:ptCount val="5"/>
                <c:pt idx="0">
                  <c:v>0.20600000000000002</c:v>
                </c:pt>
                <c:pt idx="1">
                  <c:v>0.28300000000000003</c:v>
                </c:pt>
                <c:pt idx="2">
                  <c:v>0.17299999999999996</c:v>
                </c:pt>
                <c:pt idx="3">
                  <c:v>0.26800000000000002</c:v>
                </c:pt>
                <c:pt idx="4">
                  <c:v>6.8000000000000005E-2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32B7-4F44-873F-E6542BDF53A5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A-32B7-4F44-873F-E6542BDF53A5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32B7-4F44-873F-E6542BDF53A5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32B7-4F44-873F-E6542BDF53A5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32B7-4F44-873F-E6542BDF53A5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32B7-4F44-873F-E6542BDF53A5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32B7-4F44-873F-E6542BDF53A5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2B7-4F44-873F-E6542BDF53A5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2B7-4F44-873F-E6542BDF53A5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2B7-4F44-873F-E6542BDF53A5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2B7-4F44-873F-E6542BDF53A5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Metlife!$J$3:$J$7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Metlife!$L$3:$L$7</c:f>
              <c:numCache>
                <c:formatCode>0.0%</c:formatCode>
                <c:ptCount val="5"/>
                <c:pt idx="0">
                  <c:v>6.6000000000000003E-2</c:v>
                </c:pt>
                <c:pt idx="1">
                  <c:v>0.41100000000000003</c:v>
                </c:pt>
                <c:pt idx="2">
                  <c:v>0.21400000000000002</c:v>
                </c:pt>
                <c:pt idx="3">
                  <c:v>0.309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32B7-4F44-873F-E6542BDF53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F938-4CFB-B548-E10314F2E03F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F938-4CFB-B548-E10314F2E03F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F938-4CFB-B548-E10314F2E03F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F938-4CFB-B548-E10314F2E03F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F938-4CFB-B548-E10314F2E03F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Principal!$J$3:$J$7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Principal!$K$3:$K$7</c:f>
              <c:numCache>
                <c:formatCode>0.0%</c:formatCode>
                <c:ptCount val="5"/>
                <c:pt idx="0">
                  <c:v>0.08</c:v>
                </c:pt>
                <c:pt idx="1">
                  <c:v>0.37699999999999995</c:v>
                </c:pt>
                <c:pt idx="2">
                  <c:v>0.152</c:v>
                </c:pt>
                <c:pt idx="3">
                  <c:v>0.34200000000000003</c:v>
                </c:pt>
                <c:pt idx="4">
                  <c:v>5.0999999999999997E-2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F938-4CFB-B548-E10314F2E03F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A-F938-4CFB-B548-E10314F2E03F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F938-4CFB-B548-E10314F2E03F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F938-4CFB-B548-E10314F2E03F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F938-4CFB-B548-E10314F2E03F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F938-4CFB-B548-E10314F2E03F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F938-4CFB-B548-E10314F2E03F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938-4CFB-B548-E10314F2E03F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938-4CFB-B548-E10314F2E03F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938-4CFB-B548-E10314F2E03F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938-4CFB-B548-E10314F2E03F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Principal!$J$3:$J$7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Principal!$L$3:$L$7</c:f>
              <c:numCache>
                <c:formatCode>0.0%</c:formatCode>
                <c:ptCount val="5"/>
                <c:pt idx="0">
                  <c:v>6.3E-2</c:v>
                </c:pt>
                <c:pt idx="1">
                  <c:v>0.41299999999999998</c:v>
                </c:pt>
                <c:pt idx="2">
                  <c:v>0.21800000000000005</c:v>
                </c:pt>
                <c:pt idx="3">
                  <c:v>0.30599999999999999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938-4CFB-B548-E10314F2E0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E-F3AB-46FE-8159-FB33E3E10723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F3AB-46FE-8159-FB33E3E10723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F3AB-46FE-8159-FB33E3E10723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F3AB-46FE-8159-FB33E3E10723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F3AB-46FE-8159-FB33E3E10723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Prudential!$J$3:$J$7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Prudential!$K$3:$K$7</c:f>
              <c:numCache>
                <c:formatCode>0.0%</c:formatCode>
                <c:ptCount val="5"/>
                <c:pt idx="0">
                  <c:v>0.21100000000000002</c:v>
                </c:pt>
                <c:pt idx="1">
                  <c:v>0.317</c:v>
                </c:pt>
                <c:pt idx="2">
                  <c:v>0.08</c:v>
                </c:pt>
                <c:pt idx="3">
                  <c:v>0.36699999999999994</c:v>
                </c:pt>
                <c:pt idx="4">
                  <c:v>2.6000000000000002E-2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F3AB-46FE-8159-FB33E3E10723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A-F3AB-46FE-8159-FB33E3E10723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F3AB-46FE-8159-FB33E3E10723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F3AB-46FE-8159-FB33E3E10723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F3AB-46FE-8159-FB33E3E10723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F3AB-46FE-8159-FB33E3E10723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3A-F3AB-46FE-8159-FB33E3E10723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F3AB-46FE-8159-FB33E3E10723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F3AB-46FE-8159-FB33E3E10723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F3AB-46FE-8159-FB33E3E10723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F3AB-46FE-8159-FB33E3E1072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Prudential!$J$3:$J$7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Prudential!$L$3:$L$7</c:f>
              <c:numCache>
                <c:formatCode>0.0%</c:formatCode>
                <c:ptCount val="5"/>
                <c:pt idx="0">
                  <c:v>6.4000000000000001E-2</c:v>
                </c:pt>
                <c:pt idx="1">
                  <c:v>0.40200000000000002</c:v>
                </c:pt>
                <c:pt idx="2">
                  <c:v>0.223</c:v>
                </c:pt>
                <c:pt idx="3">
                  <c:v>0.311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F3AB-46FE-8159-FB33E3E107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69736799045097764"/>
          <c:h val="0.8760155055263750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8E8E8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C5F-4129-8681-30E9924986E9}"/>
              </c:ext>
            </c:extLst>
          </c:dPt>
          <c:dPt>
            <c:idx val="1"/>
            <c:bubble3D val="0"/>
            <c:spPr>
              <a:solidFill>
                <a:srgbClr val="2D877E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AC5F-4129-8681-30E9924986E9}"/>
              </c:ext>
            </c:extLst>
          </c:dPt>
          <c:dPt>
            <c:idx val="2"/>
            <c:bubble3D val="0"/>
            <c:spPr>
              <a:solidFill>
                <a:srgbClr val="C75959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AC5F-4129-8681-30E9924986E9}"/>
              </c:ext>
            </c:extLst>
          </c:dPt>
          <c:dPt>
            <c:idx val="3"/>
            <c:bubble3D val="0"/>
            <c:spPr>
              <a:solidFill>
                <a:srgbClr val="097B9F">
                  <a:alpha val="50000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AC5F-4129-8681-30E9924986E9}"/>
              </c:ext>
            </c:extLst>
          </c:dPt>
          <c:dPt>
            <c:idx val="4"/>
            <c:bubble3D val="0"/>
            <c:spPr>
              <a:solidFill>
                <a:srgbClr val="8C9703">
                  <a:alpha val="49804"/>
                </a:srgb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AC5F-4129-8681-30E9924986E9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Voya!$J$3:$J$7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Voya!$K$3:$K$7</c:f>
              <c:numCache>
                <c:formatCode>0.0%</c:formatCode>
                <c:ptCount val="5"/>
                <c:pt idx="0">
                  <c:v>6.4000000000000001E-2</c:v>
                </c:pt>
                <c:pt idx="1">
                  <c:v>0.26700000000000002</c:v>
                </c:pt>
                <c:pt idx="2">
                  <c:v>0.25900000000000001</c:v>
                </c:pt>
                <c:pt idx="3">
                  <c:v>0.36700000000000005</c:v>
                </c:pt>
                <c:pt idx="4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C5F-4129-8681-30E9924986E9}"/>
            </c:ext>
          </c:extLst>
        </c:ser>
        <c:ser>
          <c:idx val="1"/>
          <c:order val="1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8E8E8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AC5F-4129-8681-30E9924986E9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AC5F-4129-8681-30E9924986E9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AC5F-4129-8681-30E9924986E9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AC5F-4129-8681-30E9924986E9}"/>
              </c:ext>
            </c:extLst>
          </c:dPt>
          <c:dPt>
            <c:idx val="4"/>
            <c:bubble3D val="0"/>
            <c:spPr>
              <a:solidFill>
                <a:srgbClr val="DCED05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AC5F-4129-8681-30E9924986E9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22-AC5F-4129-8681-30E9924986E9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AC5F-4129-8681-30E9924986E9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AC5F-4129-8681-30E9924986E9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AC5F-4129-8681-30E9924986E9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AC5F-4129-8681-30E9924986E9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Voya!$J$3:$J$7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Voya!$L$3:$L$7</c:f>
              <c:numCache>
                <c:formatCode>0.0%</c:formatCode>
                <c:ptCount val="5"/>
                <c:pt idx="0">
                  <c:v>6.2E-2</c:v>
                </c:pt>
                <c:pt idx="1">
                  <c:v>0.41100000000000003</c:v>
                </c:pt>
                <c:pt idx="2">
                  <c:v>0.22</c:v>
                </c:pt>
                <c:pt idx="3">
                  <c:v>0.30599999999999999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C5F-4129-8681-30E9924986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3329764827157"/>
          <c:y val="7.1812154304047124E-2"/>
          <c:w val="0.50413148084750281"/>
          <c:h val="0.50413148084750281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rgbClr val="8E8E8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4045-4FC8-8D45-C1E2D814EF60}"/>
              </c:ext>
            </c:extLst>
          </c:dPt>
          <c:dPt>
            <c:idx val="1"/>
            <c:bubble3D val="0"/>
            <c:spPr>
              <a:solidFill>
                <a:srgbClr val="2D877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4045-4FC8-8D45-C1E2D814EF60}"/>
              </c:ext>
            </c:extLst>
          </c:dPt>
          <c:dPt>
            <c:idx val="2"/>
            <c:bubble3D val="0"/>
            <c:spPr>
              <a:solidFill>
                <a:srgbClr val="C7595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045-4FC8-8D45-C1E2D814EF60}"/>
              </c:ext>
            </c:extLst>
          </c:dPt>
          <c:dPt>
            <c:idx val="3"/>
            <c:bubble3D val="0"/>
            <c:spPr>
              <a:solidFill>
                <a:srgbClr val="097B9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045-4FC8-8D45-C1E2D814EF60}"/>
              </c:ext>
            </c:extLst>
          </c:dPt>
          <c:dPt>
            <c:idx val="4"/>
            <c:bubble3D val="0"/>
            <c:spPr>
              <a:solidFill>
                <a:srgbClr val="8C970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4045-4FC8-8D45-C1E2D814EF60}"/>
              </c:ext>
            </c:extLst>
          </c:dPt>
          <c:dLbls>
            <c:dLbl>
              <c:idx val="0"/>
              <c:layout>
                <c:manualLayout>
                  <c:x val="6.48501418052429E-2"/>
                  <c:y val="-9.25000000000000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62918815071663"/>
                      <c:h val="0.15307519685039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4045-4FC8-8D45-C1E2D814EF60}"/>
                </c:ext>
              </c:extLst>
            </c:dLbl>
            <c:dLbl>
              <c:idx val="1"/>
              <c:layout>
                <c:manualLayout>
                  <c:x val="0.11825614093897238"/>
                  <c:y val="-5.0000000000000001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045-4FC8-8D45-C1E2D814EF60}"/>
                </c:ext>
              </c:extLst>
            </c:dLbl>
            <c:dLbl>
              <c:idx val="2"/>
              <c:layout>
                <c:manualLayout>
                  <c:x val="-8.7738427148269835E-2"/>
                  <c:y val="8.500000000000000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4045-4FC8-8D45-C1E2D814EF60}"/>
                </c:ext>
              </c:extLst>
            </c:dLbl>
            <c:dLbl>
              <c:idx val="3"/>
              <c:layout>
                <c:manualLayout>
                  <c:x val="-0.11062671249129674"/>
                  <c:y val="-5.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4045-4FC8-8D45-C1E2D814EF60}"/>
                </c:ext>
              </c:extLst>
            </c:dLbl>
            <c:dLbl>
              <c:idx val="4"/>
              <c:layout>
                <c:manualLayout>
                  <c:x val="-6.8664856029080734E-2"/>
                  <c:y val="-0.0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4045-4FC8-8D45-C1E2D814EF60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Voya!$J$3:$J$7</c:f>
              <c:strCache>
                <c:ptCount val="5"/>
                <c:pt idx="0">
                  <c:v>Government</c:v>
                </c:pt>
                <c:pt idx="1">
                  <c:v>Public Corporates</c:v>
                </c:pt>
                <c:pt idx="2">
                  <c:v>Structured</c:v>
                </c:pt>
                <c:pt idx="3">
                  <c:v>Private Credit</c:v>
                </c:pt>
                <c:pt idx="4">
                  <c:v>PE and RE</c:v>
                </c:pt>
              </c:strCache>
            </c:strRef>
          </c:cat>
          <c:val>
            <c:numRef>
              <c:f>Voya!$L$3:$L$7</c:f>
              <c:numCache>
                <c:formatCode>0.0%</c:formatCode>
                <c:ptCount val="5"/>
                <c:pt idx="0">
                  <c:v>6.2E-2</c:v>
                </c:pt>
                <c:pt idx="1">
                  <c:v>0.41100000000000003</c:v>
                </c:pt>
                <c:pt idx="2">
                  <c:v>0.22</c:v>
                </c:pt>
                <c:pt idx="3">
                  <c:v>0.30599999999999999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4045-4FC8-8D45-C1E2D814EF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53"/>
      </c:doughnutChart>
    </c:plotArea>
    <c:legend>
      <c:legendPos val="b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7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269558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3DBBE3-9A92-42D2-8895-1190C0C352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16</xdr:row>
      <xdr:rowOff>0</xdr:rowOff>
    </xdr:from>
    <xdr:to>
      <xdr:col>16</xdr:col>
      <xdr:colOff>269558</xdr:colOff>
      <xdr:row>27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F43F51-4FE7-409A-B1FA-861CF684CF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Brighthouse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269558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599E84-06CD-4431-92AA-088C0F42C5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679308" y="969559"/>
          <a:ext cx="789595" cy="18686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Corebridge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269558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D89A7CE-2186-4DAA-A0AF-A9F896BD5C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Metlife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269558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DB81E7-E5EB-4F72-8F1B-2A0A565A8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Principal</a:t>
          </a:r>
        </a:p>
      </cdr:txBody>
    </cdr:sp>
  </cdr:relSizeAnchor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Voya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269558</xdr:colOff>
      <xdr:row>13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21B6613-D03F-4089-A8E4-597F33DC0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Prudential</a:t>
          </a:r>
        </a:p>
      </cdr:txBody>
    </cdr:sp>
  </cdr:relSizeAnchor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Voya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16</xdr:col>
      <xdr:colOff>279930</xdr:colOff>
      <xdr:row>13</xdr:row>
      <xdr:rowOff>71837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DDF881-2A47-47ED-8FFF-31C5F1CC0E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-1</xdr:colOff>
      <xdr:row>19</xdr:row>
      <xdr:rowOff>0</xdr:rowOff>
    </xdr:from>
    <xdr:to>
      <xdr:col>23</xdr:col>
      <xdr:colOff>603250</xdr:colOff>
      <xdr:row>31</xdr:row>
      <xdr:rowOff>174308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BDF977-E55C-4E9D-A246-F5FC6B7BE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Voya</a:t>
          </a: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0.323</cdr:x>
      <cdr:y>0.46101</cdr:y>
    </cdr:from>
    <cdr:to>
      <cdr:x>0.69844</cdr:x>
      <cdr:y>0.54986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2ED30350-93E2-378D-3F94-22B0F966868F}"/>
            </a:ext>
          </a:extLst>
        </cdr:cNvPr>
        <cdr:cNvSpPr txBox="1"/>
      </cdr:nvSpPr>
      <cdr:spPr>
        <a:xfrm xmlns:a="http://schemas.openxmlformats.org/drawingml/2006/main">
          <a:off x="937631" y="1065346"/>
          <a:ext cx="1089871" cy="2053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en-US" sz="9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Voya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8142-ED9F-4DA8-8FF9-B6A0703DEE18}">
  <dimension ref="B2:L31"/>
  <sheetViews>
    <sheetView tabSelected="1" zoomScale="80" zoomScaleNormal="80" workbookViewId="0">
      <selection activeCell="K16" sqref="K16"/>
    </sheetView>
  </sheetViews>
  <sheetFormatPr defaultRowHeight="14.5" x14ac:dyDescent="0.35"/>
  <cols>
    <col min="2" max="2" width="33.54296875" bestFit="1" customWidth="1"/>
    <col min="3" max="8" width="9.6328125" customWidth="1"/>
    <col min="9" max="9" width="7.6328125" customWidth="1"/>
    <col min="10" max="10" width="15.81640625" bestFit="1" customWidth="1"/>
  </cols>
  <sheetData>
    <row r="2" spans="2:12" ht="13.5" customHeight="1" x14ac:dyDescent="0.35">
      <c r="B2" s="6" t="s">
        <v>36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1"/>
      <c r="J2" s="1"/>
    </row>
    <row r="3" spans="2:12" ht="12.5" customHeight="1" x14ac:dyDescent="0.35">
      <c r="B3" s="7" t="s">
        <v>6</v>
      </c>
      <c r="C3" s="12">
        <v>4.6500000000000004</v>
      </c>
      <c r="D3" s="12">
        <v>4.59</v>
      </c>
      <c r="E3" s="12">
        <v>4.72</v>
      </c>
      <c r="F3" s="12">
        <v>4.8</v>
      </c>
      <c r="G3" s="12">
        <v>4.84</v>
      </c>
      <c r="H3" s="12">
        <v>4.7</v>
      </c>
      <c r="I3" s="2"/>
      <c r="J3" s="118" t="s">
        <v>37</v>
      </c>
      <c r="K3" s="119">
        <f>SUM(C10:C13)/100</f>
        <v>0.10500000000000002</v>
      </c>
      <c r="L3" s="119">
        <f>SUM(H10:H13)/100</f>
        <v>6.9000000000000006E-2</v>
      </c>
    </row>
    <row r="4" spans="2:12" ht="12.5" customHeight="1" x14ac:dyDescent="0.35">
      <c r="B4" s="7" t="s">
        <v>7</v>
      </c>
      <c r="C4" s="12">
        <v>3.68</v>
      </c>
      <c r="D4" s="12">
        <v>2.74</v>
      </c>
      <c r="E4" s="12">
        <v>3</v>
      </c>
      <c r="F4" s="12">
        <v>3.25</v>
      </c>
      <c r="G4" s="12">
        <v>3.49</v>
      </c>
      <c r="H4" s="12">
        <v>2.95</v>
      </c>
      <c r="I4" s="2"/>
      <c r="J4" s="118" t="s">
        <v>38</v>
      </c>
      <c r="K4" s="119">
        <f>SUM(C14:C20)/100</f>
        <v>0.40300000000000002</v>
      </c>
      <c r="L4" s="119">
        <f>SUM(H14:H20)/100</f>
        <v>0.38400000000000001</v>
      </c>
    </row>
    <row r="5" spans="2:12" ht="12.5" customHeight="1" x14ac:dyDescent="0.35">
      <c r="B5" s="7" t="s">
        <v>8</v>
      </c>
      <c r="C5" s="12">
        <v>0.18</v>
      </c>
      <c r="D5" s="12">
        <v>0.22</v>
      </c>
      <c r="E5" s="12">
        <v>0.24</v>
      </c>
      <c r="F5" s="12">
        <v>0.25</v>
      </c>
      <c r="G5" s="12">
        <v>0.24</v>
      </c>
      <c r="H5" s="12">
        <v>0.24</v>
      </c>
      <c r="I5" s="2"/>
      <c r="J5" s="118" t="s">
        <v>39</v>
      </c>
      <c r="K5" s="119">
        <f>SUM(C21:C23)/100</f>
        <v>0.18600000000000003</v>
      </c>
      <c r="L5" s="119">
        <f>SUM(H21:H23)/100</f>
        <v>0.23699999999999999</v>
      </c>
    </row>
    <row r="6" spans="2:12" ht="12.5" customHeight="1" x14ac:dyDescent="0.35">
      <c r="B6" s="7" t="s">
        <v>9</v>
      </c>
      <c r="C6" s="12" t="s">
        <v>10</v>
      </c>
      <c r="D6" s="12" t="s">
        <v>10</v>
      </c>
      <c r="E6" s="12" t="s">
        <v>10</v>
      </c>
      <c r="F6" s="12" t="s">
        <v>10</v>
      </c>
      <c r="G6" s="12" t="s">
        <v>10</v>
      </c>
      <c r="H6" s="12" t="s">
        <v>10</v>
      </c>
      <c r="I6" s="2"/>
      <c r="J6" s="118" t="s">
        <v>40</v>
      </c>
      <c r="K6" s="119">
        <f>SUM(C24:C28)/100</f>
        <v>0.26400000000000001</v>
      </c>
      <c r="L6" s="119">
        <f>SUM(H24:H28)/100</f>
        <v>0.309</v>
      </c>
    </row>
    <row r="7" spans="2:12" ht="12.5" customHeight="1" x14ac:dyDescent="0.35">
      <c r="B7" s="7" t="s">
        <v>12</v>
      </c>
      <c r="C7" s="12">
        <v>6.2</v>
      </c>
      <c r="D7" s="12">
        <v>6.35</v>
      </c>
      <c r="E7" s="12">
        <v>6.34</v>
      </c>
      <c r="F7" s="12">
        <v>6.35</v>
      </c>
      <c r="G7" s="12">
        <v>6.35</v>
      </c>
      <c r="H7" s="12">
        <v>6.34</v>
      </c>
      <c r="I7" s="2"/>
      <c r="J7" s="118" t="s">
        <v>41</v>
      </c>
      <c r="K7" s="119">
        <f>SUM(C29:C30)/100</f>
        <v>4.2000000000000003E-2</v>
      </c>
      <c r="L7" s="119">
        <f>SUM(H29:H30)/100</f>
        <v>0</v>
      </c>
    </row>
    <row r="8" spans="2:12" ht="12.5" customHeight="1" x14ac:dyDescent="0.35">
      <c r="B8" s="7" t="s">
        <v>13</v>
      </c>
      <c r="C8" s="12">
        <v>0.84</v>
      </c>
      <c r="D8" s="12">
        <v>0.99</v>
      </c>
      <c r="E8" s="12">
        <v>0.99</v>
      </c>
      <c r="F8" s="12">
        <v>1</v>
      </c>
      <c r="G8" s="12">
        <v>1</v>
      </c>
      <c r="H8" s="12">
        <v>0.99</v>
      </c>
      <c r="I8" s="2"/>
      <c r="J8" s="2"/>
    </row>
    <row r="9" spans="2:12" ht="12.5" customHeight="1" x14ac:dyDescent="0.35">
      <c r="B9" s="7" t="s">
        <v>14</v>
      </c>
      <c r="C9" s="12">
        <v>1.92</v>
      </c>
      <c r="D9" s="12">
        <v>0.6</v>
      </c>
      <c r="E9" s="12">
        <v>0.76</v>
      </c>
      <c r="F9" s="12">
        <v>0.83</v>
      </c>
      <c r="G9" s="12">
        <v>0.85</v>
      </c>
      <c r="H9" s="12">
        <v>0.74</v>
      </c>
      <c r="I9" s="2"/>
      <c r="J9" s="2"/>
    </row>
    <row r="10" spans="2:12" ht="12.5" customHeight="1" x14ac:dyDescent="0.35">
      <c r="B10" s="7" t="s">
        <v>15</v>
      </c>
      <c r="C10" s="13">
        <v>3.7</v>
      </c>
      <c r="D10" s="14">
        <v>9.9</v>
      </c>
      <c r="E10" s="15">
        <v>6.7</v>
      </c>
      <c r="F10" s="16">
        <v>6.1</v>
      </c>
      <c r="G10" s="17">
        <v>4.8</v>
      </c>
      <c r="H10" s="15">
        <v>6.7</v>
      </c>
      <c r="I10" s="3"/>
      <c r="J10" s="3"/>
    </row>
    <row r="11" spans="2:12" ht="12.5" customHeight="1" x14ac:dyDescent="0.35">
      <c r="B11" s="7" t="s">
        <v>16</v>
      </c>
      <c r="C11" s="18">
        <v>2.6</v>
      </c>
      <c r="D11" s="19">
        <v>0</v>
      </c>
      <c r="E11" s="20">
        <v>0.3</v>
      </c>
      <c r="F11" s="21">
        <v>1.1000000000000001</v>
      </c>
      <c r="G11" s="22">
        <v>1.9</v>
      </c>
      <c r="H11" s="23">
        <v>0.2</v>
      </c>
      <c r="I11" s="4"/>
      <c r="J11" s="3"/>
    </row>
    <row r="12" spans="2:12" ht="12.5" customHeight="1" x14ac:dyDescent="0.35">
      <c r="B12" s="7" t="s">
        <v>17</v>
      </c>
      <c r="C12" s="24">
        <v>3.3</v>
      </c>
      <c r="D12" s="25">
        <v>1.2</v>
      </c>
      <c r="E12" s="19">
        <v>0</v>
      </c>
      <c r="F12" s="19">
        <v>0</v>
      </c>
      <c r="G12" s="19">
        <v>0</v>
      </c>
      <c r="H12" s="19">
        <v>0</v>
      </c>
      <c r="I12" s="3"/>
      <c r="J12" s="3"/>
    </row>
    <row r="13" spans="2:12" ht="12.5" customHeight="1" x14ac:dyDescent="0.35">
      <c r="B13" s="7" t="s">
        <v>18</v>
      </c>
      <c r="C13" s="26">
        <v>0.9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3"/>
      <c r="J13" s="3"/>
    </row>
    <row r="14" spans="2:12" ht="12.5" customHeight="1" x14ac:dyDescent="0.35">
      <c r="B14" s="7" t="s">
        <v>19</v>
      </c>
      <c r="C14" s="27">
        <v>3.2</v>
      </c>
      <c r="D14" s="28">
        <v>10</v>
      </c>
      <c r="E14" s="28">
        <v>10</v>
      </c>
      <c r="F14" s="29">
        <v>9.6999999999999993</v>
      </c>
      <c r="G14" s="30">
        <v>9.3000000000000007</v>
      </c>
      <c r="H14" s="28">
        <v>10</v>
      </c>
      <c r="I14" s="4"/>
      <c r="J14" s="4"/>
    </row>
    <row r="15" spans="2:12" ht="12.5" customHeight="1" x14ac:dyDescent="0.35">
      <c r="B15" s="7" t="s">
        <v>20</v>
      </c>
      <c r="C15" s="31">
        <v>6.4</v>
      </c>
      <c r="D15" s="14">
        <v>9.9</v>
      </c>
      <c r="E15" s="32">
        <v>6.5</v>
      </c>
      <c r="F15" s="33">
        <v>5.4</v>
      </c>
      <c r="G15" s="34">
        <v>3.9</v>
      </c>
      <c r="H15" s="35">
        <v>7</v>
      </c>
      <c r="I15" s="3"/>
      <c r="J15" s="3"/>
    </row>
    <row r="16" spans="2:12" ht="12.5" customHeight="1" x14ac:dyDescent="0.35">
      <c r="B16" s="7" t="s">
        <v>21</v>
      </c>
      <c r="C16" s="36">
        <v>9.6</v>
      </c>
      <c r="D16" s="29">
        <v>9.6999999999999993</v>
      </c>
      <c r="E16" s="30">
        <v>9.3000000000000007</v>
      </c>
      <c r="F16" s="37">
        <v>9.4</v>
      </c>
      <c r="G16" s="38">
        <v>9.1</v>
      </c>
      <c r="H16" s="39">
        <v>9.1999999999999993</v>
      </c>
      <c r="I16" s="4"/>
      <c r="J16" s="4"/>
    </row>
    <row r="17" spans="2:10" ht="12.5" customHeight="1" x14ac:dyDescent="0.35">
      <c r="B17" s="7" t="s">
        <v>22</v>
      </c>
      <c r="C17" s="39">
        <v>9.1999999999999993</v>
      </c>
      <c r="D17" s="40">
        <v>0.1</v>
      </c>
      <c r="E17" s="41">
        <v>1.8</v>
      </c>
      <c r="F17" s="42">
        <v>2.2999999999999998</v>
      </c>
      <c r="G17" s="43">
        <v>2.4</v>
      </c>
      <c r="H17" s="41">
        <v>1.8</v>
      </c>
      <c r="I17" s="3"/>
      <c r="J17" s="3"/>
    </row>
    <row r="18" spans="2:10" ht="12.5" customHeight="1" x14ac:dyDescent="0.35">
      <c r="B18" s="7" t="s">
        <v>23</v>
      </c>
      <c r="C18" s="44">
        <v>0.5</v>
      </c>
      <c r="D18" s="19">
        <v>0</v>
      </c>
      <c r="E18" s="45">
        <v>0.8</v>
      </c>
      <c r="F18" s="21">
        <v>1.1000000000000001</v>
      </c>
      <c r="G18" s="25">
        <v>1.2</v>
      </c>
      <c r="H18" s="46">
        <v>0.7</v>
      </c>
      <c r="I18" s="3"/>
      <c r="J18" s="3"/>
    </row>
    <row r="19" spans="2:10" ht="12.5" customHeight="1" x14ac:dyDescent="0.35">
      <c r="B19" s="7" t="s">
        <v>24</v>
      </c>
      <c r="C19" s="20">
        <v>0.3</v>
      </c>
      <c r="D19" s="19">
        <v>0</v>
      </c>
      <c r="E19" s="47">
        <v>2.1</v>
      </c>
      <c r="F19" s="27">
        <v>3.2</v>
      </c>
      <c r="G19" s="24">
        <v>3.3</v>
      </c>
      <c r="H19" s="48">
        <v>1.7</v>
      </c>
      <c r="I19" s="3"/>
      <c r="J19" s="3"/>
    </row>
    <row r="20" spans="2:10" ht="12.5" customHeight="1" x14ac:dyDescent="0.35">
      <c r="B20" s="7" t="s">
        <v>25</v>
      </c>
      <c r="C20" s="49">
        <v>11.1</v>
      </c>
      <c r="D20" s="28">
        <v>10</v>
      </c>
      <c r="E20" s="50">
        <v>7.4</v>
      </c>
      <c r="F20" s="43">
        <v>2.4</v>
      </c>
      <c r="G20" s="51">
        <v>0.6</v>
      </c>
      <c r="H20" s="52">
        <v>8</v>
      </c>
      <c r="I20" s="3"/>
      <c r="J20" s="4"/>
    </row>
    <row r="21" spans="2:10" ht="12.5" customHeight="1" x14ac:dyDescent="0.35">
      <c r="B21" s="7" t="s">
        <v>26</v>
      </c>
      <c r="C21" s="50">
        <v>7.4</v>
      </c>
      <c r="D21" s="53">
        <v>8.4</v>
      </c>
      <c r="E21" s="28">
        <v>10</v>
      </c>
      <c r="F21" s="28">
        <v>10</v>
      </c>
      <c r="G21" s="28">
        <v>10</v>
      </c>
      <c r="H21" s="28">
        <v>10</v>
      </c>
      <c r="I21" s="4"/>
      <c r="J21" s="4"/>
    </row>
    <row r="22" spans="2:10" ht="12.5" customHeight="1" x14ac:dyDescent="0.35">
      <c r="B22" s="7" t="s">
        <v>27</v>
      </c>
      <c r="C22" s="54">
        <v>5.8</v>
      </c>
      <c r="D22" s="55">
        <v>9.8000000000000007</v>
      </c>
      <c r="E22" s="37">
        <v>9.4</v>
      </c>
      <c r="F22" s="36">
        <v>9.6</v>
      </c>
      <c r="G22" s="30">
        <v>9.3000000000000007</v>
      </c>
      <c r="H22" s="37">
        <v>9.4</v>
      </c>
      <c r="I22" s="4"/>
      <c r="J22" s="4"/>
    </row>
    <row r="23" spans="2:10" ht="12.5" customHeight="1" x14ac:dyDescent="0.35">
      <c r="B23" s="7" t="s">
        <v>28</v>
      </c>
      <c r="C23" s="33">
        <v>5.4</v>
      </c>
      <c r="D23" s="51">
        <v>0.6</v>
      </c>
      <c r="E23" s="56">
        <v>4.7</v>
      </c>
      <c r="F23" s="35">
        <v>7</v>
      </c>
      <c r="G23" s="57">
        <v>7.1</v>
      </c>
      <c r="H23" s="58">
        <v>4.3</v>
      </c>
      <c r="I23" s="3"/>
      <c r="J23" s="3"/>
    </row>
    <row r="24" spans="2:10" ht="12.5" customHeight="1" x14ac:dyDescent="0.35">
      <c r="B24" s="7" t="s">
        <v>29</v>
      </c>
      <c r="C24" s="59">
        <v>4.0999999999999996</v>
      </c>
      <c r="D24" s="28">
        <v>10</v>
      </c>
      <c r="E24" s="28">
        <v>10</v>
      </c>
      <c r="F24" s="28">
        <v>10</v>
      </c>
      <c r="G24" s="28">
        <v>10</v>
      </c>
      <c r="H24" s="28">
        <v>10</v>
      </c>
      <c r="I24" s="4"/>
      <c r="J24" s="4"/>
    </row>
    <row r="25" spans="2:10" ht="12.5" customHeight="1" x14ac:dyDescent="0.35">
      <c r="B25" s="7" t="s">
        <v>30</v>
      </c>
      <c r="C25" s="60">
        <v>2</v>
      </c>
      <c r="D25" s="28">
        <v>10</v>
      </c>
      <c r="E25" s="28">
        <v>10</v>
      </c>
      <c r="F25" s="28">
        <v>10</v>
      </c>
      <c r="G25" s="28">
        <v>10</v>
      </c>
      <c r="H25" s="28">
        <v>10</v>
      </c>
      <c r="I25" s="4"/>
      <c r="J25" s="4"/>
    </row>
    <row r="26" spans="2:10" ht="12.5" customHeight="1" x14ac:dyDescent="0.35">
      <c r="B26" s="7" t="s">
        <v>31</v>
      </c>
      <c r="C26" s="23">
        <v>0.2</v>
      </c>
      <c r="D26" s="40">
        <v>0.1</v>
      </c>
      <c r="E26" s="51">
        <v>0.6</v>
      </c>
      <c r="F26" s="61">
        <v>0.4</v>
      </c>
      <c r="G26" s="61">
        <v>0.4</v>
      </c>
      <c r="H26" s="51">
        <v>0.6</v>
      </c>
      <c r="I26" s="3"/>
      <c r="J26" s="3"/>
    </row>
    <row r="27" spans="2:10" ht="12.5" customHeight="1" x14ac:dyDescent="0.35">
      <c r="B27" s="7" t="s">
        <v>32</v>
      </c>
      <c r="C27" s="15">
        <v>6.7</v>
      </c>
      <c r="D27" s="28">
        <v>10</v>
      </c>
      <c r="E27" s="28">
        <v>10</v>
      </c>
      <c r="F27" s="28">
        <v>10</v>
      </c>
      <c r="G27" s="28">
        <v>10</v>
      </c>
      <c r="H27" s="28">
        <v>10</v>
      </c>
      <c r="I27" s="4"/>
      <c r="J27" s="4"/>
    </row>
    <row r="28" spans="2:10" ht="12.5" customHeight="1" x14ac:dyDescent="0.35">
      <c r="B28" s="7" t="s">
        <v>33</v>
      </c>
      <c r="C28" s="62">
        <v>13.4</v>
      </c>
      <c r="D28" s="19">
        <v>0</v>
      </c>
      <c r="E28" s="61">
        <v>0.4</v>
      </c>
      <c r="F28" s="42">
        <v>2.2999999999999998</v>
      </c>
      <c r="G28" s="15">
        <v>6.7</v>
      </c>
      <c r="H28" s="20">
        <v>0.3</v>
      </c>
      <c r="I28" s="3"/>
      <c r="J28" s="3"/>
    </row>
    <row r="29" spans="2:10" ht="12.5" customHeight="1" x14ac:dyDescent="0.35">
      <c r="B29" s="7" t="s">
        <v>34</v>
      </c>
      <c r="C29" s="63">
        <v>3.6</v>
      </c>
      <c r="D29" s="23">
        <v>0.2</v>
      </c>
      <c r="E29" s="19">
        <v>0</v>
      </c>
      <c r="F29" s="40">
        <v>0.1</v>
      </c>
      <c r="G29" s="19">
        <v>0</v>
      </c>
      <c r="H29" s="19">
        <v>0</v>
      </c>
      <c r="I29" s="3"/>
      <c r="J29" s="3"/>
    </row>
    <row r="30" spans="2:10" ht="12.5" customHeight="1" x14ac:dyDescent="0.35">
      <c r="B30" s="7" t="s">
        <v>35</v>
      </c>
      <c r="C30" s="51">
        <v>0.6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3"/>
      <c r="J30" s="3"/>
    </row>
    <row r="31" spans="2:10" x14ac:dyDescent="0.35">
      <c r="C31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BDAD0-2DB4-4136-9EB8-09DE02373BCB}">
  <dimension ref="B2:O31"/>
  <sheetViews>
    <sheetView topLeftCell="B1" zoomScale="80" zoomScaleNormal="80" workbookViewId="0">
      <selection activeCell="L21" sqref="L21"/>
    </sheetView>
  </sheetViews>
  <sheetFormatPr defaultRowHeight="14.5" x14ac:dyDescent="0.35"/>
  <cols>
    <col min="2" max="2" width="33.54296875" customWidth="1"/>
    <col min="3" max="8" width="9.6328125" customWidth="1"/>
    <col min="9" max="9" width="7.6328125" customWidth="1"/>
    <col min="10" max="10" width="15.81640625" bestFit="1" customWidth="1"/>
  </cols>
  <sheetData>
    <row r="2" spans="2:15" ht="13.5" customHeight="1" x14ac:dyDescent="0.35">
      <c r="B2" s="6" t="s">
        <v>36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1"/>
      <c r="J2" s="1"/>
    </row>
    <row r="3" spans="2:15" ht="12.5" customHeight="1" x14ac:dyDescent="0.35">
      <c r="B3" s="7" t="s">
        <v>6</v>
      </c>
      <c r="C3" s="12">
        <v>4.78</v>
      </c>
      <c r="D3" s="12">
        <v>4.5599999999999996</v>
      </c>
      <c r="E3" s="12">
        <v>4.7</v>
      </c>
      <c r="F3" s="12">
        <v>4.78</v>
      </c>
      <c r="G3" s="12">
        <v>4.83</v>
      </c>
      <c r="H3" s="12">
        <v>4.7300000000000004</v>
      </c>
      <c r="I3" s="2"/>
      <c r="J3" s="118" t="s">
        <v>37</v>
      </c>
      <c r="K3" s="119">
        <f>SUM(C10:C13)/100</f>
        <v>4.2000000000000003E-2</v>
      </c>
      <c r="L3" s="119">
        <f>SUM(H10:H13)/100</f>
        <v>6.7000000000000004E-2</v>
      </c>
      <c r="M3" s="9"/>
      <c r="N3" s="9"/>
      <c r="O3" s="9"/>
    </row>
    <row r="4" spans="2:15" ht="12.5" customHeight="1" x14ac:dyDescent="0.35">
      <c r="B4" s="7" t="s">
        <v>7</v>
      </c>
      <c r="C4" s="12">
        <v>4.12</v>
      </c>
      <c r="D4" s="12">
        <v>2.72</v>
      </c>
      <c r="E4" s="12">
        <v>2.93</v>
      </c>
      <c r="F4" s="12">
        <v>3.14</v>
      </c>
      <c r="G4" s="12">
        <v>3.36</v>
      </c>
      <c r="H4" s="12">
        <v>2.98</v>
      </c>
      <c r="I4" s="2"/>
      <c r="J4" s="118" t="s">
        <v>38</v>
      </c>
      <c r="K4" s="119">
        <f>SUM(C14:C20)/100</f>
        <v>0.38300000000000006</v>
      </c>
      <c r="L4" s="119">
        <f>SUM(H14:H20)/100</f>
        <v>0.39899999999999997</v>
      </c>
      <c r="M4" s="9"/>
      <c r="N4" s="9"/>
      <c r="O4" s="9"/>
    </row>
    <row r="5" spans="2:15" ht="12.5" customHeight="1" x14ac:dyDescent="0.35">
      <c r="B5" s="7" t="s">
        <v>8</v>
      </c>
      <c r="C5" s="12">
        <v>0.19</v>
      </c>
      <c r="D5" s="12">
        <v>0.21</v>
      </c>
      <c r="E5" s="12">
        <v>0.24</v>
      </c>
      <c r="F5" s="12">
        <v>0.25</v>
      </c>
      <c r="G5" s="12">
        <v>0.25</v>
      </c>
      <c r="H5" s="12">
        <v>0.24</v>
      </c>
      <c r="I5" s="2"/>
      <c r="J5" s="118" t="s">
        <v>39</v>
      </c>
      <c r="K5" s="119">
        <f>SUM(C21:C23)/100</f>
        <v>0.23699999999999999</v>
      </c>
      <c r="L5" s="119">
        <f>SUM(H21:H23)/100</f>
        <v>0.22700000000000004</v>
      </c>
      <c r="M5" s="9"/>
      <c r="N5" s="9"/>
      <c r="O5" s="9"/>
    </row>
    <row r="6" spans="2:15" ht="12.5" customHeight="1" x14ac:dyDescent="0.35">
      <c r="B6" s="7" t="s">
        <v>9</v>
      </c>
      <c r="C6" s="12" t="s">
        <v>11</v>
      </c>
      <c r="D6" s="12" t="s">
        <v>10</v>
      </c>
      <c r="E6" s="12" t="s">
        <v>10</v>
      </c>
      <c r="F6" s="12" t="s">
        <v>10</v>
      </c>
      <c r="G6" s="12" t="s">
        <v>10</v>
      </c>
      <c r="H6" s="12" t="s">
        <v>10</v>
      </c>
      <c r="I6" s="2"/>
      <c r="J6" s="118" t="s">
        <v>40</v>
      </c>
      <c r="K6" s="119">
        <f>SUM(C24:C28)/100</f>
        <v>0.315</v>
      </c>
      <c r="L6" s="119">
        <f>SUM(H24:H28)/100</f>
        <v>0.307</v>
      </c>
      <c r="M6" s="9"/>
      <c r="N6" s="9"/>
      <c r="O6" s="9"/>
    </row>
    <row r="7" spans="2:15" ht="12.5" customHeight="1" x14ac:dyDescent="0.35">
      <c r="B7" s="7" t="s">
        <v>12</v>
      </c>
      <c r="C7" s="12">
        <v>6.18</v>
      </c>
      <c r="D7" s="12">
        <v>6.53</v>
      </c>
      <c r="E7" s="12">
        <v>6.52</v>
      </c>
      <c r="F7" s="12">
        <v>6.55</v>
      </c>
      <c r="G7" s="12">
        <v>6.57</v>
      </c>
      <c r="H7" s="12">
        <v>6.52</v>
      </c>
      <c r="I7" s="2"/>
      <c r="J7" s="118" t="s">
        <v>41</v>
      </c>
      <c r="K7" s="119">
        <f>SUM(C29:C30)/100</f>
        <v>2.5000000000000001E-2</v>
      </c>
      <c r="L7" s="119">
        <f>SUM(H29:H30)/100</f>
        <v>0</v>
      </c>
      <c r="M7" s="9"/>
      <c r="N7" s="9"/>
      <c r="O7" s="9"/>
    </row>
    <row r="8" spans="2:15" ht="12.5" customHeight="1" x14ac:dyDescent="0.35">
      <c r="B8" s="7" t="s">
        <v>13</v>
      </c>
      <c r="C8" s="12">
        <v>0.57999999999999996</v>
      </c>
      <c r="D8" s="12">
        <v>0.93</v>
      </c>
      <c r="E8" s="12">
        <v>0.91</v>
      </c>
      <c r="F8" s="12">
        <v>0.94</v>
      </c>
      <c r="G8" s="12">
        <v>0.97</v>
      </c>
      <c r="H8" s="12">
        <v>0.92</v>
      </c>
      <c r="I8" s="2"/>
      <c r="J8" s="9"/>
      <c r="K8" s="9"/>
      <c r="L8" s="9"/>
      <c r="M8" s="9"/>
      <c r="N8" s="9"/>
      <c r="O8" s="9"/>
    </row>
    <row r="9" spans="2:15" ht="12.5" customHeight="1" x14ac:dyDescent="0.35">
      <c r="B9" s="7" t="s">
        <v>14</v>
      </c>
      <c r="C9" s="12">
        <v>1.72</v>
      </c>
      <c r="D9" s="12">
        <v>0.56999999999999995</v>
      </c>
      <c r="E9" s="12">
        <v>0.72</v>
      </c>
      <c r="F9" s="12">
        <v>0.8</v>
      </c>
      <c r="G9" s="12">
        <v>0.83</v>
      </c>
      <c r="H9" s="12">
        <v>0.75</v>
      </c>
      <c r="I9" s="2"/>
      <c r="J9" s="9"/>
      <c r="K9" s="9"/>
      <c r="L9" s="9"/>
      <c r="M9" s="9"/>
      <c r="N9" s="9"/>
      <c r="O9" s="9"/>
    </row>
    <row r="10" spans="2:15" ht="12.5" customHeight="1" x14ac:dyDescent="0.35">
      <c r="B10" s="7" t="s">
        <v>15</v>
      </c>
      <c r="C10" s="23">
        <v>0.2</v>
      </c>
      <c r="D10" s="14">
        <v>9.9</v>
      </c>
      <c r="E10" s="64">
        <v>5.5</v>
      </c>
      <c r="F10" s="65">
        <v>5.3</v>
      </c>
      <c r="G10" s="58">
        <v>4.3</v>
      </c>
      <c r="H10" s="64">
        <v>5.5</v>
      </c>
      <c r="I10" s="3"/>
      <c r="J10" s="10"/>
      <c r="K10" s="11"/>
      <c r="L10" s="10"/>
      <c r="M10" s="10"/>
      <c r="N10" s="10"/>
      <c r="O10" s="10"/>
    </row>
    <row r="11" spans="2:15" ht="12.5" customHeight="1" x14ac:dyDescent="0.35">
      <c r="B11" s="7" t="s">
        <v>16</v>
      </c>
      <c r="C11" s="20">
        <v>0.3</v>
      </c>
      <c r="D11" s="19">
        <v>0</v>
      </c>
      <c r="E11" s="46">
        <v>0.7</v>
      </c>
      <c r="F11" s="48">
        <v>1.7</v>
      </c>
      <c r="G11" s="66">
        <v>3.1</v>
      </c>
      <c r="H11" s="26">
        <v>0.9</v>
      </c>
      <c r="I11" s="4"/>
      <c r="J11" s="10"/>
      <c r="K11" s="10"/>
      <c r="L11" s="10"/>
      <c r="M11" s="10"/>
      <c r="N11" s="10"/>
      <c r="O11" s="10"/>
    </row>
    <row r="12" spans="2:15" ht="12.5" customHeight="1" x14ac:dyDescent="0.35">
      <c r="B12" s="7" t="s">
        <v>17</v>
      </c>
      <c r="C12" s="22">
        <v>1.9</v>
      </c>
      <c r="D12" s="67">
        <v>4.9000000000000004</v>
      </c>
      <c r="E12" s="61">
        <v>0.4</v>
      </c>
      <c r="F12" s="23">
        <v>0.2</v>
      </c>
      <c r="G12" s="40">
        <v>0.1</v>
      </c>
      <c r="H12" s="20">
        <v>0.3</v>
      </c>
      <c r="I12" s="3"/>
      <c r="J12" s="10"/>
      <c r="K12" s="10"/>
      <c r="L12" s="10"/>
      <c r="M12" s="10"/>
      <c r="N12" s="10"/>
      <c r="O12" s="10"/>
    </row>
    <row r="13" spans="2:15" ht="12.5" customHeight="1" x14ac:dyDescent="0.35">
      <c r="B13" s="7" t="s">
        <v>18</v>
      </c>
      <c r="C13" s="41">
        <v>1.8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3"/>
      <c r="J13" s="10"/>
      <c r="K13" s="10"/>
      <c r="L13" s="10"/>
      <c r="M13" s="10"/>
      <c r="N13" s="10"/>
      <c r="O13" s="10"/>
    </row>
    <row r="14" spans="2:15" ht="12.5" customHeight="1" x14ac:dyDescent="0.35">
      <c r="B14" s="7" t="s">
        <v>19</v>
      </c>
      <c r="C14" s="68">
        <v>2.8</v>
      </c>
      <c r="D14" s="28">
        <v>10</v>
      </c>
      <c r="E14" s="14">
        <v>9.9</v>
      </c>
      <c r="F14" s="29">
        <v>9.6999999999999993</v>
      </c>
      <c r="G14" s="69">
        <v>9.5</v>
      </c>
      <c r="H14" s="14">
        <v>9.9</v>
      </c>
      <c r="I14" s="4"/>
      <c r="J14" s="10"/>
      <c r="K14" s="11"/>
      <c r="L14" s="11"/>
      <c r="M14" s="11"/>
      <c r="N14" s="11"/>
      <c r="O14" s="11"/>
    </row>
    <row r="15" spans="2:15" ht="12.5" customHeight="1" x14ac:dyDescent="0.35">
      <c r="B15" s="7" t="s">
        <v>20</v>
      </c>
      <c r="C15" s="64">
        <v>5.5</v>
      </c>
      <c r="D15" s="55">
        <v>9.8000000000000007</v>
      </c>
      <c r="E15" s="70">
        <v>7.6</v>
      </c>
      <c r="F15" s="15">
        <v>6.7</v>
      </c>
      <c r="G15" s="71">
        <v>5.6</v>
      </c>
      <c r="H15" s="72">
        <v>7.2</v>
      </c>
      <c r="I15" s="3"/>
      <c r="J15" s="10"/>
      <c r="K15" s="11"/>
      <c r="L15" s="11"/>
      <c r="M15" s="10"/>
      <c r="N15" s="10"/>
      <c r="O15" s="10"/>
    </row>
    <row r="16" spans="2:15" ht="12.5" customHeight="1" x14ac:dyDescent="0.35">
      <c r="B16" s="7" t="s">
        <v>21</v>
      </c>
      <c r="C16" s="73">
        <v>8.3000000000000007</v>
      </c>
      <c r="D16" s="29">
        <v>9.6999999999999993</v>
      </c>
      <c r="E16" s="55">
        <v>9.8000000000000007</v>
      </c>
      <c r="F16" s="55">
        <v>9.8000000000000007</v>
      </c>
      <c r="G16" s="36">
        <v>9.6</v>
      </c>
      <c r="H16" s="29">
        <v>9.6999999999999993</v>
      </c>
      <c r="I16" s="4"/>
      <c r="J16" s="11"/>
      <c r="K16" s="11"/>
      <c r="L16" s="11"/>
      <c r="M16" s="11"/>
      <c r="N16" s="11"/>
      <c r="O16" s="11"/>
    </row>
    <row r="17" spans="2:15" ht="12.5" customHeight="1" x14ac:dyDescent="0.35">
      <c r="B17" s="7" t="s">
        <v>22</v>
      </c>
      <c r="C17" s="74">
        <v>18.8</v>
      </c>
      <c r="D17" s="23">
        <v>0.2</v>
      </c>
      <c r="E17" s="75">
        <v>2.5</v>
      </c>
      <c r="F17" s="76">
        <v>2.9</v>
      </c>
      <c r="G17" s="66">
        <v>3.1</v>
      </c>
      <c r="H17" s="43">
        <v>2.4</v>
      </c>
      <c r="I17" s="3"/>
      <c r="J17" s="11"/>
      <c r="K17" s="10"/>
      <c r="L17" s="10"/>
      <c r="M17" s="10"/>
      <c r="N17" s="10"/>
      <c r="O17" s="10"/>
    </row>
    <row r="18" spans="2:15" ht="12.5" customHeight="1" x14ac:dyDescent="0.35">
      <c r="B18" s="7" t="s">
        <v>23</v>
      </c>
      <c r="C18" s="77">
        <v>1.3</v>
      </c>
      <c r="D18" s="19">
        <v>0</v>
      </c>
      <c r="E18" s="23">
        <v>0.2</v>
      </c>
      <c r="F18" s="46">
        <v>0.7</v>
      </c>
      <c r="G18" s="25">
        <v>1.2</v>
      </c>
      <c r="H18" s="61">
        <v>0.4</v>
      </c>
      <c r="I18" s="3"/>
      <c r="J18" s="10"/>
      <c r="K18" s="10"/>
      <c r="L18" s="10"/>
      <c r="M18" s="10"/>
      <c r="N18" s="10"/>
      <c r="O18" s="10"/>
    </row>
    <row r="19" spans="2:15" ht="12.5" customHeight="1" x14ac:dyDescent="0.35">
      <c r="B19" s="7" t="s">
        <v>24</v>
      </c>
      <c r="C19" s="78">
        <v>1.6</v>
      </c>
      <c r="D19" s="19">
        <v>0</v>
      </c>
      <c r="E19" s="41">
        <v>1.8</v>
      </c>
      <c r="F19" s="79">
        <v>3</v>
      </c>
      <c r="G19" s="27">
        <v>3.2</v>
      </c>
      <c r="H19" s="42">
        <v>2.2999999999999998</v>
      </c>
      <c r="I19" s="3"/>
      <c r="J19" s="10"/>
      <c r="K19" s="10"/>
      <c r="L19" s="10"/>
      <c r="M19" s="10"/>
      <c r="N19" s="10"/>
      <c r="O19" s="10"/>
    </row>
    <row r="20" spans="2:15" ht="12.5" customHeight="1" x14ac:dyDescent="0.35">
      <c r="B20" s="7" t="s">
        <v>25</v>
      </c>
      <c r="C20" s="19">
        <v>0</v>
      </c>
      <c r="D20" s="28">
        <v>10</v>
      </c>
      <c r="E20" s="80">
        <v>8.6999999999999993</v>
      </c>
      <c r="F20" s="81">
        <v>4.2</v>
      </c>
      <c r="G20" s="45">
        <v>0.8</v>
      </c>
      <c r="H20" s="52">
        <v>8</v>
      </c>
      <c r="I20" s="3"/>
      <c r="J20" s="10"/>
      <c r="K20" s="11"/>
      <c r="L20" s="11"/>
      <c r="M20" s="10"/>
      <c r="N20" s="10"/>
      <c r="O20" s="11"/>
    </row>
    <row r="21" spans="2:15" ht="12.5" customHeight="1" x14ac:dyDescent="0.35">
      <c r="B21" s="7" t="s">
        <v>26</v>
      </c>
      <c r="C21" s="82">
        <v>6.8</v>
      </c>
      <c r="D21" s="83">
        <v>6</v>
      </c>
      <c r="E21" s="28">
        <v>10</v>
      </c>
      <c r="F21" s="14">
        <v>9.9</v>
      </c>
      <c r="G21" s="28">
        <v>10</v>
      </c>
      <c r="H21" s="28">
        <v>10</v>
      </c>
      <c r="I21" s="4"/>
      <c r="J21" s="10"/>
      <c r="K21" s="10"/>
      <c r="L21" s="11"/>
      <c r="M21" s="11"/>
      <c r="N21" s="11"/>
      <c r="O21" s="11"/>
    </row>
    <row r="22" spans="2:15" ht="12.5" customHeight="1" x14ac:dyDescent="0.35">
      <c r="B22" s="7" t="s">
        <v>27</v>
      </c>
      <c r="C22" s="59">
        <v>4.0999999999999996</v>
      </c>
      <c r="D22" s="39">
        <v>9.1999999999999993</v>
      </c>
      <c r="E22" s="36">
        <v>9.6</v>
      </c>
      <c r="F22" s="55">
        <v>9.8000000000000007</v>
      </c>
      <c r="G22" s="36">
        <v>9.6</v>
      </c>
      <c r="H22" s="36">
        <v>9.6</v>
      </c>
      <c r="I22" s="4"/>
      <c r="J22" s="10"/>
      <c r="K22" s="11"/>
      <c r="L22" s="11"/>
      <c r="M22" s="11"/>
      <c r="N22" s="11"/>
      <c r="O22" s="11"/>
    </row>
    <row r="23" spans="2:15" ht="12.5" customHeight="1" x14ac:dyDescent="0.35">
      <c r="B23" s="7" t="s">
        <v>28</v>
      </c>
      <c r="C23" s="84">
        <v>12.8</v>
      </c>
      <c r="D23" s="40">
        <v>0.1</v>
      </c>
      <c r="E23" s="85">
        <v>2.7</v>
      </c>
      <c r="F23" s="67">
        <v>4.9000000000000004</v>
      </c>
      <c r="G23" s="57">
        <v>7.1</v>
      </c>
      <c r="H23" s="66">
        <v>3.1</v>
      </c>
      <c r="I23" s="3"/>
      <c r="J23" s="11"/>
      <c r="K23" s="10"/>
      <c r="L23" s="10"/>
      <c r="M23" s="10"/>
      <c r="N23" s="10"/>
      <c r="O23" s="10"/>
    </row>
    <row r="24" spans="2:15" ht="12.5" customHeight="1" x14ac:dyDescent="0.35">
      <c r="B24" s="7" t="s">
        <v>29</v>
      </c>
      <c r="C24" s="86">
        <v>4.5</v>
      </c>
      <c r="D24" s="28">
        <v>10</v>
      </c>
      <c r="E24" s="28">
        <v>10</v>
      </c>
      <c r="F24" s="28">
        <v>10</v>
      </c>
      <c r="G24" s="28">
        <v>10</v>
      </c>
      <c r="H24" s="28">
        <v>10</v>
      </c>
      <c r="I24" s="4"/>
      <c r="J24" s="10"/>
      <c r="K24" s="11"/>
      <c r="L24" s="11"/>
      <c r="M24" s="11"/>
      <c r="N24" s="11"/>
      <c r="O24" s="11"/>
    </row>
    <row r="25" spans="2:15" ht="12.5" customHeight="1" x14ac:dyDescent="0.35">
      <c r="B25" s="7" t="s">
        <v>30</v>
      </c>
      <c r="C25" s="87">
        <v>5.0999999999999996</v>
      </c>
      <c r="D25" s="28">
        <v>10</v>
      </c>
      <c r="E25" s="28">
        <v>10</v>
      </c>
      <c r="F25" s="28">
        <v>10</v>
      </c>
      <c r="G25" s="28">
        <v>10</v>
      </c>
      <c r="H25" s="28">
        <v>10</v>
      </c>
      <c r="I25" s="4"/>
      <c r="J25" s="10"/>
      <c r="K25" s="11"/>
      <c r="L25" s="11"/>
      <c r="M25" s="11"/>
      <c r="N25" s="11"/>
      <c r="O25" s="11"/>
    </row>
    <row r="26" spans="2:15" ht="12.5" customHeight="1" x14ac:dyDescent="0.35">
      <c r="B26" s="7" t="s">
        <v>31</v>
      </c>
      <c r="C26" s="45">
        <v>0.8</v>
      </c>
      <c r="D26" s="19">
        <v>0</v>
      </c>
      <c r="E26" s="44">
        <v>0.5</v>
      </c>
      <c r="F26" s="44">
        <v>0.5</v>
      </c>
      <c r="G26" s="20">
        <v>0.3</v>
      </c>
      <c r="H26" s="44">
        <v>0.5</v>
      </c>
      <c r="I26" s="3"/>
      <c r="J26" s="10"/>
      <c r="K26" s="10"/>
      <c r="L26" s="10"/>
      <c r="M26" s="10"/>
      <c r="N26" s="10"/>
      <c r="O26" s="10"/>
    </row>
    <row r="27" spans="2:15" ht="12.5" customHeight="1" x14ac:dyDescent="0.35">
      <c r="B27" s="7" t="s">
        <v>32</v>
      </c>
      <c r="C27" s="64">
        <v>5.5</v>
      </c>
      <c r="D27" s="28">
        <v>10</v>
      </c>
      <c r="E27" s="28">
        <v>10</v>
      </c>
      <c r="F27" s="28">
        <v>10</v>
      </c>
      <c r="G27" s="28">
        <v>10</v>
      </c>
      <c r="H27" s="28">
        <v>10</v>
      </c>
      <c r="I27" s="4"/>
      <c r="J27" s="10"/>
      <c r="K27" s="11"/>
      <c r="L27" s="11"/>
      <c r="M27" s="11"/>
      <c r="N27" s="11"/>
      <c r="O27" s="11"/>
    </row>
    <row r="28" spans="2:15" ht="12.5" customHeight="1" x14ac:dyDescent="0.35">
      <c r="B28" s="7" t="s">
        <v>33</v>
      </c>
      <c r="C28" s="74">
        <v>15.6</v>
      </c>
      <c r="D28" s="19">
        <v>0</v>
      </c>
      <c r="E28" s="23">
        <v>0.2</v>
      </c>
      <c r="F28" s="51">
        <v>0.6</v>
      </c>
      <c r="G28" s="43">
        <v>2.4</v>
      </c>
      <c r="H28" s="23">
        <v>0.2</v>
      </c>
      <c r="I28" s="3"/>
      <c r="J28" s="11"/>
      <c r="K28" s="10"/>
      <c r="L28" s="10"/>
      <c r="M28" s="10"/>
      <c r="N28" s="10"/>
      <c r="O28" s="10"/>
    </row>
    <row r="29" spans="2:15" ht="12.5" customHeight="1" x14ac:dyDescent="0.35">
      <c r="B29" s="7" t="s">
        <v>34</v>
      </c>
      <c r="C29" s="75">
        <v>2.5</v>
      </c>
      <c r="D29" s="23">
        <v>0.2</v>
      </c>
      <c r="E29" s="19">
        <v>0</v>
      </c>
      <c r="F29" s="19">
        <v>0</v>
      </c>
      <c r="G29" s="19">
        <v>0</v>
      </c>
      <c r="H29" s="19">
        <v>0</v>
      </c>
      <c r="I29" s="3"/>
      <c r="J29" s="10"/>
      <c r="K29" s="10"/>
      <c r="L29" s="10"/>
      <c r="M29" s="10"/>
      <c r="N29" s="10"/>
      <c r="O29" s="10"/>
    </row>
    <row r="30" spans="2:15" ht="12.5" customHeight="1" x14ac:dyDescent="0.35">
      <c r="B30" s="7" t="s">
        <v>35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3"/>
      <c r="J30" s="10"/>
      <c r="K30" s="10"/>
      <c r="L30" s="10"/>
      <c r="M30" s="10"/>
      <c r="N30" s="10"/>
      <c r="O30" s="10"/>
    </row>
    <row r="31" spans="2:15" x14ac:dyDescent="0.35">
      <c r="C3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F7AAF-DA71-439C-97FC-565E322BA15D}">
  <dimension ref="B2:O31"/>
  <sheetViews>
    <sheetView topLeftCell="B1" zoomScale="80" zoomScaleNormal="80" workbookViewId="0">
      <selection activeCell="L21" sqref="L21"/>
    </sheetView>
  </sheetViews>
  <sheetFormatPr defaultRowHeight="14.5" x14ac:dyDescent="0.35"/>
  <cols>
    <col min="2" max="2" width="33.54296875" customWidth="1"/>
    <col min="3" max="8" width="9.6328125" customWidth="1"/>
    <col min="9" max="9" width="7.6328125" customWidth="1"/>
    <col min="10" max="10" width="15.81640625" bestFit="1" customWidth="1"/>
  </cols>
  <sheetData>
    <row r="2" spans="2:15" ht="13.5" customHeight="1" x14ac:dyDescent="0.35">
      <c r="B2" s="6" t="s">
        <v>36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1"/>
      <c r="J2" s="1"/>
    </row>
    <row r="3" spans="2:15" ht="12.5" customHeight="1" x14ac:dyDescent="0.35">
      <c r="B3" s="7" t="s">
        <v>6</v>
      </c>
      <c r="C3" s="12">
        <v>4.5</v>
      </c>
      <c r="D3" s="12">
        <v>4.55</v>
      </c>
      <c r="E3" s="12">
        <v>4.72</v>
      </c>
      <c r="F3" s="12">
        <v>4.8099999999999996</v>
      </c>
      <c r="G3" s="12">
        <v>4.87</v>
      </c>
      <c r="H3" s="12">
        <v>4.71</v>
      </c>
      <c r="I3" s="2"/>
      <c r="J3" s="118" t="s">
        <v>37</v>
      </c>
      <c r="K3" s="119">
        <f>SUM(C10:C13)/100</f>
        <v>0.20600000000000002</v>
      </c>
      <c r="L3" s="119">
        <f>SUM(H10:H13)/100</f>
        <v>6.6000000000000003E-2</v>
      </c>
      <c r="M3" s="9"/>
      <c r="N3" s="9"/>
      <c r="O3" s="9"/>
    </row>
    <row r="4" spans="2:15" ht="12.5" customHeight="1" x14ac:dyDescent="0.35">
      <c r="B4" s="7" t="s">
        <v>7</v>
      </c>
      <c r="C4" s="12">
        <v>3.71</v>
      </c>
      <c r="D4" s="12">
        <v>2.71</v>
      </c>
      <c r="E4" s="12">
        <v>2.98</v>
      </c>
      <c r="F4" s="12">
        <v>3.25</v>
      </c>
      <c r="G4" s="12">
        <v>3.5</v>
      </c>
      <c r="H4" s="12">
        <v>2.97</v>
      </c>
      <c r="I4" s="2"/>
      <c r="J4" s="118" t="s">
        <v>38</v>
      </c>
      <c r="K4" s="119">
        <f>SUM(C14:C20)/100</f>
        <v>0.28300000000000003</v>
      </c>
      <c r="L4" s="119">
        <f>SUM(H14:H20)/100</f>
        <v>0.41100000000000003</v>
      </c>
      <c r="M4" s="9"/>
      <c r="N4" s="9"/>
      <c r="O4" s="9"/>
    </row>
    <row r="5" spans="2:15" ht="12.5" customHeight="1" x14ac:dyDescent="0.35">
      <c r="B5" s="7" t="s">
        <v>8</v>
      </c>
      <c r="C5" s="12">
        <v>0.13</v>
      </c>
      <c r="D5" s="12">
        <v>0.2</v>
      </c>
      <c r="E5" s="12">
        <v>0.24</v>
      </c>
      <c r="F5" s="12">
        <v>0.25</v>
      </c>
      <c r="G5" s="12">
        <v>0.25</v>
      </c>
      <c r="H5" s="12">
        <v>0.24</v>
      </c>
      <c r="I5" s="2"/>
      <c r="J5" s="118" t="s">
        <v>39</v>
      </c>
      <c r="K5" s="119">
        <f>SUM(C21:C23)/100</f>
        <v>0.17299999999999996</v>
      </c>
      <c r="L5" s="119">
        <f>SUM(H21:H23)/100</f>
        <v>0.21400000000000002</v>
      </c>
      <c r="M5" s="9"/>
      <c r="N5" s="9"/>
      <c r="O5" s="9"/>
    </row>
    <row r="6" spans="2:15" ht="12.5" customHeight="1" x14ac:dyDescent="0.35">
      <c r="B6" s="7" t="s">
        <v>9</v>
      </c>
      <c r="C6" s="12" t="s">
        <v>10</v>
      </c>
      <c r="D6" s="12" t="s">
        <v>10</v>
      </c>
      <c r="E6" s="12" t="s">
        <v>10</v>
      </c>
      <c r="F6" s="12" t="s">
        <v>10</v>
      </c>
      <c r="G6" s="12" t="s">
        <v>10</v>
      </c>
      <c r="H6" s="12" t="s">
        <v>10</v>
      </c>
      <c r="I6" s="2"/>
      <c r="J6" s="118" t="s">
        <v>40</v>
      </c>
      <c r="K6" s="119">
        <f>SUM(C24:C28)/100</f>
        <v>0.26800000000000002</v>
      </c>
      <c r="L6" s="119">
        <f>SUM(H24:H28)/100</f>
        <v>0.309</v>
      </c>
      <c r="M6" s="9"/>
      <c r="N6" s="9"/>
      <c r="O6" s="9"/>
    </row>
    <row r="7" spans="2:15" ht="12.5" customHeight="1" x14ac:dyDescent="0.35">
      <c r="B7" s="7" t="s">
        <v>12</v>
      </c>
      <c r="C7" s="12">
        <v>6.15</v>
      </c>
      <c r="D7" s="12">
        <v>6.57</v>
      </c>
      <c r="E7" s="12">
        <v>6.63</v>
      </c>
      <c r="F7" s="12">
        <v>6.88</v>
      </c>
      <c r="G7" s="12">
        <v>7.07</v>
      </c>
      <c r="H7" s="12">
        <v>6.62</v>
      </c>
      <c r="I7" s="2"/>
      <c r="J7" s="118" t="s">
        <v>41</v>
      </c>
      <c r="K7" s="119">
        <f>SUM(C29:C30)/100</f>
        <v>6.8000000000000005E-2</v>
      </c>
      <c r="L7" s="119">
        <f>SUM(H29:H30)/100</f>
        <v>0</v>
      </c>
      <c r="M7" s="9"/>
      <c r="N7" s="9"/>
      <c r="O7" s="9"/>
    </row>
    <row r="8" spans="2:15" ht="12.5" customHeight="1" x14ac:dyDescent="0.35">
      <c r="B8" s="7" t="s">
        <v>13</v>
      </c>
      <c r="C8" s="12">
        <v>-0.21</v>
      </c>
      <c r="D8" s="12">
        <v>0.21</v>
      </c>
      <c r="E8" s="12">
        <v>0.27</v>
      </c>
      <c r="F8" s="12">
        <v>0.53</v>
      </c>
      <c r="G8" s="12">
        <v>0.71</v>
      </c>
      <c r="H8" s="12">
        <v>0.26</v>
      </c>
      <c r="I8" s="2"/>
      <c r="J8" s="9"/>
      <c r="K8" s="9"/>
      <c r="L8" s="9"/>
      <c r="M8" s="9"/>
      <c r="N8" s="9"/>
      <c r="O8" s="9"/>
    </row>
    <row r="9" spans="2:15" ht="12.5" customHeight="1" x14ac:dyDescent="0.35">
      <c r="B9" s="7" t="s">
        <v>14</v>
      </c>
      <c r="C9" s="12">
        <v>2.63</v>
      </c>
      <c r="D9" s="12">
        <v>0.56000000000000005</v>
      </c>
      <c r="E9" s="12">
        <v>0.74</v>
      </c>
      <c r="F9" s="12">
        <v>0.78</v>
      </c>
      <c r="G9" s="12">
        <v>0.81</v>
      </c>
      <c r="H9" s="12">
        <v>0.73</v>
      </c>
      <c r="I9" s="2"/>
      <c r="J9" s="9"/>
      <c r="K9" s="9"/>
      <c r="L9" s="9"/>
      <c r="M9" s="9"/>
      <c r="N9" s="9"/>
      <c r="O9" s="9"/>
    </row>
    <row r="10" spans="2:15" ht="12.5" customHeight="1" x14ac:dyDescent="0.35">
      <c r="B10" s="7" t="s">
        <v>15</v>
      </c>
      <c r="C10" s="88">
        <v>4</v>
      </c>
      <c r="D10" s="14">
        <v>9.9</v>
      </c>
      <c r="E10" s="86">
        <v>4.5</v>
      </c>
      <c r="F10" s="76">
        <v>2.9</v>
      </c>
      <c r="G10" s="48">
        <v>1.7</v>
      </c>
      <c r="H10" s="86">
        <v>4.5</v>
      </c>
      <c r="I10" s="3"/>
      <c r="J10" s="10"/>
      <c r="K10" s="11"/>
      <c r="L10" s="10"/>
      <c r="M10" s="10"/>
      <c r="N10" s="10"/>
      <c r="O10" s="10"/>
    </row>
    <row r="11" spans="2:15" ht="12.5" customHeight="1" x14ac:dyDescent="0.35">
      <c r="B11" s="7" t="s">
        <v>16</v>
      </c>
      <c r="C11" s="34">
        <v>3.9</v>
      </c>
      <c r="D11" s="19">
        <v>0</v>
      </c>
      <c r="E11" s="77">
        <v>1.3</v>
      </c>
      <c r="F11" s="106">
        <v>4.5999999999999996</v>
      </c>
      <c r="G11" s="113">
        <v>7.5</v>
      </c>
      <c r="H11" s="77">
        <v>1.3</v>
      </c>
      <c r="I11" s="4"/>
      <c r="J11" s="10"/>
      <c r="K11" s="10"/>
      <c r="L11" s="10"/>
      <c r="M11" s="10"/>
      <c r="N11" s="11"/>
      <c r="O11" s="10"/>
    </row>
    <row r="12" spans="2:15" ht="12.5" customHeight="1" x14ac:dyDescent="0.35">
      <c r="B12" s="7" t="s">
        <v>17</v>
      </c>
      <c r="C12" s="43">
        <v>2.4</v>
      </c>
      <c r="D12" s="64">
        <v>5.5</v>
      </c>
      <c r="E12" s="45">
        <v>0.8</v>
      </c>
      <c r="F12" s="46">
        <v>0.7</v>
      </c>
      <c r="G12" s="20">
        <v>0.3</v>
      </c>
      <c r="H12" s="45">
        <v>0.8</v>
      </c>
      <c r="I12" s="3"/>
      <c r="J12" s="10"/>
      <c r="K12" s="10"/>
      <c r="L12" s="10"/>
      <c r="M12" s="10"/>
      <c r="N12" s="10"/>
      <c r="O12" s="10"/>
    </row>
    <row r="13" spans="2:15" ht="12.5" customHeight="1" x14ac:dyDescent="0.35">
      <c r="B13" s="7" t="s">
        <v>18</v>
      </c>
      <c r="C13" s="114">
        <v>10.3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3"/>
      <c r="J13" s="11"/>
      <c r="K13" s="10"/>
      <c r="L13" s="10"/>
      <c r="M13" s="10"/>
      <c r="N13" s="10"/>
      <c r="O13" s="10"/>
    </row>
    <row r="14" spans="2:15" ht="12.5" customHeight="1" x14ac:dyDescent="0.35">
      <c r="B14" s="7" t="s">
        <v>19</v>
      </c>
      <c r="C14" s="78">
        <v>1.6</v>
      </c>
      <c r="D14" s="28">
        <v>10</v>
      </c>
      <c r="E14" s="28">
        <v>10</v>
      </c>
      <c r="F14" s="28">
        <v>10</v>
      </c>
      <c r="G14" s="30">
        <v>9.3000000000000007</v>
      </c>
      <c r="H14" s="28">
        <v>10</v>
      </c>
      <c r="I14" s="4"/>
      <c r="J14" s="10"/>
      <c r="K14" s="11"/>
      <c r="L14" s="11"/>
      <c r="M14" s="11"/>
      <c r="N14" s="11"/>
      <c r="O14" s="11"/>
    </row>
    <row r="15" spans="2:15" ht="12.5" customHeight="1" x14ac:dyDescent="0.35">
      <c r="B15" s="7" t="s">
        <v>20</v>
      </c>
      <c r="C15" s="27">
        <v>3.2</v>
      </c>
      <c r="D15" s="14">
        <v>9.9</v>
      </c>
      <c r="E15" s="50">
        <v>7.4</v>
      </c>
      <c r="F15" s="35">
        <v>7</v>
      </c>
      <c r="G15" s="87">
        <v>5.0999999999999996</v>
      </c>
      <c r="H15" s="113">
        <v>7.5</v>
      </c>
      <c r="I15" s="3"/>
      <c r="J15" s="10"/>
      <c r="K15" s="11"/>
      <c r="L15" s="11"/>
      <c r="M15" s="10"/>
      <c r="N15" s="10"/>
      <c r="O15" s="11"/>
    </row>
    <row r="16" spans="2:15" ht="12.5" customHeight="1" x14ac:dyDescent="0.35">
      <c r="B16" s="7" t="s">
        <v>21</v>
      </c>
      <c r="C16" s="17">
        <v>4.8</v>
      </c>
      <c r="D16" s="29">
        <v>9.6999999999999993</v>
      </c>
      <c r="E16" s="55">
        <v>9.8000000000000007</v>
      </c>
      <c r="F16" s="55">
        <v>9.8000000000000007</v>
      </c>
      <c r="G16" s="29">
        <v>9.6999999999999993</v>
      </c>
      <c r="H16" s="55">
        <v>9.8000000000000007</v>
      </c>
      <c r="I16" s="4"/>
      <c r="J16" s="10"/>
      <c r="K16" s="11"/>
      <c r="L16" s="11"/>
      <c r="M16" s="11"/>
      <c r="N16" s="11"/>
      <c r="O16" s="11"/>
    </row>
    <row r="17" spans="2:15" ht="12.5" customHeight="1" x14ac:dyDescent="0.35">
      <c r="B17" s="7" t="s">
        <v>22</v>
      </c>
      <c r="C17" s="115">
        <v>3.8</v>
      </c>
      <c r="D17" s="40">
        <v>0.1</v>
      </c>
      <c r="E17" s="66">
        <v>3.1</v>
      </c>
      <c r="F17" s="24">
        <v>3.3</v>
      </c>
      <c r="G17" s="13">
        <v>3.7</v>
      </c>
      <c r="H17" s="66">
        <v>3.1</v>
      </c>
      <c r="I17" s="3"/>
      <c r="J17" s="10"/>
      <c r="K17" s="10"/>
      <c r="L17" s="10"/>
      <c r="M17" s="10"/>
      <c r="N17" s="10"/>
      <c r="O17" s="10"/>
    </row>
    <row r="18" spans="2:15" ht="12.5" customHeight="1" x14ac:dyDescent="0.35">
      <c r="B18" s="7" t="s">
        <v>23</v>
      </c>
      <c r="C18" s="20">
        <v>0.3</v>
      </c>
      <c r="D18" s="19">
        <v>0</v>
      </c>
      <c r="E18" s="61">
        <v>0.4</v>
      </c>
      <c r="F18" s="46">
        <v>0.7</v>
      </c>
      <c r="G18" s="26">
        <v>0.9</v>
      </c>
      <c r="H18" s="61">
        <v>0.4</v>
      </c>
      <c r="I18" s="3"/>
      <c r="J18" s="10"/>
      <c r="K18" s="10"/>
      <c r="L18" s="10"/>
      <c r="M18" s="10"/>
      <c r="N18" s="10"/>
      <c r="O18" s="10"/>
    </row>
    <row r="19" spans="2:15" ht="12.5" customHeight="1" x14ac:dyDescent="0.35">
      <c r="B19" s="7" t="s">
        <v>24</v>
      </c>
      <c r="C19" s="20">
        <v>0.3</v>
      </c>
      <c r="D19" s="19">
        <v>0</v>
      </c>
      <c r="E19" s="22">
        <v>1.9</v>
      </c>
      <c r="F19" s="79">
        <v>3</v>
      </c>
      <c r="G19" s="63">
        <v>3.6</v>
      </c>
      <c r="H19" s="41">
        <v>1.8</v>
      </c>
      <c r="I19" s="3"/>
      <c r="J19" s="10"/>
      <c r="K19" s="10"/>
      <c r="L19" s="10"/>
      <c r="M19" s="10"/>
      <c r="N19" s="10"/>
      <c r="O19" s="10"/>
    </row>
    <row r="20" spans="2:15" ht="12.5" customHeight="1" x14ac:dyDescent="0.35">
      <c r="B20" s="7" t="s">
        <v>25</v>
      </c>
      <c r="C20" s="116">
        <v>14.3</v>
      </c>
      <c r="D20" s="28">
        <v>10</v>
      </c>
      <c r="E20" s="53">
        <v>8.4</v>
      </c>
      <c r="F20" s="95">
        <v>3.5</v>
      </c>
      <c r="G20" s="44">
        <v>0.5</v>
      </c>
      <c r="H20" s="93">
        <v>8.5</v>
      </c>
      <c r="I20" s="3"/>
      <c r="J20" s="11"/>
      <c r="K20" s="11"/>
      <c r="L20" s="11"/>
      <c r="M20" s="10"/>
      <c r="N20" s="10"/>
      <c r="O20" s="11"/>
    </row>
    <row r="21" spans="2:15" ht="12.5" customHeight="1" x14ac:dyDescent="0.35">
      <c r="B21" s="7" t="s">
        <v>26</v>
      </c>
      <c r="C21" s="14">
        <v>9.9</v>
      </c>
      <c r="D21" s="105">
        <v>5.7</v>
      </c>
      <c r="E21" s="14">
        <v>9.9</v>
      </c>
      <c r="F21" s="14">
        <v>9.9</v>
      </c>
      <c r="G21" s="14">
        <v>9.9</v>
      </c>
      <c r="H21" s="14">
        <v>9.9</v>
      </c>
      <c r="I21" s="4"/>
      <c r="J21" s="11"/>
      <c r="K21" s="10"/>
      <c r="L21" s="11"/>
      <c r="M21" s="11"/>
      <c r="N21" s="11"/>
      <c r="O21" s="11"/>
    </row>
    <row r="22" spans="2:15" ht="12.5" customHeight="1" x14ac:dyDescent="0.35">
      <c r="B22" s="7" t="s">
        <v>27</v>
      </c>
      <c r="C22" s="42">
        <v>2.2999999999999998</v>
      </c>
      <c r="D22" s="92">
        <v>9</v>
      </c>
      <c r="E22" s="39">
        <v>9.1999999999999993</v>
      </c>
      <c r="F22" s="30">
        <v>9.3000000000000007</v>
      </c>
      <c r="G22" s="39">
        <v>9.1999999999999993</v>
      </c>
      <c r="H22" s="39">
        <v>9.1999999999999993</v>
      </c>
      <c r="I22" s="4"/>
      <c r="J22" s="10"/>
      <c r="K22" s="11"/>
      <c r="L22" s="11"/>
      <c r="M22" s="11"/>
      <c r="N22" s="11"/>
      <c r="O22" s="11"/>
    </row>
    <row r="23" spans="2:15" ht="12.5" customHeight="1" x14ac:dyDescent="0.35">
      <c r="B23" s="7" t="s">
        <v>28</v>
      </c>
      <c r="C23" s="87">
        <v>5.0999999999999996</v>
      </c>
      <c r="D23" s="40">
        <v>0.1</v>
      </c>
      <c r="E23" s="43">
        <v>2.4</v>
      </c>
      <c r="F23" s="13">
        <v>3.7</v>
      </c>
      <c r="G23" s="110">
        <v>5</v>
      </c>
      <c r="H23" s="42">
        <v>2.2999999999999998</v>
      </c>
      <c r="I23" s="3"/>
      <c r="J23" s="10"/>
      <c r="K23" s="10"/>
      <c r="L23" s="10"/>
      <c r="M23" s="10"/>
      <c r="N23" s="10"/>
      <c r="O23" s="10"/>
    </row>
    <row r="24" spans="2:15" ht="12.5" customHeight="1" x14ac:dyDescent="0.35">
      <c r="B24" s="7" t="s">
        <v>29</v>
      </c>
      <c r="C24" s="88">
        <v>4</v>
      </c>
      <c r="D24" s="28">
        <v>10</v>
      </c>
      <c r="E24" s="28">
        <v>10</v>
      </c>
      <c r="F24" s="28">
        <v>10</v>
      </c>
      <c r="G24" s="28">
        <v>10</v>
      </c>
      <c r="H24" s="28">
        <v>10</v>
      </c>
      <c r="I24" s="4"/>
      <c r="J24" s="10"/>
      <c r="K24" s="11"/>
      <c r="L24" s="11"/>
      <c r="M24" s="11"/>
      <c r="N24" s="11"/>
      <c r="O24" s="11"/>
    </row>
    <row r="25" spans="2:15" ht="12.5" customHeight="1" x14ac:dyDescent="0.35">
      <c r="B25" s="7" t="s">
        <v>30</v>
      </c>
      <c r="C25" s="78">
        <v>1.6</v>
      </c>
      <c r="D25" s="28">
        <v>10</v>
      </c>
      <c r="E25" s="28">
        <v>10</v>
      </c>
      <c r="F25" s="28">
        <v>10</v>
      </c>
      <c r="G25" s="14">
        <v>9.9</v>
      </c>
      <c r="H25" s="28">
        <v>10</v>
      </c>
      <c r="I25" s="4"/>
      <c r="J25" s="10"/>
      <c r="K25" s="11"/>
      <c r="L25" s="11"/>
      <c r="M25" s="11"/>
      <c r="N25" s="11"/>
      <c r="O25" s="11"/>
    </row>
    <row r="26" spans="2:15" ht="12.5" customHeight="1" x14ac:dyDescent="0.35">
      <c r="B26" s="7" t="s">
        <v>31</v>
      </c>
      <c r="C26" s="23">
        <v>0.2</v>
      </c>
      <c r="D26" s="19">
        <v>0</v>
      </c>
      <c r="E26" s="44">
        <v>0.5</v>
      </c>
      <c r="F26" s="20">
        <v>0.3</v>
      </c>
      <c r="G26" s="40">
        <v>0.1</v>
      </c>
      <c r="H26" s="44">
        <v>0.5</v>
      </c>
      <c r="I26" s="3"/>
      <c r="J26" s="10"/>
      <c r="K26" s="10"/>
      <c r="L26" s="10"/>
      <c r="M26" s="10"/>
      <c r="N26" s="10"/>
      <c r="O26" s="10"/>
    </row>
    <row r="27" spans="2:15" ht="12.5" customHeight="1" x14ac:dyDescent="0.35">
      <c r="B27" s="7" t="s">
        <v>32</v>
      </c>
      <c r="C27" s="35">
        <v>7</v>
      </c>
      <c r="D27" s="28">
        <v>10</v>
      </c>
      <c r="E27" s="28">
        <v>10</v>
      </c>
      <c r="F27" s="28">
        <v>10</v>
      </c>
      <c r="G27" s="28">
        <v>10</v>
      </c>
      <c r="H27" s="28">
        <v>10</v>
      </c>
      <c r="I27" s="4"/>
      <c r="J27" s="10"/>
      <c r="K27" s="11"/>
      <c r="L27" s="11"/>
      <c r="M27" s="11"/>
      <c r="N27" s="11"/>
      <c r="O27" s="11"/>
    </row>
    <row r="28" spans="2:15" ht="12.5" customHeight="1" x14ac:dyDescent="0.35">
      <c r="B28" s="7" t="s">
        <v>33</v>
      </c>
      <c r="C28" s="117">
        <v>14</v>
      </c>
      <c r="D28" s="19">
        <v>0</v>
      </c>
      <c r="E28" s="61">
        <v>0.4</v>
      </c>
      <c r="F28" s="77">
        <v>1.3</v>
      </c>
      <c r="G28" s="63">
        <v>3.6</v>
      </c>
      <c r="H28" s="61">
        <v>0.4</v>
      </c>
      <c r="I28" s="3"/>
      <c r="J28" s="11"/>
      <c r="K28" s="10"/>
      <c r="L28" s="10"/>
      <c r="M28" s="10"/>
      <c r="N28" s="10"/>
      <c r="O28" s="10"/>
    </row>
    <row r="29" spans="2:15" ht="12.5" customHeight="1" x14ac:dyDescent="0.35">
      <c r="B29" s="7" t="s">
        <v>34</v>
      </c>
      <c r="C29" s="91">
        <v>3.4</v>
      </c>
      <c r="D29" s="40">
        <v>0.1</v>
      </c>
      <c r="E29" s="19">
        <v>0</v>
      </c>
      <c r="F29" s="19">
        <v>0</v>
      </c>
      <c r="G29" s="19">
        <v>0</v>
      </c>
      <c r="H29" s="19">
        <v>0</v>
      </c>
      <c r="I29" s="3"/>
      <c r="J29" s="10"/>
      <c r="K29" s="10"/>
      <c r="L29" s="10"/>
      <c r="M29" s="10"/>
      <c r="N29" s="10"/>
      <c r="O29" s="10"/>
    </row>
    <row r="30" spans="2:15" ht="12.5" customHeight="1" x14ac:dyDescent="0.35">
      <c r="B30" s="7" t="s">
        <v>35</v>
      </c>
      <c r="C30" s="91">
        <v>3.4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3"/>
      <c r="J30" s="10"/>
      <c r="K30" s="10"/>
      <c r="L30" s="10"/>
      <c r="M30" s="10"/>
      <c r="N30" s="10"/>
      <c r="O30" s="10"/>
    </row>
    <row r="31" spans="2:15" x14ac:dyDescent="0.35">
      <c r="C31" s="5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51DE9-9DA3-42E4-96AD-CD70DE67C869}">
  <dimension ref="B2:O31"/>
  <sheetViews>
    <sheetView zoomScale="80" zoomScaleNormal="80" workbookViewId="0">
      <selection activeCell="L21" sqref="L21"/>
    </sheetView>
  </sheetViews>
  <sheetFormatPr defaultRowHeight="14.5" x14ac:dyDescent="0.35"/>
  <cols>
    <col min="2" max="2" width="33.54296875" customWidth="1"/>
    <col min="3" max="8" width="9.6328125" customWidth="1"/>
    <col min="9" max="9" width="7.6328125" customWidth="1"/>
    <col min="10" max="10" width="15.81640625" bestFit="1" customWidth="1"/>
  </cols>
  <sheetData>
    <row r="2" spans="2:15" ht="13.5" customHeight="1" x14ac:dyDescent="0.35">
      <c r="B2" s="6" t="s">
        <v>36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1"/>
      <c r="J2" s="1"/>
    </row>
    <row r="3" spans="2:15" ht="12.5" customHeight="1" x14ac:dyDescent="0.35">
      <c r="B3" s="7" t="s">
        <v>6</v>
      </c>
      <c r="C3" s="12">
        <v>4.83</v>
      </c>
      <c r="D3" s="12">
        <v>4.54</v>
      </c>
      <c r="E3" s="12">
        <v>4.71</v>
      </c>
      <c r="F3" s="12">
        <v>4.8</v>
      </c>
      <c r="G3" s="12">
        <v>4.8499999999999996</v>
      </c>
      <c r="H3" s="12">
        <v>4.74</v>
      </c>
      <c r="I3" s="2"/>
      <c r="J3" s="118" t="s">
        <v>37</v>
      </c>
      <c r="K3" s="119">
        <f>SUM(C10:C13)/100</f>
        <v>0.08</v>
      </c>
      <c r="L3" s="119">
        <f>SUM(H10:H13)/100</f>
        <v>6.3E-2</v>
      </c>
      <c r="M3" s="9"/>
      <c r="N3" s="9"/>
      <c r="O3" s="9"/>
    </row>
    <row r="4" spans="2:15" ht="12.5" customHeight="1" x14ac:dyDescent="0.35">
      <c r="B4" s="7" t="s">
        <v>7</v>
      </c>
      <c r="C4" s="12">
        <v>3.96</v>
      </c>
      <c r="D4" s="12">
        <v>2.71</v>
      </c>
      <c r="E4" s="12">
        <v>2.96</v>
      </c>
      <c r="F4" s="12">
        <v>3.21</v>
      </c>
      <c r="G4" s="12">
        <v>3.45</v>
      </c>
      <c r="H4" s="12">
        <v>3.02</v>
      </c>
      <c r="I4" s="2"/>
      <c r="J4" s="118" t="s">
        <v>38</v>
      </c>
      <c r="K4" s="119">
        <f>SUM(C14:C20)/100</f>
        <v>0.37699999999999995</v>
      </c>
      <c r="L4" s="119">
        <f>SUM(H14:H20)/100</f>
        <v>0.41299999999999998</v>
      </c>
      <c r="M4" s="9"/>
      <c r="N4" s="9"/>
      <c r="O4" s="9"/>
    </row>
    <row r="5" spans="2:15" ht="12.5" customHeight="1" x14ac:dyDescent="0.35">
      <c r="B5" s="7" t="s">
        <v>8</v>
      </c>
      <c r="C5" s="12">
        <v>0.21</v>
      </c>
      <c r="D5" s="12">
        <v>0.2</v>
      </c>
      <c r="E5" s="12">
        <v>0.24</v>
      </c>
      <c r="F5" s="12">
        <v>0.25</v>
      </c>
      <c r="G5" s="12">
        <v>0.25</v>
      </c>
      <c r="H5" s="12">
        <v>0.24</v>
      </c>
      <c r="I5" s="2"/>
      <c r="J5" s="118" t="s">
        <v>39</v>
      </c>
      <c r="K5" s="119">
        <f>SUM(C21:C23)/100</f>
        <v>0.152</v>
      </c>
      <c r="L5" s="119">
        <f>SUM(H21:H23)/100</f>
        <v>0.21800000000000005</v>
      </c>
      <c r="M5" s="9"/>
      <c r="N5" s="9"/>
      <c r="O5" s="9"/>
    </row>
    <row r="6" spans="2:15" ht="12.5" customHeight="1" x14ac:dyDescent="0.35">
      <c r="B6" s="7" t="s">
        <v>9</v>
      </c>
      <c r="C6" s="12" t="s">
        <v>11</v>
      </c>
      <c r="D6" s="12" t="s">
        <v>10</v>
      </c>
      <c r="E6" s="12" t="s">
        <v>10</v>
      </c>
      <c r="F6" s="12" t="s">
        <v>10</v>
      </c>
      <c r="G6" s="12" t="s">
        <v>10</v>
      </c>
      <c r="H6" s="12" t="s">
        <v>10</v>
      </c>
      <c r="I6" s="2"/>
      <c r="J6" s="118" t="s">
        <v>40</v>
      </c>
      <c r="K6" s="119">
        <f>SUM(C24:C28)/100</f>
        <v>0.34200000000000003</v>
      </c>
      <c r="L6" s="119">
        <f>SUM(H24:H28)/100</f>
        <v>0.30599999999999999</v>
      </c>
      <c r="M6" s="9"/>
      <c r="N6" s="9"/>
      <c r="O6" s="9"/>
    </row>
    <row r="7" spans="2:15" ht="12.5" customHeight="1" x14ac:dyDescent="0.35">
      <c r="B7" s="7" t="s">
        <v>12</v>
      </c>
      <c r="C7" s="12">
        <v>6.49</v>
      </c>
      <c r="D7" s="12">
        <v>6.61</v>
      </c>
      <c r="E7" s="12">
        <v>6.6</v>
      </c>
      <c r="F7" s="12">
        <v>6.74</v>
      </c>
      <c r="G7" s="12">
        <v>6.82</v>
      </c>
      <c r="H7" s="12">
        <v>6.63</v>
      </c>
      <c r="I7" s="2"/>
      <c r="J7" s="118" t="s">
        <v>41</v>
      </c>
      <c r="K7" s="119">
        <f>SUM(C29:C30)/100</f>
        <v>5.0999999999999997E-2</v>
      </c>
      <c r="L7" s="119">
        <f>SUM(H29:H30)/100</f>
        <v>0</v>
      </c>
      <c r="M7" s="9"/>
      <c r="N7" s="9"/>
      <c r="O7" s="9"/>
    </row>
    <row r="8" spans="2:15" ht="12.5" customHeight="1" x14ac:dyDescent="0.35">
      <c r="B8" s="7" t="s">
        <v>13</v>
      </c>
      <c r="C8" s="12">
        <v>0.56000000000000005</v>
      </c>
      <c r="D8" s="12">
        <v>0.68</v>
      </c>
      <c r="E8" s="12">
        <v>0.67</v>
      </c>
      <c r="F8" s="12">
        <v>0.82</v>
      </c>
      <c r="G8" s="12">
        <v>0.9</v>
      </c>
      <c r="H8" s="12">
        <v>0.7</v>
      </c>
      <c r="I8" s="2"/>
      <c r="J8" s="9"/>
      <c r="K8" s="9"/>
      <c r="L8" s="9"/>
      <c r="M8" s="9"/>
      <c r="N8" s="9"/>
      <c r="O8" s="9"/>
    </row>
    <row r="9" spans="2:15" ht="12.5" customHeight="1" x14ac:dyDescent="0.35">
      <c r="B9" s="7" t="s">
        <v>14</v>
      </c>
      <c r="C9" s="12">
        <v>2.42</v>
      </c>
      <c r="D9" s="12">
        <v>0.56000000000000005</v>
      </c>
      <c r="E9" s="12">
        <v>0.73</v>
      </c>
      <c r="F9" s="12">
        <v>0.8</v>
      </c>
      <c r="G9" s="12">
        <v>0.81</v>
      </c>
      <c r="H9" s="12">
        <v>0.76</v>
      </c>
      <c r="I9" s="2"/>
      <c r="J9" s="9"/>
      <c r="K9" s="9"/>
      <c r="L9" s="9"/>
      <c r="M9" s="9"/>
      <c r="N9" s="9"/>
      <c r="O9" s="9"/>
    </row>
    <row r="10" spans="2:15" ht="12.5" customHeight="1" x14ac:dyDescent="0.35">
      <c r="B10" s="7" t="s">
        <v>15</v>
      </c>
      <c r="C10" s="46">
        <v>0.7</v>
      </c>
      <c r="D10" s="14">
        <v>9.9</v>
      </c>
      <c r="E10" s="106">
        <v>4.5999999999999996</v>
      </c>
      <c r="F10" s="34">
        <v>3.9</v>
      </c>
      <c r="G10" s="75">
        <v>2.5</v>
      </c>
      <c r="H10" s="109">
        <v>4.4000000000000004</v>
      </c>
      <c r="I10" s="3"/>
      <c r="J10" s="10"/>
      <c r="K10" s="11"/>
      <c r="L10" s="10"/>
      <c r="M10" s="10"/>
      <c r="N10" s="10"/>
      <c r="O10" s="10"/>
    </row>
    <row r="11" spans="2:15" ht="12.5" customHeight="1" x14ac:dyDescent="0.35">
      <c r="B11" s="7" t="s">
        <v>16</v>
      </c>
      <c r="C11" s="45">
        <v>0.8</v>
      </c>
      <c r="D11" s="19">
        <v>0</v>
      </c>
      <c r="E11" s="26">
        <v>0.9</v>
      </c>
      <c r="F11" s="66">
        <v>3.1</v>
      </c>
      <c r="G11" s="71">
        <v>5.6</v>
      </c>
      <c r="H11" s="77">
        <v>1.3</v>
      </c>
      <c r="I11" s="4"/>
      <c r="J11" s="10"/>
      <c r="K11" s="10"/>
      <c r="L11" s="10"/>
      <c r="M11" s="10"/>
      <c r="N11" s="10"/>
      <c r="O11" s="10"/>
    </row>
    <row r="12" spans="2:15" ht="12.5" customHeight="1" x14ac:dyDescent="0.35">
      <c r="B12" s="7" t="s">
        <v>17</v>
      </c>
      <c r="C12" s="83">
        <v>6</v>
      </c>
      <c r="D12" s="32">
        <v>6.5</v>
      </c>
      <c r="E12" s="45">
        <v>0.8</v>
      </c>
      <c r="F12" s="44">
        <v>0.5</v>
      </c>
      <c r="G12" s="61">
        <v>0.4</v>
      </c>
      <c r="H12" s="51">
        <v>0.6</v>
      </c>
      <c r="I12" s="3"/>
      <c r="J12" s="10"/>
      <c r="K12" s="10"/>
      <c r="L12" s="10"/>
      <c r="M12" s="10"/>
      <c r="N12" s="10"/>
      <c r="O12" s="10"/>
    </row>
    <row r="13" spans="2:15" ht="12.5" customHeight="1" x14ac:dyDescent="0.35">
      <c r="B13" s="7" t="s">
        <v>18</v>
      </c>
      <c r="C13" s="44">
        <v>0.5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3"/>
      <c r="J13" s="10"/>
      <c r="K13" s="10"/>
      <c r="L13" s="10"/>
      <c r="M13" s="10"/>
      <c r="N13" s="10"/>
      <c r="O13" s="10"/>
    </row>
    <row r="14" spans="2:15" ht="12.5" customHeight="1" x14ac:dyDescent="0.35">
      <c r="B14" s="7" t="s">
        <v>19</v>
      </c>
      <c r="C14" s="79">
        <v>3</v>
      </c>
      <c r="D14" s="28">
        <v>10</v>
      </c>
      <c r="E14" s="14">
        <v>9.9</v>
      </c>
      <c r="F14" s="29">
        <v>9.6999999999999993</v>
      </c>
      <c r="G14" s="97">
        <v>8.9</v>
      </c>
      <c r="H14" s="14">
        <v>9.9</v>
      </c>
      <c r="I14" s="4"/>
      <c r="J14" s="10"/>
      <c r="K14" s="11"/>
      <c r="L14" s="11"/>
      <c r="M14" s="11"/>
      <c r="N14" s="11"/>
      <c r="O14" s="11"/>
    </row>
    <row r="15" spans="2:15" ht="12.5" customHeight="1" x14ac:dyDescent="0.35">
      <c r="B15" s="7" t="s">
        <v>20</v>
      </c>
      <c r="C15" s="86">
        <v>4.5</v>
      </c>
      <c r="D15" s="28">
        <v>10</v>
      </c>
      <c r="E15" s="96">
        <v>8.1</v>
      </c>
      <c r="F15" s="35">
        <v>7</v>
      </c>
      <c r="G15" s="89">
        <v>5.2</v>
      </c>
      <c r="H15" s="52">
        <v>8</v>
      </c>
      <c r="I15" s="3"/>
      <c r="J15" s="10"/>
      <c r="K15" s="11"/>
      <c r="L15" s="11"/>
      <c r="M15" s="10"/>
      <c r="N15" s="10"/>
      <c r="O15" s="11"/>
    </row>
    <row r="16" spans="2:15" ht="12.5" customHeight="1" x14ac:dyDescent="0.35">
      <c r="B16" s="7" t="s">
        <v>21</v>
      </c>
      <c r="C16" s="92">
        <v>9</v>
      </c>
      <c r="D16" s="55">
        <v>9.8000000000000007</v>
      </c>
      <c r="E16" s="14">
        <v>9.9</v>
      </c>
      <c r="F16" s="55">
        <v>9.8000000000000007</v>
      </c>
      <c r="G16" s="37">
        <v>9.4</v>
      </c>
      <c r="H16" s="14">
        <v>9.9</v>
      </c>
      <c r="I16" s="4"/>
      <c r="J16" s="11"/>
      <c r="K16" s="11"/>
      <c r="L16" s="11"/>
      <c r="M16" s="11"/>
      <c r="N16" s="11"/>
      <c r="O16" s="11"/>
    </row>
    <row r="17" spans="2:15" ht="12.5" customHeight="1" x14ac:dyDescent="0.35">
      <c r="B17" s="7" t="s">
        <v>22</v>
      </c>
      <c r="C17" s="74">
        <v>19.399999999999999</v>
      </c>
      <c r="D17" s="19">
        <v>0</v>
      </c>
      <c r="E17" s="18">
        <v>2.6</v>
      </c>
      <c r="F17" s="68">
        <v>2.8</v>
      </c>
      <c r="G17" s="85">
        <v>2.7</v>
      </c>
      <c r="H17" s="75">
        <v>2.5</v>
      </c>
      <c r="I17" s="3"/>
      <c r="J17" s="11"/>
      <c r="K17" s="10"/>
      <c r="L17" s="10"/>
      <c r="M17" s="10"/>
      <c r="N17" s="10"/>
      <c r="O17" s="10"/>
    </row>
    <row r="18" spans="2:15" ht="12.5" customHeight="1" x14ac:dyDescent="0.35">
      <c r="B18" s="7" t="s">
        <v>23</v>
      </c>
      <c r="C18" s="45">
        <v>0.8</v>
      </c>
      <c r="D18" s="19">
        <v>0</v>
      </c>
      <c r="E18" s="61">
        <v>0.4</v>
      </c>
      <c r="F18" s="46">
        <v>0.7</v>
      </c>
      <c r="G18" s="103">
        <v>1</v>
      </c>
      <c r="H18" s="44">
        <v>0.5</v>
      </c>
      <c r="I18" s="3"/>
      <c r="J18" s="10"/>
      <c r="K18" s="10"/>
      <c r="L18" s="10"/>
      <c r="M18" s="10"/>
      <c r="N18" s="10"/>
      <c r="O18" s="10"/>
    </row>
    <row r="19" spans="2:15" ht="12.5" customHeight="1" x14ac:dyDescent="0.35">
      <c r="B19" s="7" t="s">
        <v>24</v>
      </c>
      <c r="C19" s="103">
        <v>1</v>
      </c>
      <c r="D19" s="19">
        <v>0</v>
      </c>
      <c r="E19" s="47">
        <v>2.1</v>
      </c>
      <c r="F19" s="95">
        <v>3.5</v>
      </c>
      <c r="G19" s="95">
        <v>3.5</v>
      </c>
      <c r="H19" s="18">
        <v>2.6</v>
      </c>
      <c r="I19" s="3"/>
      <c r="J19" s="10"/>
      <c r="K19" s="10"/>
      <c r="L19" s="10"/>
      <c r="M19" s="10"/>
      <c r="N19" s="10"/>
      <c r="O19" s="10"/>
    </row>
    <row r="20" spans="2:15" ht="12.5" customHeight="1" x14ac:dyDescent="0.35">
      <c r="B20" s="7" t="s">
        <v>25</v>
      </c>
      <c r="C20" s="19">
        <v>0</v>
      </c>
      <c r="D20" s="28">
        <v>10</v>
      </c>
      <c r="E20" s="93">
        <v>8.5</v>
      </c>
      <c r="F20" s="58">
        <v>4.3</v>
      </c>
      <c r="G20" s="21">
        <v>1.1000000000000001</v>
      </c>
      <c r="H20" s="98">
        <v>7.9</v>
      </c>
      <c r="I20" s="3"/>
      <c r="J20" s="10"/>
      <c r="K20" s="11"/>
      <c r="L20" s="11"/>
      <c r="M20" s="10"/>
      <c r="N20" s="10"/>
      <c r="O20" s="11"/>
    </row>
    <row r="21" spans="2:15" ht="12.5" customHeight="1" x14ac:dyDescent="0.35">
      <c r="B21" s="7" t="s">
        <v>26</v>
      </c>
      <c r="C21" s="63">
        <v>3.6</v>
      </c>
      <c r="D21" s="67">
        <v>4.9000000000000004</v>
      </c>
      <c r="E21" s="14">
        <v>9.9</v>
      </c>
      <c r="F21" s="14">
        <v>9.9</v>
      </c>
      <c r="G21" s="28">
        <v>10</v>
      </c>
      <c r="H21" s="14">
        <v>9.9</v>
      </c>
      <c r="I21" s="4"/>
      <c r="J21" s="10"/>
      <c r="K21" s="10"/>
      <c r="L21" s="11"/>
      <c r="M21" s="11"/>
      <c r="N21" s="11"/>
      <c r="O21" s="11"/>
    </row>
    <row r="22" spans="2:15" ht="12.5" customHeight="1" x14ac:dyDescent="0.35">
      <c r="B22" s="7" t="s">
        <v>27</v>
      </c>
      <c r="C22" s="110">
        <v>5</v>
      </c>
      <c r="D22" s="80">
        <v>8.6999999999999993</v>
      </c>
      <c r="E22" s="37">
        <v>9.4</v>
      </c>
      <c r="F22" s="30">
        <v>9.3000000000000007</v>
      </c>
      <c r="G22" s="30">
        <v>9.3000000000000007</v>
      </c>
      <c r="H22" s="30">
        <v>9.3000000000000007</v>
      </c>
      <c r="I22" s="4"/>
      <c r="J22" s="10"/>
      <c r="K22" s="11"/>
      <c r="L22" s="11"/>
      <c r="M22" s="11"/>
      <c r="N22" s="11"/>
      <c r="O22" s="11"/>
    </row>
    <row r="23" spans="2:15" ht="12.5" customHeight="1" x14ac:dyDescent="0.35">
      <c r="B23" s="7" t="s">
        <v>28</v>
      </c>
      <c r="C23" s="111">
        <v>6.6</v>
      </c>
      <c r="D23" s="40">
        <v>0.1</v>
      </c>
      <c r="E23" s="75">
        <v>2.5</v>
      </c>
      <c r="F23" s="81">
        <v>4.2</v>
      </c>
      <c r="G23" s="111">
        <v>6.6</v>
      </c>
      <c r="H23" s="18">
        <v>2.6</v>
      </c>
      <c r="I23" s="3"/>
      <c r="J23" s="10"/>
      <c r="K23" s="10"/>
      <c r="L23" s="10"/>
      <c r="M23" s="10"/>
      <c r="N23" s="10"/>
      <c r="O23" s="10"/>
    </row>
    <row r="24" spans="2:15" ht="12.5" customHeight="1" x14ac:dyDescent="0.35">
      <c r="B24" s="7" t="s">
        <v>29</v>
      </c>
      <c r="C24" s="107">
        <v>6.3</v>
      </c>
      <c r="D24" s="28">
        <v>10</v>
      </c>
      <c r="E24" s="28">
        <v>10</v>
      </c>
      <c r="F24" s="28">
        <v>10</v>
      </c>
      <c r="G24" s="28">
        <v>10</v>
      </c>
      <c r="H24" s="28">
        <v>10</v>
      </c>
      <c r="I24" s="4"/>
      <c r="J24" s="10"/>
      <c r="K24" s="11"/>
      <c r="L24" s="11"/>
      <c r="M24" s="11"/>
      <c r="N24" s="11"/>
      <c r="O24" s="11"/>
    </row>
    <row r="25" spans="2:15" ht="12.5" customHeight="1" x14ac:dyDescent="0.35">
      <c r="B25" s="7" t="s">
        <v>30</v>
      </c>
      <c r="C25" s="50">
        <v>7.4</v>
      </c>
      <c r="D25" s="28">
        <v>10</v>
      </c>
      <c r="E25" s="28">
        <v>10</v>
      </c>
      <c r="F25" s="28">
        <v>10</v>
      </c>
      <c r="G25" s="28">
        <v>10</v>
      </c>
      <c r="H25" s="28">
        <v>10</v>
      </c>
      <c r="I25" s="4"/>
      <c r="J25" s="11"/>
      <c r="K25" s="11"/>
      <c r="L25" s="11"/>
      <c r="M25" s="11"/>
      <c r="N25" s="11"/>
      <c r="O25" s="11"/>
    </row>
    <row r="26" spans="2:15" ht="12.5" customHeight="1" x14ac:dyDescent="0.35">
      <c r="B26" s="7" t="s">
        <v>31</v>
      </c>
      <c r="C26" s="46">
        <v>0.7</v>
      </c>
      <c r="D26" s="19">
        <v>0</v>
      </c>
      <c r="E26" s="20">
        <v>0.3</v>
      </c>
      <c r="F26" s="23">
        <v>0.2</v>
      </c>
      <c r="G26" s="40">
        <v>0.1</v>
      </c>
      <c r="H26" s="20">
        <v>0.3</v>
      </c>
      <c r="I26" s="3"/>
      <c r="J26" s="10"/>
      <c r="K26" s="10"/>
      <c r="L26" s="10"/>
      <c r="M26" s="10"/>
      <c r="N26" s="10"/>
      <c r="O26" s="10"/>
    </row>
    <row r="27" spans="2:15" ht="12.5" customHeight="1" x14ac:dyDescent="0.35">
      <c r="B27" s="7" t="s">
        <v>32</v>
      </c>
      <c r="C27" s="111">
        <v>6.6</v>
      </c>
      <c r="D27" s="28">
        <v>10</v>
      </c>
      <c r="E27" s="28">
        <v>10</v>
      </c>
      <c r="F27" s="28">
        <v>10</v>
      </c>
      <c r="G27" s="28">
        <v>10</v>
      </c>
      <c r="H27" s="28">
        <v>10</v>
      </c>
      <c r="I27" s="4"/>
      <c r="J27" s="10"/>
      <c r="K27" s="11"/>
      <c r="L27" s="11"/>
      <c r="M27" s="11"/>
      <c r="N27" s="11"/>
      <c r="O27" s="11"/>
    </row>
    <row r="28" spans="2:15" ht="12.5" customHeight="1" x14ac:dyDescent="0.35">
      <c r="B28" s="7" t="s">
        <v>33</v>
      </c>
      <c r="C28" s="112">
        <v>13.2</v>
      </c>
      <c r="D28" s="19">
        <v>0</v>
      </c>
      <c r="E28" s="23">
        <v>0.2</v>
      </c>
      <c r="F28" s="21">
        <v>1.1000000000000001</v>
      </c>
      <c r="G28" s="95">
        <v>3.5</v>
      </c>
      <c r="H28" s="20">
        <v>0.3</v>
      </c>
      <c r="I28" s="3"/>
      <c r="J28" s="11"/>
      <c r="K28" s="10"/>
      <c r="L28" s="10"/>
      <c r="M28" s="10"/>
      <c r="N28" s="10"/>
      <c r="O28" s="10"/>
    </row>
    <row r="29" spans="2:15" ht="12.5" customHeight="1" x14ac:dyDescent="0.35">
      <c r="B29" s="7" t="s">
        <v>34</v>
      </c>
      <c r="C29" s="91">
        <v>3.4</v>
      </c>
      <c r="D29" s="40">
        <v>0.1</v>
      </c>
      <c r="E29" s="19">
        <v>0</v>
      </c>
      <c r="F29" s="19">
        <v>0</v>
      </c>
      <c r="G29" s="19">
        <v>0</v>
      </c>
      <c r="H29" s="19">
        <v>0</v>
      </c>
      <c r="I29" s="3"/>
      <c r="J29" s="10"/>
      <c r="K29" s="10"/>
      <c r="L29" s="10"/>
      <c r="M29" s="10"/>
      <c r="N29" s="10"/>
      <c r="O29" s="10"/>
    </row>
    <row r="30" spans="2:15" ht="12.5" customHeight="1" x14ac:dyDescent="0.35">
      <c r="B30" s="7" t="s">
        <v>35</v>
      </c>
      <c r="C30" s="48">
        <v>1.7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3"/>
      <c r="J30" s="10"/>
      <c r="K30" s="10"/>
      <c r="L30" s="10"/>
      <c r="M30" s="10"/>
      <c r="N30" s="10"/>
      <c r="O30" s="10"/>
    </row>
    <row r="31" spans="2:15" x14ac:dyDescent="0.35">
      <c r="C31" s="5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C2688-1456-4BE3-B510-BFA439E44B89}">
  <dimension ref="B2:O31"/>
  <sheetViews>
    <sheetView zoomScale="80" zoomScaleNormal="80" workbookViewId="0">
      <selection activeCell="L21" sqref="L21"/>
    </sheetView>
  </sheetViews>
  <sheetFormatPr defaultRowHeight="14.5" x14ac:dyDescent="0.35"/>
  <cols>
    <col min="2" max="2" width="33.54296875" customWidth="1"/>
    <col min="3" max="8" width="9.6328125" customWidth="1"/>
    <col min="9" max="9" width="7.6328125" customWidth="1"/>
    <col min="10" max="10" width="15.81640625" bestFit="1" customWidth="1"/>
  </cols>
  <sheetData>
    <row r="2" spans="2:15" ht="13.5" customHeight="1" x14ac:dyDescent="0.35">
      <c r="B2" s="6" t="s">
        <v>36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1"/>
      <c r="J2" s="1"/>
    </row>
    <row r="3" spans="2:15" ht="12.5" customHeight="1" x14ac:dyDescent="0.35">
      <c r="B3" s="7" t="s">
        <v>6</v>
      </c>
      <c r="C3" s="12">
        <v>4.57</v>
      </c>
      <c r="D3" s="12">
        <v>4.5599999999999996</v>
      </c>
      <c r="E3" s="12">
        <v>4.6900000000000004</v>
      </c>
      <c r="F3" s="12">
        <v>4.7699999999999996</v>
      </c>
      <c r="G3" s="12">
        <v>4.82</v>
      </c>
      <c r="H3" s="12">
        <v>4.72</v>
      </c>
      <c r="I3" s="2"/>
      <c r="J3" s="118" t="s">
        <v>37</v>
      </c>
      <c r="K3" s="119">
        <f>SUM(C10:C13)/100</f>
        <v>0.21100000000000002</v>
      </c>
      <c r="L3" s="119">
        <f>SUM(H10:H13)/100</f>
        <v>6.4000000000000001E-2</v>
      </c>
      <c r="M3" s="9"/>
      <c r="N3" s="9"/>
      <c r="O3" s="9"/>
    </row>
    <row r="4" spans="2:15" ht="12.5" customHeight="1" x14ac:dyDescent="0.35">
      <c r="B4" s="7" t="s">
        <v>7</v>
      </c>
      <c r="C4" s="12">
        <v>3.48</v>
      </c>
      <c r="D4" s="12">
        <v>2.71</v>
      </c>
      <c r="E4" s="12">
        <v>2.91</v>
      </c>
      <c r="F4" s="12">
        <v>3.13</v>
      </c>
      <c r="G4" s="12">
        <v>3.32</v>
      </c>
      <c r="H4" s="12">
        <v>2.97</v>
      </c>
      <c r="I4" s="2"/>
      <c r="J4" s="118" t="s">
        <v>38</v>
      </c>
      <c r="K4" s="119">
        <f>SUM(C14:C20)/100</f>
        <v>0.317</v>
      </c>
      <c r="L4" s="119">
        <f>SUM(H14:H20)/100</f>
        <v>0.40200000000000002</v>
      </c>
      <c r="M4" s="9"/>
      <c r="N4" s="9"/>
      <c r="O4" s="9"/>
    </row>
    <row r="5" spans="2:15" ht="12.5" customHeight="1" x14ac:dyDescent="0.35">
      <c r="B5" s="7" t="s">
        <v>8</v>
      </c>
      <c r="C5" s="12">
        <v>0.16</v>
      </c>
      <c r="D5" s="12">
        <v>0.2</v>
      </c>
      <c r="E5" s="12">
        <v>0.24</v>
      </c>
      <c r="F5" s="12">
        <v>0.25</v>
      </c>
      <c r="G5" s="12">
        <v>0.25</v>
      </c>
      <c r="H5" s="12">
        <v>0.24</v>
      </c>
      <c r="I5" s="2"/>
      <c r="J5" s="118" t="s">
        <v>39</v>
      </c>
      <c r="K5" s="119">
        <f>SUM(C21:C23)/100</f>
        <v>0.08</v>
      </c>
      <c r="L5" s="119">
        <f>SUM(H21:H23)/100</f>
        <v>0.223</v>
      </c>
      <c r="M5" s="9"/>
      <c r="N5" s="9"/>
      <c r="O5" s="9"/>
    </row>
    <row r="6" spans="2:15" ht="12.5" customHeight="1" x14ac:dyDescent="0.35">
      <c r="B6" s="7" t="s">
        <v>9</v>
      </c>
      <c r="C6" s="12" t="s">
        <v>10</v>
      </c>
      <c r="D6" s="12" t="s">
        <v>10</v>
      </c>
      <c r="E6" s="12" t="s">
        <v>10</v>
      </c>
      <c r="F6" s="12" t="s">
        <v>10</v>
      </c>
      <c r="G6" s="12" t="s">
        <v>10</v>
      </c>
      <c r="H6" s="12" t="s">
        <v>10</v>
      </c>
      <c r="I6" s="2"/>
      <c r="J6" s="118" t="s">
        <v>40</v>
      </c>
      <c r="K6" s="119">
        <f>SUM(C24:C28)/100</f>
        <v>0.36699999999999994</v>
      </c>
      <c r="L6" s="119">
        <f>SUM(H24:H28)/100</f>
        <v>0.311</v>
      </c>
      <c r="M6" s="9"/>
      <c r="N6" s="9"/>
      <c r="O6" s="9"/>
    </row>
    <row r="7" spans="2:15" ht="12.5" customHeight="1" x14ac:dyDescent="0.35">
      <c r="B7" s="7" t="s">
        <v>12</v>
      </c>
      <c r="C7" s="12">
        <v>6.84</v>
      </c>
      <c r="D7" s="12">
        <v>6.53</v>
      </c>
      <c r="E7" s="12">
        <v>6.48</v>
      </c>
      <c r="F7" s="12">
        <v>6.5</v>
      </c>
      <c r="G7" s="12">
        <v>6.53</v>
      </c>
      <c r="H7" s="12">
        <v>6.48</v>
      </c>
      <c r="I7" s="2"/>
      <c r="J7" s="118" t="s">
        <v>41</v>
      </c>
      <c r="K7" s="119">
        <f>SUM(C29:C30)/100</f>
        <v>2.6000000000000002E-2</v>
      </c>
      <c r="L7" s="119">
        <f>SUM(H29:H30)/100</f>
        <v>0</v>
      </c>
      <c r="M7" s="9"/>
      <c r="N7" s="9"/>
      <c r="O7" s="9"/>
    </row>
    <row r="8" spans="2:15" ht="12.5" customHeight="1" x14ac:dyDescent="0.35">
      <c r="B8" s="7" t="s">
        <v>13</v>
      </c>
      <c r="C8" s="12">
        <v>1.27</v>
      </c>
      <c r="D8" s="12">
        <v>0.97</v>
      </c>
      <c r="E8" s="12">
        <v>0.91</v>
      </c>
      <c r="F8" s="12">
        <v>0.94</v>
      </c>
      <c r="G8" s="12">
        <v>0.97</v>
      </c>
      <c r="H8" s="12">
        <v>0.92</v>
      </c>
      <c r="I8" s="2"/>
      <c r="J8" s="9"/>
      <c r="K8" s="9"/>
      <c r="L8" s="9"/>
      <c r="M8" s="9"/>
      <c r="N8" s="9"/>
      <c r="O8" s="9"/>
    </row>
    <row r="9" spans="2:15" ht="12.5" customHeight="1" x14ac:dyDescent="0.35">
      <c r="B9" s="7" t="s">
        <v>14</v>
      </c>
      <c r="C9" s="12">
        <v>1.66</v>
      </c>
      <c r="D9" s="12">
        <v>0.56999999999999995</v>
      </c>
      <c r="E9" s="12">
        <v>0.71</v>
      </c>
      <c r="F9" s="12">
        <v>0.79</v>
      </c>
      <c r="G9" s="12">
        <v>0.82</v>
      </c>
      <c r="H9" s="12">
        <v>0.74</v>
      </c>
      <c r="I9" s="2"/>
      <c r="J9" s="9"/>
      <c r="K9" s="9"/>
      <c r="L9" s="9"/>
      <c r="M9" s="9"/>
      <c r="N9" s="9"/>
      <c r="O9" s="9"/>
    </row>
    <row r="10" spans="2:15" ht="12.5" customHeight="1" x14ac:dyDescent="0.35">
      <c r="B10" s="7" t="s">
        <v>15</v>
      </c>
      <c r="C10" s="75">
        <v>2.5</v>
      </c>
      <c r="D10" s="14">
        <v>9.9</v>
      </c>
      <c r="E10" s="71">
        <v>5.6</v>
      </c>
      <c r="F10" s="65">
        <v>5.3</v>
      </c>
      <c r="G10" s="13">
        <v>3.7</v>
      </c>
      <c r="H10" s="71">
        <v>5.6</v>
      </c>
      <c r="I10" s="3"/>
      <c r="J10" s="10"/>
      <c r="K10" s="11"/>
      <c r="L10" s="10"/>
      <c r="M10" s="10"/>
      <c r="N10" s="10"/>
      <c r="O10" s="10"/>
    </row>
    <row r="11" spans="2:15" ht="12.5" customHeight="1" x14ac:dyDescent="0.35">
      <c r="B11" s="7" t="s">
        <v>16</v>
      </c>
      <c r="C11" s="18">
        <v>2.6</v>
      </c>
      <c r="D11" s="19">
        <v>0</v>
      </c>
      <c r="E11" s="20">
        <v>0.3</v>
      </c>
      <c r="F11" s="26">
        <v>0.9</v>
      </c>
      <c r="G11" s="22">
        <v>1.9</v>
      </c>
      <c r="H11" s="61">
        <v>0.4</v>
      </c>
      <c r="I11" s="4"/>
      <c r="J11" s="10"/>
      <c r="K11" s="10"/>
      <c r="L11" s="10"/>
      <c r="M11" s="10"/>
      <c r="N11" s="10"/>
      <c r="O11" s="10"/>
    </row>
    <row r="12" spans="2:15" ht="12.5" customHeight="1" x14ac:dyDescent="0.35">
      <c r="B12" s="7" t="s">
        <v>17</v>
      </c>
      <c r="C12" s="90">
        <v>1.4</v>
      </c>
      <c r="D12" s="87">
        <v>5.0999999999999996</v>
      </c>
      <c r="E12" s="61">
        <v>0.4</v>
      </c>
      <c r="F12" s="61">
        <v>0.4</v>
      </c>
      <c r="G12" s="20">
        <v>0.3</v>
      </c>
      <c r="H12" s="61">
        <v>0.4</v>
      </c>
      <c r="I12" s="3"/>
      <c r="J12" s="10"/>
      <c r="K12" s="10"/>
      <c r="L12" s="10"/>
      <c r="M12" s="10"/>
      <c r="N12" s="10"/>
      <c r="O12" s="10"/>
    </row>
    <row r="13" spans="2:15" ht="12.5" customHeight="1" x14ac:dyDescent="0.35">
      <c r="B13" s="7" t="s">
        <v>18</v>
      </c>
      <c r="C13" s="100">
        <v>14.6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3"/>
      <c r="J13" s="11"/>
      <c r="K13" s="10"/>
      <c r="L13" s="10"/>
      <c r="M13" s="10"/>
      <c r="N13" s="10"/>
      <c r="O13" s="10"/>
    </row>
    <row r="14" spans="2:15" ht="12.5" customHeight="1" x14ac:dyDescent="0.35">
      <c r="B14" s="7" t="s">
        <v>19</v>
      </c>
      <c r="C14" s="85">
        <v>2.7</v>
      </c>
      <c r="D14" s="28">
        <v>10</v>
      </c>
      <c r="E14" s="55">
        <v>9.8000000000000007</v>
      </c>
      <c r="F14" s="36">
        <v>9.6</v>
      </c>
      <c r="G14" s="30">
        <v>9.3000000000000007</v>
      </c>
      <c r="H14" s="55">
        <v>9.8000000000000007</v>
      </c>
      <c r="I14" s="4"/>
      <c r="J14" s="10"/>
      <c r="K14" s="11"/>
      <c r="L14" s="11"/>
      <c r="M14" s="11"/>
      <c r="N14" s="11"/>
      <c r="O14" s="11"/>
    </row>
    <row r="15" spans="2:15" ht="12.5" customHeight="1" x14ac:dyDescent="0.35">
      <c r="B15" s="7" t="s">
        <v>20</v>
      </c>
      <c r="C15" s="33">
        <v>5.4</v>
      </c>
      <c r="D15" s="28">
        <v>10</v>
      </c>
      <c r="E15" s="98">
        <v>7.9</v>
      </c>
      <c r="F15" s="72">
        <v>7.2</v>
      </c>
      <c r="G15" s="82">
        <v>6.8</v>
      </c>
      <c r="H15" s="50">
        <v>7.4</v>
      </c>
      <c r="I15" s="3"/>
      <c r="J15" s="10"/>
      <c r="K15" s="11"/>
      <c r="L15" s="11"/>
      <c r="M15" s="10"/>
      <c r="N15" s="10"/>
      <c r="O15" s="11"/>
    </row>
    <row r="16" spans="2:15" ht="12.5" customHeight="1" x14ac:dyDescent="0.35">
      <c r="B16" s="7" t="s">
        <v>21</v>
      </c>
      <c r="C16" s="101">
        <v>8.1999999999999993</v>
      </c>
      <c r="D16" s="36">
        <v>9.6</v>
      </c>
      <c r="E16" s="14">
        <v>9.9</v>
      </c>
      <c r="F16" s="14">
        <v>9.9</v>
      </c>
      <c r="G16" s="55">
        <v>9.8000000000000007</v>
      </c>
      <c r="H16" s="14">
        <v>9.9</v>
      </c>
      <c r="I16" s="4"/>
      <c r="J16" s="11"/>
      <c r="K16" s="11"/>
      <c r="L16" s="11"/>
      <c r="M16" s="11"/>
      <c r="N16" s="11"/>
      <c r="O16" s="11"/>
    </row>
    <row r="17" spans="2:15" ht="12.5" customHeight="1" x14ac:dyDescent="0.35">
      <c r="B17" s="7" t="s">
        <v>22</v>
      </c>
      <c r="C17" s="102">
        <v>7.7</v>
      </c>
      <c r="D17" s="40">
        <v>0.1</v>
      </c>
      <c r="E17" s="85">
        <v>2.7</v>
      </c>
      <c r="F17" s="85">
        <v>2.7</v>
      </c>
      <c r="G17" s="66">
        <v>3.1</v>
      </c>
      <c r="H17" s="43">
        <v>2.4</v>
      </c>
      <c r="I17" s="3"/>
      <c r="J17" s="11"/>
      <c r="K17" s="10"/>
      <c r="L17" s="10"/>
      <c r="M17" s="10"/>
      <c r="N17" s="10"/>
      <c r="O17" s="10"/>
    </row>
    <row r="18" spans="2:15" ht="12.5" customHeight="1" x14ac:dyDescent="0.35">
      <c r="B18" s="7" t="s">
        <v>23</v>
      </c>
      <c r="C18" s="45">
        <v>0.8</v>
      </c>
      <c r="D18" s="19">
        <v>0</v>
      </c>
      <c r="E18" s="61">
        <v>0.4</v>
      </c>
      <c r="F18" s="45">
        <v>0.8</v>
      </c>
      <c r="G18" s="103">
        <v>1</v>
      </c>
      <c r="H18" s="51">
        <v>0.6</v>
      </c>
      <c r="I18" s="3"/>
      <c r="J18" s="10"/>
      <c r="K18" s="10"/>
      <c r="L18" s="10"/>
      <c r="M18" s="10"/>
      <c r="N18" s="10"/>
      <c r="O18" s="10"/>
    </row>
    <row r="19" spans="2:15" ht="12.5" customHeight="1" x14ac:dyDescent="0.35">
      <c r="B19" s="7" t="s">
        <v>24</v>
      </c>
      <c r="C19" s="26">
        <v>0.9</v>
      </c>
      <c r="D19" s="19">
        <v>0</v>
      </c>
      <c r="E19" s="77">
        <v>1.3</v>
      </c>
      <c r="F19" s="76">
        <v>2.9</v>
      </c>
      <c r="G19" s="24">
        <v>3.3</v>
      </c>
      <c r="H19" s="60">
        <v>2</v>
      </c>
      <c r="I19" s="3"/>
      <c r="J19" s="10"/>
      <c r="K19" s="10"/>
      <c r="L19" s="10"/>
      <c r="M19" s="10"/>
      <c r="N19" s="10"/>
      <c r="O19" s="10"/>
    </row>
    <row r="20" spans="2:15" ht="12.5" customHeight="1" x14ac:dyDescent="0.35">
      <c r="B20" s="7" t="s">
        <v>25</v>
      </c>
      <c r="C20" s="83">
        <v>6</v>
      </c>
      <c r="D20" s="28">
        <v>10</v>
      </c>
      <c r="E20" s="104">
        <v>8.8000000000000007</v>
      </c>
      <c r="F20" s="67">
        <v>4.9000000000000004</v>
      </c>
      <c r="G20" s="78">
        <v>1.6</v>
      </c>
      <c r="H20" s="96">
        <v>8.1</v>
      </c>
      <c r="I20" s="3"/>
      <c r="J20" s="10"/>
      <c r="K20" s="11"/>
      <c r="L20" s="11"/>
      <c r="M20" s="10"/>
      <c r="N20" s="10"/>
      <c r="O20" s="11"/>
    </row>
    <row r="21" spans="2:15" ht="12.5" customHeight="1" x14ac:dyDescent="0.35">
      <c r="B21" s="7" t="s">
        <v>26</v>
      </c>
      <c r="C21" s="103">
        <v>1</v>
      </c>
      <c r="D21" s="105">
        <v>5.7</v>
      </c>
      <c r="E21" s="28">
        <v>10</v>
      </c>
      <c r="F21" s="28">
        <v>10</v>
      </c>
      <c r="G21" s="28">
        <v>10</v>
      </c>
      <c r="H21" s="28">
        <v>10</v>
      </c>
      <c r="I21" s="4"/>
      <c r="J21" s="10"/>
      <c r="K21" s="10"/>
      <c r="L21" s="11"/>
      <c r="M21" s="11"/>
      <c r="N21" s="11"/>
      <c r="O21" s="11"/>
    </row>
    <row r="22" spans="2:15" ht="12.5" customHeight="1" x14ac:dyDescent="0.35">
      <c r="B22" s="7" t="s">
        <v>27</v>
      </c>
      <c r="C22" s="43">
        <v>2.4</v>
      </c>
      <c r="D22" s="30">
        <v>9.3000000000000007</v>
      </c>
      <c r="E22" s="36">
        <v>9.6</v>
      </c>
      <c r="F22" s="36">
        <v>9.6</v>
      </c>
      <c r="G22" s="29">
        <v>9.6999999999999993</v>
      </c>
      <c r="H22" s="69">
        <v>9.5</v>
      </c>
      <c r="I22" s="4"/>
      <c r="J22" s="10"/>
      <c r="K22" s="11"/>
      <c r="L22" s="11"/>
      <c r="M22" s="11"/>
      <c r="N22" s="11"/>
      <c r="O22" s="11"/>
    </row>
    <row r="23" spans="2:15" ht="12.5" customHeight="1" x14ac:dyDescent="0.35">
      <c r="B23" s="7" t="s">
        <v>28</v>
      </c>
      <c r="C23" s="106">
        <v>4.5999999999999996</v>
      </c>
      <c r="D23" s="19">
        <v>0</v>
      </c>
      <c r="E23" s="43">
        <v>2.4</v>
      </c>
      <c r="F23" s="59">
        <v>4.0999999999999996</v>
      </c>
      <c r="G23" s="31">
        <v>6.4</v>
      </c>
      <c r="H23" s="68">
        <v>2.8</v>
      </c>
      <c r="I23" s="3"/>
      <c r="J23" s="10"/>
      <c r="K23" s="10"/>
      <c r="L23" s="10"/>
      <c r="M23" s="10"/>
      <c r="N23" s="10"/>
      <c r="O23" s="10"/>
    </row>
    <row r="24" spans="2:15" ht="12.5" customHeight="1" x14ac:dyDescent="0.35">
      <c r="B24" s="7" t="s">
        <v>29</v>
      </c>
      <c r="C24" s="62">
        <v>13.4</v>
      </c>
      <c r="D24" s="28">
        <v>10</v>
      </c>
      <c r="E24" s="28">
        <v>10</v>
      </c>
      <c r="F24" s="28">
        <v>10</v>
      </c>
      <c r="G24" s="28">
        <v>10</v>
      </c>
      <c r="H24" s="28">
        <v>10</v>
      </c>
      <c r="I24" s="4"/>
      <c r="J24" s="11"/>
      <c r="K24" s="11"/>
      <c r="L24" s="11"/>
      <c r="M24" s="11"/>
      <c r="N24" s="11"/>
      <c r="O24" s="11"/>
    </row>
    <row r="25" spans="2:15" ht="12.5" customHeight="1" x14ac:dyDescent="0.35">
      <c r="B25" s="7" t="s">
        <v>30</v>
      </c>
      <c r="C25" s="107">
        <v>6.3</v>
      </c>
      <c r="D25" s="28">
        <v>10</v>
      </c>
      <c r="E25" s="28">
        <v>10</v>
      </c>
      <c r="F25" s="28">
        <v>10</v>
      </c>
      <c r="G25" s="28">
        <v>10</v>
      </c>
      <c r="H25" s="28">
        <v>10</v>
      </c>
      <c r="I25" s="4"/>
      <c r="J25" s="10"/>
      <c r="K25" s="11"/>
      <c r="L25" s="11"/>
      <c r="M25" s="11"/>
      <c r="N25" s="11"/>
      <c r="O25" s="11"/>
    </row>
    <row r="26" spans="2:15" ht="12.5" customHeight="1" x14ac:dyDescent="0.35">
      <c r="B26" s="7" t="s">
        <v>31</v>
      </c>
      <c r="C26" s="90">
        <v>1.4</v>
      </c>
      <c r="D26" s="19">
        <v>0</v>
      </c>
      <c r="E26" s="44">
        <v>0.5</v>
      </c>
      <c r="F26" s="61">
        <v>0.4</v>
      </c>
      <c r="G26" s="20">
        <v>0.3</v>
      </c>
      <c r="H26" s="44">
        <v>0.5</v>
      </c>
      <c r="I26" s="3"/>
      <c r="J26" s="10"/>
      <c r="K26" s="10"/>
      <c r="L26" s="10"/>
      <c r="M26" s="10"/>
      <c r="N26" s="10"/>
      <c r="O26" s="10"/>
    </row>
    <row r="27" spans="2:15" ht="12.5" customHeight="1" x14ac:dyDescent="0.35">
      <c r="B27" s="7" t="s">
        <v>32</v>
      </c>
      <c r="C27" s="89">
        <v>5.2</v>
      </c>
      <c r="D27" s="28">
        <v>10</v>
      </c>
      <c r="E27" s="28">
        <v>10</v>
      </c>
      <c r="F27" s="28">
        <v>10</v>
      </c>
      <c r="G27" s="28">
        <v>10</v>
      </c>
      <c r="H27" s="28">
        <v>10</v>
      </c>
      <c r="I27" s="4"/>
      <c r="J27" s="10"/>
      <c r="K27" s="11"/>
      <c r="L27" s="11"/>
      <c r="M27" s="11"/>
      <c r="N27" s="11"/>
      <c r="O27" s="11"/>
    </row>
    <row r="28" spans="2:15" ht="12.5" customHeight="1" x14ac:dyDescent="0.35">
      <c r="B28" s="7" t="s">
        <v>33</v>
      </c>
      <c r="C28" s="108">
        <v>10.4</v>
      </c>
      <c r="D28" s="19">
        <v>0</v>
      </c>
      <c r="E28" s="61">
        <v>0.4</v>
      </c>
      <c r="F28" s="77">
        <v>1.3</v>
      </c>
      <c r="G28" s="76">
        <v>2.9</v>
      </c>
      <c r="H28" s="51">
        <v>0.6</v>
      </c>
      <c r="I28" s="3"/>
      <c r="J28" s="11"/>
      <c r="K28" s="10"/>
      <c r="L28" s="10"/>
      <c r="M28" s="10"/>
      <c r="N28" s="10"/>
      <c r="O28" s="10"/>
    </row>
    <row r="29" spans="2:15" ht="12.5" customHeight="1" x14ac:dyDescent="0.35">
      <c r="B29" s="7" t="s">
        <v>34</v>
      </c>
      <c r="C29" s="47">
        <v>2.1</v>
      </c>
      <c r="D29" s="23">
        <v>0.2</v>
      </c>
      <c r="E29" s="19">
        <v>0</v>
      </c>
      <c r="F29" s="19">
        <v>0</v>
      </c>
      <c r="G29" s="19">
        <v>0</v>
      </c>
      <c r="H29" s="19">
        <v>0</v>
      </c>
      <c r="I29" s="3"/>
      <c r="J29" s="10"/>
      <c r="K29" s="10"/>
      <c r="L29" s="10"/>
      <c r="M29" s="10"/>
      <c r="N29" s="10"/>
      <c r="O29" s="10"/>
    </row>
    <row r="30" spans="2:15" ht="12.5" customHeight="1" x14ac:dyDescent="0.35">
      <c r="B30" s="7" t="s">
        <v>35</v>
      </c>
      <c r="C30" s="44">
        <v>0.5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3"/>
      <c r="J30" s="10"/>
      <c r="K30" s="10"/>
      <c r="L30" s="10"/>
      <c r="M30" s="10"/>
      <c r="N30" s="10"/>
      <c r="O30" s="10"/>
    </row>
    <row r="31" spans="2:15" x14ac:dyDescent="0.35">
      <c r="C31" s="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D1D9E-6487-4861-BA42-2A6735653241}">
  <dimension ref="B2:O31"/>
  <sheetViews>
    <sheetView showGridLines="0" zoomScale="80" zoomScaleNormal="80" workbookViewId="0">
      <selection activeCell="U33" sqref="U33"/>
    </sheetView>
  </sheetViews>
  <sheetFormatPr defaultRowHeight="14.5" x14ac:dyDescent="0.35"/>
  <cols>
    <col min="2" max="2" width="33.54296875" customWidth="1"/>
    <col min="3" max="8" width="9.6328125" customWidth="1"/>
    <col min="9" max="9" width="7.6328125" customWidth="1"/>
    <col min="10" max="10" width="15.81640625" bestFit="1" customWidth="1"/>
  </cols>
  <sheetData>
    <row r="2" spans="2:15" ht="13.5" customHeight="1" x14ac:dyDescent="0.35">
      <c r="B2" s="6" t="s">
        <v>36</v>
      </c>
      <c r="C2" s="8" t="s">
        <v>0</v>
      </c>
      <c r="D2" s="8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1"/>
      <c r="J2" s="1"/>
    </row>
    <row r="3" spans="2:15" ht="12.5" customHeight="1" x14ac:dyDescent="0.35">
      <c r="B3" s="7" t="s">
        <v>6</v>
      </c>
      <c r="C3" s="12">
        <v>4.82</v>
      </c>
      <c r="D3" s="12">
        <v>4.55</v>
      </c>
      <c r="E3" s="12">
        <v>4.71</v>
      </c>
      <c r="F3" s="12">
        <v>4.8</v>
      </c>
      <c r="G3" s="12">
        <v>4.8499999999999996</v>
      </c>
      <c r="H3" s="12">
        <v>4.72</v>
      </c>
      <c r="I3" s="2"/>
      <c r="J3" s="118" t="s">
        <v>37</v>
      </c>
      <c r="K3" s="119">
        <f>SUM(C10:C13)/100</f>
        <v>6.4000000000000001E-2</v>
      </c>
      <c r="L3" s="119">
        <f>SUM(H10:H13)/100</f>
        <v>6.2E-2</v>
      </c>
      <c r="M3" s="9"/>
      <c r="N3" s="9"/>
      <c r="O3" s="9"/>
    </row>
    <row r="4" spans="2:15" ht="12.5" customHeight="1" x14ac:dyDescent="0.35">
      <c r="B4" s="7" t="s">
        <v>7</v>
      </c>
      <c r="C4" s="12">
        <v>3.62</v>
      </c>
      <c r="D4" s="12">
        <v>2.71</v>
      </c>
      <c r="E4" s="12">
        <v>2.96</v>
      </c>
      <c r="F4" s="12">
        <v>3.21</v>
      </c>
      <c r="G4" s="12">
        <v>3.45</v>
      </c>
      <c r="H4" s="12">
        <v>2.99</v>
      </c>
      <c r="I4" s="2"/>
      <c r="J4" s="118" t="s">
        <v>38</v>
      </c>
      <c r="K4" s="119">
        <f>SUM(C14:C20)/100</f>
        <v>0.26700000000000002</v>
      </c>
      <c r="L4" s="119">
        <f>SUM(H14:H20)/100</f>
        <v>0.41100000000000003</v>
      </c>
      <c r="M4" s="9"/>
      <c r="N4" s="9"/>
      <c r="O4" s="9"/>
    </row>
    <row r="5" spans="2:15" ht="12.5" customHeight="1" x14ac:dyDescent="0.35">
      <c r="B5" s="7" t="s">
        <v>8</v>
      </c>
      <c r="C5" s="12">
        <v>0.23</v>
      </c>
      <c r="D5" s="12">
        <v>0.2</v>
      </c>
      <c r="E5" s="12">
        <v>0.24</v>
      </c>
      <c r="F5" s="12">
        <v>0.25</v>
      </c>
      <c r="G5" s="12">
        <v>0.25</v>
      </c>
      <c r="H5" s="12">
        <v>0.24</v>
      </c>
      <c r="I5" s="2"/>
      <c r="J5" s="118" t="s">
        <v>39</v>
      </c>
      <c r="K5" s="119">
        <f>SUM(C21:C23)/100</f>
        <v>0.25900000000000001</v>
      </c>
      <c r="L5" s="119">
        <f>SUM(H21:H23)/100</f>
        <v>0.22</v>
      </c>
      <c r="M5" s="9"/>
      <c r="N5" s="9"/>
      <c r="O5" s="9"/>
    </row>
    <row r="6" spans="2:15" ht="12.5" customHeight="1" x14ac:dyDescent="0.35">
      <c r="B6" s="7" t="s">
        <v>9</v>
      </c>
      <c r="C6" s="12" t="s">
        <v>10</v>
      </c>
      <c r="D6" s="12" t="s">
        <v>10</v>
      </c>
      <c r="E6" s="12" t="s">
        <v>10</v>
      </c>
      <c r="F6" s="12" t="s">
        <v>10</v>
      </c>
      <c r="G6" s="12" t="s">
        <v>10</v>
      </c>
      <c r="H6" s="12" t="s">
        <v>10</v>
      </c>
      <c r="I6" s="2"/>
      <c r="J6" s="118" t="s">
        <v>40</v>
      </c>
      <c r="K6" s="119">
        <f>SUM(C24:C28)/100</f>
        <v>0.36700000000000005</v>
      </c>
      <c r="L6" s="119">
        <f>SUM(H24:H28)/100</f>
        <v>0.30599999999999999</v>
      </c>
      <c r="M6" s="9"/>
      <c r="N6" s="9"/>
      <c r="O6" s="9"/>
    </row>
    <row r="7" spans="2:15" ht="12.5" customHeight="1" x14ac:dyDescent="0.35">
      <c r="B7" s="7" t="s">
        <v>12</v>
      </c>
      <c r="C7" s="12">
        <v>6.2</v>
      </c>
      <c r="D7" s="12">
        <v>6.56</v>
      </c>
      <c r="E7" s="12">
        <v>6.63</v>
      </c>
      <c r="F7" s="12">
        <v>6.74</v>
      </c>
      <c r="G7" s="12">
        <v>6.79</v>
      </c>
      <c r="H7" s="12">
        <v>6.65</v>
      </c>
      <c r="I7" s="2"/>
      <c r="J7" s="118" t="s">
        <v>41</v>
      </c>
      <c r="K7" s="119">
        <f>SUM(C29:C30)/100</f>
        <v>4.4999999999999998E-2</v>
      </c>
      <c r="L7" s="119">
        <f>SUM(H29:H30)/100</f>
        <v>0</v>
      </c>
      <c r="M7" s="9"/>
      <c r="N7" s="9"/>
      <c r="O7" s="9"/>
    </row>
    <row r="8" spans="2:15" ht="12.5" customHeight="1" x14ac:dyDescent="0.35">
      <c r="B8" s="7" t="s">
        <v>13</v>
      </c>
      <c r="C8" s="12">
        <v>0.31</v>
      </c>
      <c r="D8" s="12">
        <v>0.67</v>
      </c>
      <c r="E8" s="12">
        <v>0.74</v>
      </c>
      <c r="F8" s="12">
        <v>0.85</v>
      </c>
      <c r="G8" s="12">
        <v>0.9</v>
      </c>
      <c r="H8" s="12">
        <v>0.76</v>
      </c>
      <c r="I8" s="2"/>
      <c r="J8" s="9"/>
      <c r="K8" s="9"/>
      <c r="L8" s="9"/>
      <c r="M8" s="9"/>
      <c r="N8" s="9"/>
      <c r="O8" s="9"/>
    </row>
    <row r="9" spans="2:15" ht="12.5" customHeight="1" x14ac:dyDescent="0.35">
      <c r="B9" s="7" t="s">
        <v>14</v>
      </c>
      <c r="C9" s="12">
        <v>2.16</v>
      </c>
      <c r="D9" s="12">
        <v>0.56999999999999995</v>
      </c>
      <c r="E9" s="12">
        <v>0.71</v>
      </c>
      <c r="F9" s="12">
        <v>0.79</v>
      </c>
      <c r="G9" s="12">
        <v>0.81</v>
      </c>
      <c r="H9" s="12">
        <v>0.73</v>
      </c>
      <c r="I9" s="2"/>
      <c r="J9" s="9"/>
      <c r="K9" s="9"/>
      <c r="L9" s="9"/>
      <c r="M9" s="9"/>
      <c r="N9" s="9"/>
      <c r="O9" s="9"/>
    </row>
    <row r="10" spans="2:15" ht="12.5" customHeight="1" x14ac:dyDescent="0.35">
      <c r="B10" s="7" t="s">
        <v>15</v>
      </c>
      <c r="C10" s="46">
        <v>0.7</v>
      </c>
      <c r="D10" s="28">
        <v>10</v>
      </c>
      <c r="E10" s="59">
        <v>4.0999999999999996</v>
      </c>
      <c r="F10" s="88">
        <v>4</v>
      </c>
      <c r="G10" s="79">
        <v>3</v>
      </c>
      <c r="H10" s="88">
        <v>4</v>
      </c>
      <c r="I10" s="3"/>
      <c r="J10" s="10"/>
      <c r="K10" s="11"/>
      <c r="L10" s="10"/>
      <c r="M10" s="10"/>
      <c r="N10" s="10"/>
      <c r="O10" s="10"/>
    </row>
    <row r="11" spans="2:15" ht="12.5" customHeight="1" x14ac:dyDescent="0.35">
      <c r="B11" s="7" t="s">
        <v>16</v>
      </c>
      <c r="C11" s="26">
        <v>0.9</v>
      </c>
      <c r="D11" s="19">
        <v>0</v>
      </c>
      <c r="E11" s="25">
        <v>1.2</v>
      </c>
      <c r="F11" s="24">
        <v>3.3</v>
      </c>
      <c r="G11" s="89">
        <v>5.2</v>
      </c>
      <c r="H11" s="90">
        <v>1.4</v>
      </c>
      <c r="I11" s="4"/>
      <c r="J11" s="10"/>
      <c r="K11" s="10"/>
      <c r="L11" s="10"/>
      <c r="M11" s="10"/>
      <c r="N11" s="10"/>
      <c r="O11" s="10"/>
    </row>
    <row r="12" spans="2:15" ht="12.5" customHeight="1" x14ac:dyDescent="0.35">
      <c r="B12" s="7" t="s">
        <v>17</v>
      </c>
      <c r="C12" s="90">
        <v>1.4</v>
      </c>
      <c r="D12" s="65">
        <v>5.3</v>
      </c>
      <c r="E12" s="45">
        <v>0.8</v>
      </c>
      <c r="F12" s="51">
        <v>0.6</v>
      </c>
      <c r="G12" s="61">
        <v>0.4</v>
      </c>
      <c r="H12" s="45">
        <v>0.8</v>
      </c>
      <c r="I12" s="3"/>
      <c r="J12" s="10"/>
      <c r="K12" s="10"/>
      <c r="L12" s="10"/>
      <c r="M12" s="10"/>
      <c r="N12" s="10"/>
      <c r="O12" s="10"/>
    </row>
    <row r="13" spans="2:15" ht="12.5" customHeight="1" x14ac:dyDescent="0.35">
      <c r="B13" s="7" t="s">
        <v>18</v>
      </c>
      <c r="C13" s="91">
        <v>3.4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3"/>
      <c r="J13" s="10"/>
      <c r="K13" s="10"/>
      <c r="L13" s="10"/>
      <c r="M13" s="10"/>
      <c r="N13" s="10"/>
      <c r="O13" s="10"/>
    </row>
    <row r="14" spans="2:15" ht="12.5" customHeight="1" x14ac:dyDescent="0.35">
      <c r="B14" s="7" t="s">
        <v>19</v>
      </c>
      <c r="C14" s="90">
        <v>1.4</v>
      </c>
      <c r="D14" s="28">
        <v>10</v>
      </c>
      <c r="E14" s="55">
        <v>9.8000000000000007</v>
      </c>
      <c r="F14" s="55">
        <v>9.8000000000000007</v>
      </c>
      <c r="G14" s="92">
        <v>9</v>
      </c>
      <c r="H14" s="55">
        <v>9.8000000000000007</v>
      </c>
      <c r="I14" s="4"/>
      <c r="J14" s="10"/>
      <c r="K14" s="11"/>
      <c r="L14" s="11"/>
      <c r="M14" s="11"/>
      <c r="N14" s="11"/>
      <c r="O14" s="11"/>
    </row>
    <row r="15" spans="2:15" ht="12.5" customHeight="1" x14ac:dyDescent="0.35">
      <c r="B15" s="7" t="s">
        <v>20</v>
      </c>
      <c r="C15" s="88">
        <v>4</v>
      </c>
      <c r="D15" s="55">
        <v>9.8000000000000007</v>
      </c>
      <c r="E15" s="93">
        <v>8.5</v>
      </c>
      <c r="F15" s="94">
        <v>6.9</v>
      </c>
      <c r="G15" s="64">
        <v>5.5</v>
      </c>
      <c r="H15" s="73">
        <v>8.3000000000000007</v>
      </c>
      <c r="I15" s="3"/>
      <c r="J15" s="10"/>
      <c r="K15" s="11"/>
      <c r="L15" s="11"/>
      <c r="M15" s="10"/>
      <c r="N15" s="10"/>
      <c r="O15" s="11"/>
    </row>
    <row r="16" spans="2:15" ht="12.5" customHeight="1" x14ac:dyDescent="0.35">
      <c r="B16" s="7" t="s">
        <v>21</v>
      </c>
      <c r="C16" s="87">
        <v>5.0999999999999996</v>
      </c>
      <c r="D16" s="55">
        <v>9.8000000000000007</v>
      </c>
      <c r="E16" s="55">
        <v>9.8000000000000007</v>
      </c>
      <c r="F16" s="29">
        <v>9.6999999999999993</v>
      </c>
      <c r="G16" s="69">
        <v>9.5</v>
      </c>
      <c r="H16" s="55">
        <v>9.8000000000000007</v>
      </c>
      <c r="I16" s="4"/>
      <c r="J16" s="10"/>
      <c r="K16" s="11"/>
      <c r="L16" s="11"/>
      <c r="M16" s="11"/>
      <c r="N16" s="11"/>
      <c r="O16" s="11"/>
    </row>
    <row r="17" spans="2:15" ht="12.5" customHeight="1" x14ac:dyDescent="0.35">
      <c r="B17" s="7" t="s">
        <v>22</v>
      </c>
      <c r="C17" s="73">
        <v>8.3000000000000007</v>
      </c>
      <c r="D17" s="23">
        <v>0.2</v>
      </c>
      <c r="E17" s="85">
        <v>2.7</v>
      </c>
      <c r="F17" s="68">
        <v>2.8</v>
      </c>
      <c r="G17" s="68">
        <v>2.8</v>
      </c>
      <c r="H17" s="85">
        <v>2.7</v>
      </c>
      <c r="I17" s="3"/>
      <c r="J17" s="11"/>
      <c r="K17" s="10"/>
      <c r="L17" s="10"/>
      <c r="M17" s="10"/>
      <c r="N17" s="10"/>
      <c r="O17" s="10"/>
    </row>
    <row r="18" spans="2:15" ht="12.5" customHeight="1" x14ac:dyDescent="0.35">
      <c r="B18" s="7" t="s">
        <v>23</v>
      </c>
      <c r="C18" s="44">
        <v>0.5</v>
      </c>
      <c r="D18" s="19">
        <v>0</v>
      </c>
      <c r="E18" s="61">
        <v>0.4</v>
      </c>
      <c r="F18" s="45">
        <v>0.8</v>
      </c>
      <c r="G18" s="26">
        <v>0.9</v>
      </c>
      <c r="H18" s="61">
        <v>0.4</v>
      </c>
      <c r="I18" s="3"/>
      <c r="J18" s="10"/>
      <c r="K18" s="10"/>
      <c r="L18" s="10"/>
      <c r="M18" s="10"/>
      <c r="N18" s="10"/>
      <c r="O18" s="10"/>
    </row>
    <row r="19" spans="2:15" ht="12.5" customHeight="1" x14ac:dyDescent="0.35">
      <c r="B19" s="7" t="s">
        <v>24</v>
      </c>
      <c r="C19" s="51">
        <v>0.6</v>
      </c>
      <c r="D19" s="19">
        <v>0</v>
      </c>
      <c r="E19" s="41">
        <v>1.8</v>
      </c>
      <c r="F19" s="27">
        <v>3.2</v>
      </c>
      <c r="G19" s="95">
        <v>3.5</v>
      </c>
      <c r="H19" s="60">
        <v>2</v>
      </c>
      <c r="I19" s="3"/>
      <c r="J19" s="10"/>
      <c r="K19" s="10"/>
      <c r="L19" s="10"/>
      <c r="M19" s="10"/>
      <c r="N19" s="10"/>
      <c r="O19" s="10"/>
    </row>
    <row r="20" spans="2:15" ht="12.5" customHeight="1" x14ac:dyDescent="0.35">
      <c r="B20" s="7" t="s">
        <v>25</v>
      </c>
      <c r="C20" s="82">
        <v>6.8</v>
      </c>
      <c r="D20" s="28">
        <v>10</v>
      </c>
      <c r="E20" s="53">
        <v>8.4</v>
      </c>
      <c r="F20" s="34">
        <v>3.9</v>
      </c>
      <c r="G20" s="46">
        <v>0.7</v>
      </c>
      <c r="H20" s="96">
        <v>8.1</v>
      </c>
      <c r="I20" s="3"/>
      <c r="J20" s="10"/>
      <c r="K20" s="11"/>
      <c r="L20" s="11"/>
      <c r="M20" s="10"/>
      <c r="N20" s="10"/>
      <c r="O20" s="11"/>
    </row>
    <row r="21" spans="2:15" ht="12.5" customHeight="1" x14ac:dyDescent="0.35">
      <c r="B21" s="7" t="s">
        <v>26</v>
      </c>
      <c r="C21" s="14">
        <v>9.9</v>
      </c>
      <c r="D21" s="54">
        <v>5.8</v>
      </c>
      <c r="E21" s="28">
        <v>10</v>
      </c>
      <c r="F21" s="28">
        <v>10</v>
      </c>
      <c r="G21" s="28">
        <v>10</v>
      </c>
      <c r="H21" s="28">
        <v>10</v>
      </c>
      <c r="I21" s="4"/>
      <c r="J21" s="11"/>
      <c r="K21" s="10"/>
      <c r="L21" s="11"/>
      <c r="M21" s="11"/>
      <c r="N21" s="11"/>
      <c r="O21" s="11"/>
    </row>
    <row r="22" spans="2:15" ht="12.5" customHeight="1" x14ac:dyDescent="0.35">
      <c r="B22" s="7" t="s">
        <v>27</v>
      </c>
      <c r="C22" s="96">
        <v>8.1</v>
      </c>
      <c r="D22" s="97">
        <v>8.9</v>
      </c>
      <c r="E22" s="30">
        <v>9.3000000000000007</v>
      </c>
      <c r="F22" s="37">
        <v>9.4</v>
      </c>
      <c r="G22" s="37">
        <v>9.4</v>
      </c>
      <c r="H22" s="30">
        <v>9.3000000000000007</v>
      </c>
      <c r="I22" s="4"/>
      <c r="J22" s="11"/>
      <c r="K22" s="11"/>
      <c r="L22" s="11"/>
      <c r="M22" s="11"/>
      <c r="N22" s="11"/>
      <c r="O22" s="11"/>
    </row>
    <row r="23" spans="2:15" ht="12.5" customHeight="1" x14ac:dyDescent="0.35">
      <c r="B23" s="7" t="s">
        <v>28</v>
      </c>
      <c r="C23" s="98">
        <v>7.9</v>
      </c>
      <c r="D23" s="40">
        <v>0.1</v>
      </c>
      <c r="E23" s="18">
        <v>2.6</v>
      </c>
      <c r="F23" s="81">
        <v>4.2</v>
      </c>
      <c r="G23" s="83">
        <v>6</v>
      </c>
      <c r="H23" s="85">
        <v>2.7</v>
      </c>
      <c r="I23" s="3"/>
      <c r="J23" s="11"/>
      <c r="K23" s="10"/>
      <c r="L23" s="10"/>
      <c r="M23" s="10"/>
      <c r="N23" s="10"/>
      <c r="O23" s="10"/>
    </row>
    <row r="24" spans="2:15" ht="12.5" customHeight="1" x14ac:dyDescent="0.35">
      <c r="B24" s="7" t="s">
        <v>29</v>
      </c>
      <c r="C24" s="99">
        <v>11.6</v>
      </c>
      <c r="D24" s="28">
        <v>10</v>
      </c>
      <c r="E24" s="28">
        <v>10</v>
      </c>
      <c r="F24" s="28">
        <v>10</v>
      </c>
      <c r="G24" s="28">
        <v>10</v>
      </c>
      <c r="H24" s="28">
        <v>10</v>
      </c>
      <c r="I24" s="4"/>
      <c r="J24" s="11"/>
      <c r="K24" s="11"/>
      <c r="L24" s="11"/>
      <c r="M24" s="11"/>
      <c r="N24" s="11"/>
      <c r="O24" s="11"/>
    </row>
    <row r="25" spans="2:15" ht="12.5" customHeight="1" x14ac:dyDescent="0.35">
      <c r="B25" s="7" t="s">
        <v>30</v>
      </c>
      <c r="C25" s="39">
        <v>9.1999999999999993</v>
      </c>
      <c r="D25" s="28">
        <v>10</v>
      </c>
      <c r="E25" s="28">
        <v>10</v>
      </c>
      <c r="F25" s="28">
        <v>10</v>
      </c>
      <c r="G25" s="28">
        <v>10</v>
      </c>
      <c r="H25" s="28">
        <v>10</v>
      </c>
      <c r="I25" s="4"/>
      <c r="J25" s="11"/>
      <c r="K25" s="11"/>
      <c r="L25" s="11"/>
      <c r="M25" s="11"/>
      <c r="N25" s="11"/>
      <c r="O25" s="11"/>
    </row>
    <row r="26" spans="2:15" ht="12.5" customHeight="1" x14ac:dyDescent="0.35">
      <c r="B26" s="7" t="s">
        <v>31</v>
      </c>
      <c r="C26" s="25">
        <v>1.2</v>
      </c>
      <c r="D26" s="19">
        <v>0</v>
      </c>
      <c r="E26" s="20">
        <v>0.3</v>
      </c>
      <c r="F26" s="20">
        <v>0.3</v>
      </c>
      <c r="G26" s="23">
        <v>0.2</v>
      </c>
      <c r="H26" s="20">
        <v>0.3</v>
      </c>
      <c r="I26" s="3"/>
      <c r="J26" s="10"/>
      <c r="K26" s="10"/>
      <c r="L26" s="10"/>
      <c r="M26" s="10"/>
      <c r="N26" s="10"/>
      <c r="O26" s="10"/>
    </row>
    <row r="27" spans="2:15" ht="12.5" customHeight="1" x14ac:dyDescent="0.35">
      <c r="B27" s="7" t="s">
        <v>32</v>
      </c>
      <c r="C27" s="67">
        <v>4.9000000000000004</v>
      </c>
      <c r="D27" s="28">
        <v>10</v>
      </c>
      <c r="E27" s="28">
        <v>10</v>
      </c>
      <c r="F27" s="28">
        <v>10</v>
      </c>
      <c r="G27" s="28">
        <v>10</v>
      </c>
      <c r="H27" s="28">
        <v>10</v>
      </c>
      <c r="I27" s="4"/>
      <c r="J27" s="10"/>
      <c r="K27" s="11"/>
      <c r="L27" s="11"/>
      <c r="M27" s="11"/>
      <c r="N27" s="11"/>
      <c r="O27" s="11"/>
    </row>
    <row r="28" spans="2:15" ht="12.5" customHeight="1" x14ac:dyDescent="0.35">
      <c r="B28" s="7" t="s">
        <v>33</v>
      </c>
      <c r="C28" s="55">
        <v>9.8000000000000007</v>
      </c>
      <c r="D28" s="19">
        <v>0</v>
      </c>
      <c r="E28" s="23">
        <v>0.2</v>
      </c>
      <c r="F28" s="77">
        <v>1.3</v>
      </c>
      <c r="G28" s="88">
        <v>4</v>
      </c>
      <c r="H28" s="20">
        <v>0.3</v>
      </c>
      <c r="I28" s="3"/>
      <c r="J28" s="11"/>
      <c r="K28" s="10"/>
      <c r="L28" s="10"/>
      <c r="M28" s="10"/>
      <c r="N28" s="10"/>
      <c r="O28" s="10"/>
    </row>
    <row r="29" spans="2:15" ht="12.5" customHeight="1" x14ac:dyDescent="0.35">
      <c r="B29" s="7" t="s">
        <v>34</v>
      </c>
      <c r="C29" s="86">
        <v>4.5</v>
      </c>
      <c r="D29" s="40">
        <v>0.1</v>
      </c>
      <c r="E29" s="19">
        <v>0</v>
      </c>
      <c r="F29" s="19">
        <v>0</v>
      </c>
      <c r="G29" s="19">
        <v>0</v>
      </c>
      <c r="H29" s="19">
        <v>0</v>
      </c>
      <c r="I29" s="3"/>
      <c r="J29" s="10"/>
      <c r="K29" s="10"/>
      <c r="L29" s="10"/>
      <c r="M29" s="10"/>
      <c r="N29" s="10"/>
      <c r="O29" s="10"/>
    </row>
    <row r="30" spans="2:15" ht="12.5" customHeight="1" x14ac:dyDescent="0.35">
      <c r="B30" s="7" t="s">
        <v>35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3"/>
      <c r="J30" s="10"/>
      <c r="K30" s="10"/>
      <c r="L30" s="10"/>
      <c r="M30" s="10"/>
      <c r="N30" s="10"/>
      <c r="O30" s="10"/>
    </row>
    <row r="31" spans="2:15" x14ac:dyDescent="0.35">
      <c r="C31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Brighthouse</vt:lpstr>
      <vt:lpstr>Corebridge</vt:lpstr>
      <vt:lpstr>Metlife</vt:lpstr>
      <vt:lpstr>Principal</vt:lpstr>
      <vt:lpstr>Prudential</vt:lpstr>
      <vt:lpstr>Voya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Nozadze</dc:creator>
  <cp:lastModifiedBy>Giga Nozadze</cp:lastModifiedBy>
  <dcterms:created xsi:type="dcterms:W3CDTF">2025-10-20T14:11:41Z</dcterms:created>
  <dcterms:modified xsi:type="dcterms:W3CDTF">2025-12-06T19:47:58Z</dcterms:modified>
</cp:coreProperties>
</file>